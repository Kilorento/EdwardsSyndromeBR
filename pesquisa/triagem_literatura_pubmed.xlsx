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4"/>
    <sheet state="visible" name="Prompt_revisores" sheetId="2" r:id="rId5"/>
    <sheet state="visible" name="Triagem" sheetId="3" r:id="rId6"/>
    <sheet state="visible" name="Revisão_Gemini" sheetId="4" r:id="rId7"/>
    <sheet state="visible" name="Revisão_ChatGPT" sheetId="5" r:id="rId8"/>
    <sheet state="visible" name="Consenso" sheetId="6" r:id="rId9"/>
    <sheet state="visible" name="Fluxograma" sheetId="7" r:id="rId10"/>
    <sheet state="visible" name="Top20_2024+" sheetId="8" r:id="rId11"/>
    <sheet state="visible" name="Gráficos" sheetId="9" r:id="rId12"/>
  </sheets>
  <definedNames>
    <definedName hidden="1" localSheetId="2" name="_xlnm._FilterDatabase">Triagem!$A$1:$N$451</definedName>
    <definedName hidden="1" localSheetId="3" name="_xlnm._FilterDatabase">'Revisão_Gemini'!$A$6:$L$456</definedName>
    <definedName hidden="1" localSheetId="4" name="_xlnm._FilterDatabase">'Revisão_ChatGPT'!$A$6:$L$456</definedName>
    <definedName hidden="1" localSheetId="5" name="_xlnm._FilterDatabase">Consenso!$A$1:$Q$451</definedName>
  </definedNames>
  <calcPr/>
  <extLst>
    <ext uri="GoogleSheetsCustomDataVersion2">
      <go:sheetsCustomData xmlns:go="http://customooxmlschemas.google.com/" r:id="rId13" roundtripDataChecksum="u/P+/2NqJt3Yyq+YeQpiqIZUKuxGTbRoIutIBExl1Iw="/>
    </ext>
  </extLst>
</workbook>
</file>

<file path=xl/sharedStrings.xml><?xml version="1.0" encoding="utf-8"?>
<sst xmlns="http://schemas.openxmlformats.org/spreadsheetml/2006/main" count="14248" uniqueCount="3734">
  <si>
    <t>Planilha de triagem – Síndrome de Edwards (T18): sobrevida e desfecho gestacional</t>
  </si>
  <si>
    <t>Buscas: data, horário e número de registros</t>
  </si>
  <si>
    <t>Busca A – registros recuperados para a triagem: 29/09/2026, 19h21 (horário de Brasília; 22h21 UTC) – 253 registros</t>
  </si>
  <si>
    <t>Busca B – registros recuperados para a triagem: 29/09/2026, 19h21 (horário de Brasília; 22h21 UTC) – 241 registros</t>
  </si>
  <si>
    <t>Buscas A e B – reexecução de conferência: 29/09/2026, 19h48 (horário de Brasília; 22h48 UTC) – 253 e 241 registros; mesmos 449 registros distintos</t>
  </si>
  <si>
    <t xml:space="preserve">Busca A – execução pelo pesquisador na interface do PubMed: 29/09/2026, 19h20 (horário de Brasília; 22h21 UTC) – 253 registros
</t>
  </si>
  <si>
    <t>Busca B – execução pelo pesquisador na interface do PubMed: 29/09/2026, 19h47 (horário de Brasília; 22h48 UTC) – 241 registros</t>
  </si>
  <si>
    <t>Base: PubMed. Os horários de 19h21 e 19h48 correspondem à recuperação dos registros pela interface de programação do PubMed (E-utilities) e foram registrados pelo sistema de arquivos do ambiente de trabalho. Um minuto antes de cada uma delas, o pesquisador rodou as buscas na interface do site.</t>
  </si>
  <si>
    <t>Desenho da revisão: três revisores de IA independentes e arbitragem humana</t>
  </si>
  <si>
    <t>Revisor 1 – Claude (Anthropic): triagem inicial de título e resumo, registrada na aba Triagem.</t>
  </si>
  <si>
    <t>Revisor 2 – Gemini (Google): revisão independente, registrada na aba Revisão_Gemini.</t>
  </si>
  <si>
    <t>Revisor 3 – ChatGPT (OpenAI): revisão independente, registrada na aba Revisão_ChatGPT.</t>
  </si>
  <si>
    <t>Arbitragem humana: qualquer registro sem concordância dos três revisores fica PENDENTE e só recebe decisão final pelo pesquisador, na aba Consenso. O pesquisador também pode alterar qualquer decisão, inclusive as de concordância plena.</t>
  </si>
  <si>
    <t>Limite metodológico a declarar no artigo: modelos de linguagem podem compartilhar vieses e errar da mesma forma; a concordância entre eles não substitui a responsabilidade do pesquisador pela decisão final.</t>
  </si>
  <si>
    <t>Como conduzir a revisão das outras IAs (revisão cega)</t>
  </si>
  <si>
    <t>1. Envie ao Gemini e ao ChatGPT apenas o arquivo "Revisao_cega_IAs_T18.xlsx" (ou o conteúdo da aba Revisão_Gemini/Revisão_ChatGPT, colunas A a F). Não envie esta planilha completa: ela contém as decisões do Claude, e o revisor deixaria de ser cego.</t>
  </si>
  <si>
    <t>2. Use o texto da aba Prompt_revisores, sem alterações, nas duas IAs.</t>
  </si>
  <si>
    <t>3. Envie os registros em lotes (coluna Lote, 50 registros cada), para evitar que a IA resuma ou pule linhas.</t>
  </si>
  <si>
    <t>4. Cole a tabela devolvida nas colunas amarelas G a K da aba da IA correspondente, começando pela coluna "PMID retornado". A coluna L confere se o PMID devolvido é o mesmo da linha; qualquer "PMID DIFERENTE" indica linha deslocada ou omitida.</t>
  </si>
  <si>
    <t>5. Preencha no topo de cada aba o modelo e a versão usados, a data e o horário da revisão e quem a conduziu.</t>
  </si>
  <si>
    <t>6. Na aba Consenso, resolva os PENDENTES nas colunas amarelas. A aba Fluxograma se atualiza sozinha.</t>
  </si>
  <si>
    <t xml:space="preserve">   Exemplo de linha preenchida pela IA: G = 26663415; H = Incluir; I = A; J = (vazio); K = "Coorte populacional com sobrevida de nascidos vivos com T18".</t>
  </si>
  <si>
    <t>Perguntas</t>
  </si>
  <si>
    <t>A = sobrevida e mortalidade de nascidos vivos com T18.</t>
  </si>
  <si>
    <t>B = desfecho de gestações após diagnóstico pré-natal de T18 (nascido vivo, perda espontânea, natimorto).</t>
  </si>
  <si>
    <t>Critérios de inclusão</t>
  </si>
  <si>
    <t>Dados originais de sobrevida/mortalidade (A) ou de desfecho gestacional (B), específicos para T18 ou separáveis de outras condições; ou revisões sistemáticas desses estudos. Séries de casos são aceitas; relatos de caso isolados não.</t>
  </si>
  <si>
    <t>Códigos de exclusão</t>
  </si>
  <si>
    <t>E1 – Fora do tema (não trata da síndrome de Edwards como objeto)</t>
  </si>
  <si>
    <t>E2 – Rastreamento/diagnóstico pré-natal (acurácia, testes) sem desfecho de sobrevida ou gestacional específico da T18</t>
  </si>
  <si>
    <t>E3 – Outra anomalia como objeto; T18 aparece só como achado associado</t>
  </si>
  <si>
    <t>E4 – Sem dados próprios (revisão narrativa, diretriz, opinião) e sem utilidade direta</t>
  </si>
  <si>
    <t>E5 – Sem desfecho de sobrevida ou gestacional (morbidade, genética, fenótipo, utilização de serviços)</t>
  </si>
  <si>
    <t>E6 – Relato de caso ou capítulo de livro</t>
  </si>
  <si>
    <t>E7 – T18 não é objeto ou dados não separáveis de outras condições</t>
  </si>
  <si>
    <t>E8 – Estudo de prevalência/epidemiologia sem desfecho de sobrevida ou gestacional</t>
  </si>
  <si>
    <t>E9 – Apenas trissomia parcial ou mosaico</t>
  </si>
  <si>
    <t>Quando os três revisores excluem com códigos diferentes, a planilha usa o código do Revisor 1, salvo se o pesquisador indicar outro na aba Consenso.</t>
  </si>
  <si>
    <t>Apoio = não entra na síntese de evidências (sem dados de desfecho), mas é útil ao texto: diretrizes, ética, terminologia, qualidade de vida, contrapontos.</t>
  </si>
  <si>
    <t>Busca A</t>
  </si>
  <si>
    <t>(("Trisomy 18 Syndrome"[Mesh] OR "trisomy 18"[tiab] OR "Edwards syndrome"[tiab]) AND ("Survival Rate"[Mesh] OR "Survival Analysis"[Mesh] OR "Infant Mortality"[Mesh] OR "Longevity"[Mesh] OR survival[tiab] OR mortality[tiab] OR "life expectancy"[tiab] OR longevity[tiab]) NOT ("Case Reports"[pt] OR "Letter"[pt] OR "Editorial"[pt] OR "Comment"[pt])) AND ("2000/01/01"[dp] : "3000"[dp]) AND (english[la] OR portuguese[la] OR spanish[la])</t>
  </si>
  <si>
    <t>Busca B</t>
  </si>
  <si>
    <t>(("Trisomy 18 Syndrome"[Mesh] OR "trisomy 18"[tiab] OR "Edwards syndrome"[tiab]) AND ("Prenatal Diagnosis"[Mesh] OR prenatal[tiab] OR antenatal[tiab]) AND ("Fetal Death"[Mesh] OR "Stillbirth"[Mesh] OR "Abortion, Spontaneous"[Mesh] OR "fetal loss"[tiab] OR "fetal death*"[tiab] OR "fetal demise"[tiab] OR "intrauterine death"[tiab] OR "pregnancy loss"[tiab] OR "spontaneous loss"[tiab] OR miscarriage*[tiab] OR stillbirth*[tiab] OR "live birth*"[tiab] OR liveborn[tiab] OR "live-born"[tiab] OR "pregnancy outcome*"[tiab] OR "natural history"[tiab]) NOT ("Case Reports"[pt] OR "Letter"[pt] OR "Editorial"[pt] OR "Comment"[pt])) AND ("2000/01/01"[dp] : "3000"[dp]) AND (english[la] OR portuguese[la] OR spanish[la])</t>
  </si>
  <si>
    <t>Seleção dos estudos para citação (etapa posterior à triagem)</t>
  </si>
  <si>
    <t>Depois da triagem de título e resumo e da arbitragem, os estudos elegíveis foram ordenados por cinco critérios, aplicados pelo Claude e conferidos pelo pesquisador:</t>
  </si>
  <si>
    <t>C1 – Força do desenho: revisão sistemática com metanálise, ou coorte de base populacional ou multirregistro</t>
  </si>
  <si>
    <t>C2 – Pertinência direta às perguntas do artigo: sobrevida de nascidos vivos (A) e/ou desfecho da gestação após diagnóstico pré-natal (B), ou conceitos básicos da T18</t>
  </si>
  <si>
    <t>C3 – Atualidade: preferência por estudos publicados a partir de 2019, que refletem a prática clínica posterior à mudança de paradigma</t>
  </si>
  <si>
    <t>C4 – Complementaridade: cada estudo sustenta um argumento diferente do artigo, sem sobreposição</t>
  </si>
  <si>
    <t>C5 – Acessibilidade e verificabilidade: texto completo acessível ao pesquisador e dados verificáveis no resumo</t>
  </si>
  <si>
    <t>Substituído em 01/10/2026: as abas Selecionados_5 e Conclusões_15 foram removidas pelo pesquisador. A seleção passou a usar o recorte anual (2024 em diante) e a aba Top20_2024+.</t>
  </si>
  <si>
    <t>Declarar no artigo: a seleção para citação ocorreu depois da triagem, com critérios explícitos, e não substitui a elegibilidade; os demais estudos elegíveis permanecem registrados nesta planilha.</t>
  </si>
  <si>
    <t>Correções feitas em 01/10/2026 (versão 3)</t>
  </si>
  <si>
    <t>1. Na aba Consenso, a coluna Resumo tinha sido colada na ordem da aba Triagem, e não na ordem dos PMIDs: os 447 resumos estavam em linhas erradas. Como as notas do pesquisador (coluna K) e as marcações verdes foram feitas lendo essa coluna, também estavam na linha de outro artigo. Resumos, notas e marcações foram realocados para o PMID correto; 297 das 298 notas conferem com o resumo do próprio artigo após a correção. As decisões e as arbitragens não foram alteradas.</t>
  </si>
  <si>
    <t>2. A nota registrada para o PMID 32943740 (Kawasaki et al., 2021) é cópia da nota do PMID 32862054 (oxigenação por membrana extracorpórea) e deve ser substituída.</t>
  </si>
  <si>
    <t>3. O cabeçalho da coluna O da aba Triagem dizia "&lt; 2023", mas a fórmula marca VERDADEIRO para anos ≥ 2024. O cabeçalho foi corrigido para "Ano ≥ 2024".</t>
  </si>
  <si>
    <t>Recorte anual e seleção dos 20 textos (01/10/2026)</t>
  </si>
  <si>
    <t>O pesquisador adotou recorte anual: são considerados para citação apenas textos publicados a partir de 2024 (coluna "Recorte anual" da aba Consenso). Os demais permanecem registrados como fonte de pesquisa.</t>
  </si>
  <si>
    <t>Dos 33 textos do recorte com decisão final Incluir ou Apoio, o Claude ordenou 20 (aba Top20_2024+) por: pertinência às perguntas e à discussão sobre o rótulo; força do desenho (revisões sistemáticas, bases populacionais e consensos à frente); complementaridade temática; inclusão deliberada de contrapontos. A escolha final é do pesquisador (coluna "Incluir no artigo?").</t>
  </si>
  <si>
    <t>Texto de referência para os conceitos básicos: Balasundaram P, Avulakunta ID. Trisomy 18 (Edwards Syndrome) [Updated 2026 Apr 19]. In: StatPearls [Internet]. Treasure Island (FL): StatPearls Publishing; 2026 Jan-. PMID 34033359. Disponível em: https://www.ncbi.nlm.nih.gov/books/NBK570597/. É a versão mais recente encontrada (abril de 2026); a versão de fevereiro de 2025 foi substituída. Alternativa revisada por pares: Srinivasan K et al. Updates in Trisomy 18. NeoReviews, dez. 2025 (PMID 41319979).</t>
  </si>
  <si>
    <t>Gráficos (aba Gráficos, 01/10/2026)</t>
  </si>
  <si>
    <t>Evolução anual (2000–2026) e comparação antes/depois de 2024 da posição dos 57 textos que mencionam o rótulo, conforme a codificação descrita acima. Imagens em alta resolução entregues também como arquivos PNG.</t>
  </si>
  <si>
    <t>Correções e pendências identificadas na versão do pesquisador (01/10/2026)</t>
  </si>
  <si>
    <t>1. Aba Consenso, linha do PMID 42437037 (Koshida et al., 2026): as colunas Claude e Decisão final mostram erro de referência quebrada. A linha foi contada à parte no Fluxograma. Correção sugerida: copiar as fórmulas da linha imediatamente acima para essa linha. Não alterado, por instrução do pesquisador.</t>
  </si>
  <si>
    <t>2. Fluxograma: a decisão final passou a ter o prefixo "Fora do recorte anual"; foram acrescentadas as linhas 39 (fora do recorte) e 40 (erros), e a conferência da linha 38 passou a incluí-las.</t>
  </si>
  <si>
    <t>3. Fluxograma, linhas 5 e 6: os horários em UTC não correspondem aos de Brasília (19h20 corresponde a 22h20 UTC; 19h47 a 22h47 UTC). Conferir.</t>
  </si>
  <si>
    <t>4. Abas de revisão: a versão do modelo aparece como "3.0" (Gemini) e "1.0" (ChatGPT). Registrar o nome completo do modelo (por exemplo, o que a própria interface informa), para que a revisão seja reproduzível.</t>
  </si>
  <si>
    <t>Texto padronizado para o Gemini e o ChatGPT (copiar e colar sem alterações, seguido do lote de registros)</t>
  </si>
  <si>
    <t>Você é um revisor independente de uma triagem de literatura científica (etapa de título e resumo) para um artigo jurídico sobre a síndrome de Edwards (trissomia 18, T18).</t>
  </si>
  <si>
    <t>PERGUNTA A: estudos com dados de sobrevida ou mortalidade de nascidos vivos com T18.</t>
  </si>
  <si>
    <t>PERGUNTA B: estudos com dados sobre o desfecho de gestações após diagnóstico pré-natal de T18 (nascido vivo, perda espontânea, óbito fetal, natimorto).</t>
  </si>
  <si>
    <t>INCLUIR: dados originais de sobrevida/mortalidade (A) ou de desfecho gestacional (B), específicos para T18 ou separáveis de outras condições; ou revisões sistemáticas desses estudos. Séries de casos são aceitas; relatos de caso isolados não.</t>
  </si>
  <si>
    <t>APOIO: textos sem dados de desfecho, mas úteis ao debate (diretrizes, consensos, ética, terminologia, qualidade de vida, contrapontos).</t>
  </si>
  <si>
    <t>EXCLUIR, com um código: E1 fora do tema (não trata da síndrome como objeto); E2 rastreamento/diagnóstico pré-natal sem desfecho específico da T18; E3 outra anomalia como objeto, T18 só como achado associado; E4 sem dados próprios e sem utilidade direta; E5 sem desfecho de sobrevida ou gestacional; E6 relato de caso ou capítulo; E7 T18 não é objeto ou dados não separáveis; E8 prevalência/epidemiologia sem desfecho; E9 apenas trissomia parcial ou mosaico.</t>
  </si>
  <si>
    <t>REGRAS: (1) decida SOMENTE com base no título e no resumo fornecidos; não use conhecimento externo sobre o artigo e não pesquise na internet; (2) não invente informações que não estejam no resumo; (3) se a informação for insuficiente para decidir, escolha Incluir e escreva 'informação insuficiente – verificar texto completo'; (4) avalie todas as linhas do lote, sem omitir nenhuma.</t>
  </si>
  <si>
    <t>FORMATO DA RESPOSTA: uma tabela com as colunas PMID | Decisão (Incluir, Excluir ou Apoio) | Pergunta (A, B ou A+B, só se Incluir) | Código (E1 a E9, só se Excluir) | Justificativa (uma frase citando o elemento do título ou do resumo que fundamenta a decisão). Mantenha a mesma ordem das linhas recebidas.</t>
  </si>
  <si>
    <t>PMID</t>
  </si>
  <si>
    <t>Ano</t>
  </si>
  <si>
    <t>Primeiro autor</t>
  </si>
  <si>
    <t>Título</t>
  </si>
  <si>
    <t>Resumo</t>
  </si>
  <si>
    <t>Periódico</t>
  </si>
  <si>
    <t>Tipo de publicação</t>
  </si>
  <si>
    <t>Busca</t>
  </si>
  <si>
    <t>Decisão – Claude</t>
  </si>
  <si>
    <t>Pergunta – Claude</t>
  </si>
  <si>
    <t>Código – Claude</t>
  </si>
  <si>
    <t>Motivo / descrição</t>
  </si>
  <si>
    <t>Nota</t>
  </si>
  <si>
    <t>Link PubMed</t>
  </si>
  <si>
    <t>Ano ≥ 2024</t>
  </si>
  <si>
    <t>40831321</t>
  </si>
  <si>
    <t>Nemoto S</t>
  </si>
  <si>
    <t>Current Nationwide Landscape of Cardiac Surgery for Children With Trisomy 18 in Japan.</t>
  </si>
  <si>
    <t>Despite the increasing number of retrospective cohorts describing successful cardiac surgery for children with trisomy 18, no consensus has been reached among healthcare providers regarding cardiac surgery in Japan. This study provided a benchmark to facilitate consensus building by assessing a nationwide surgical database in Japan. A total of 78,179 cardiothoracic surgeries performed for children with congenital heart disease were registered in the Japan Cardiovascular Surgery Database Congenital Section from 2013 to 2021. Of these, 789 (1.0%) surgeries were performed for 502 children with trisomy 18 with increasing yearly trends. Of these, 490 cases (96.1%) of mild-to-moderate cardiac lesions underwent simple surgery, whereas 600 closed-heart surgeries accounted for 76.0%. Approximately 19.4% of the cases were associated with noncardiac lesions that led to postoperative complications at a frequency of 35.3%, whereas cardiac-related postoperative complications accounted for 30.5%. Severe infections occurred postoperatively in approximately 9% of the cases. Forty-two (8.4%) patients died in-hospital, of which the most common cause was heart-related, followed by respiratory-related and infection. This nationwide database analysis may provide valuable information that may serve as a benchmark and enable us to better define the patient attributes that will maximize the effectiveness of cardiac surgery for the vulnerable children.</t>
  </si>
  <si>
    <t>Am J Med Genet A</t>
  </si>
  <si>
    <t>Journal Article</t>
  </si>
  <si>
    <t>A</t>
  </si>
  <si>
    <t>Incluir</t>
  </si>
  <si>
    <t>41485045</t>
  </si>
  <si>
    <t>Caggiano S</t>
  </si>
  <si>
    <t>Survival in infants with trisomy 18, palliative care and ethical reflections: a single center considerations.</t>
  </si>
  <si>
    <t>BACKGROUND: Trisomy 18 was once considered a fatal diagnosis due to the presence of cardiac and extracardiac lesions. However, with the increasing use of therapeutic management, 3% to 25% of infants with trisomy 18 may survive beyond their first year, depending on the interventions provided. Currently, there are no clear and widely accepted criteria to guide medical decisions for children with trisomy 18. This means that patients could often be at risk of either over-treatment or therapeutic abandonment. We aimed to explore the effectiveness of intensive and non-intensive treatments in enhancing the clinical burden of disease and survival of children with trisomy 18 syndrome METHODS: a retrospective monocentric study in Bambino Gesù Children’s Hospital, IRCCS Rome, Italy. We enrolled all patients discharged from our hospital with genetic diagnosis of trisomy 18 between 2018 and 2023. Clinical data from birth were collected and categorized into two groups: those who received intensive treatment and those who underwent a palliative approach. Intensive treatment was defined as corrective heart surgery, use of invasive respiratory support, or at least one hospitalization in an intensive care unit. Survival probabilities at different age intervals were calculated, and the clinical burden of disease was assessed, taking into account device dependence, number of emergency department visits per year, and the daily intake of medications at home RESULTS: 32 patients were enrolled. Children with a low device dependence had significantly higher survival(p= 0,01). Neither palliative nor corrective heart surgery affected survival for patients with major cardiac defects. Conversely in children with minor heart defects surgery significantly increased survival probability(p= 0.01), particularly the corrective approach(p= 0.01). High number of emergency department visits(p=0.03) and high number of drugs taken daily(p=0.02) significantly reduced survival. No significant differences emerged between the two groups in terms of burden of disease. CONCLUSIONS: proportional to the initial clinical conditions all treatment options, which may include both comfort care and heart surgery, should be re-evaluated to determine the approach that prioritizes the best interest of each child with trisomy 18.</t>
  </si>
  <si>
    <t>Ital J Pediatr</t>
  </si>
  <si>
    <t>41749627</t>
  </si>
  <si>
    <t>Uygur Külcü N</t>
  </si>
  <si>
    <t>Trisomy 18 and Trisomy 13: A Retrospective Cohort Study at a Tertiary Hospital.</t>
  </si>
  <si>
    <t>BACKGROUND: Trisomy 18 (T18; Edwards syndrome) and Trisomy 13 (T13; Patau syndrome) are rare autosomal aneuploidies characterized by severe congenital anomalies, high neonatal mortality, and complex clinical trajectories. OBJECTIVE: This study aimed to describe the clinical features, management approaches, and outcomes of genetically confirmed patients aged 0-18 years diagnosed with T18 or T13 in a tertiary care center. METHODS: This retrospective study reviewed hospital records of genetically confirmed T18 and T13 cases identified through ICD-10 codes (Q91-Q92) between January 2015 and December 2024. Patients aged 0-18 years at diagnosis were included. Demographic, clinical, and interventional data were collected from electronic medical records. Survival analyses were conducted using the Kaplan-Meier method, with comparisons assessed using the log-rank test. RESULTS: Among 29 patients, 23 had T18 and 6 had T13. Cardiovascular involvement was the most frequent anomaly, and overall mortality was high despite intensive care. Median survival was 90 days for T18 and 120 days for T13, with more than 80% surviving the first month but showing a steep decline thereafter. Most deaths were attributed to cardiopulmonary complications or sepsis secondary to prolonged intensive care. Kaplan-Meier analysis revealed marked early mortality in both groups, with no significant survival difference (log-rank p ≈ 0.3). A small subset demonstrated longer-term survival with heterogeneous clinical courses. CONCLUSIONS: T18 and T13 are associated with high early mortality driven by complex congenital heart disease, respiratory instability, and infection-related complications. Although the overall prognosis remains poor, a minority of patients achieve extended survival, highlighting variable trajectories. Early multidisciplinary care, individualized decision-making, and strict infection prevention remain essential to optimize outcomes and support families.</t>
  </si>
  <si>
    <t>Children (Basel)</t>
  </si>
  <si>
    <t>41840151</t>
  </si>
  <si>
    <t>Sugai S</t>
  </si>
  <si>
    <t>Annual trends and regional variations in medical interventions and survival to discharge for trisomies 18 and 13, 2011-2022: a nationwide inpatient database study.</t>
  </si>
  <si>
    <t>OBJECTIVE: This study examines annual trends and regional disparities in interventions and in-hospital outcomes for trisomies 18 and 13. STUDY DESIGN: We conducted a retrospective cohort study using nationwide data from 2011 to 2022. Patients with trisomies 18 and 13 admitted on the day of birth were identified. Nonsurgical and surgical intervention rates, survival to discharge, length of stay, and costs were analyzed by year and region. RESULT: This study identified 2 245 neonates with trisomy 18 (n = 1 808) and trisomy 13 (n = 437). Nonsurgical and surgical intervention rates increased annually. Between 2011 and 2022, survival to discharge rates improved from 44.5 to 57.9%, and both hospital length of stay and costs nearly doubled. Regional disparities in survival to discharge rates were significant, with differences of up to 21.5%. CONCLUSION: We observed an increase in interventions and a corresponding improvement in survival to discharge, with significant regional variations.</t>
  </si>
  <si>
    <t>J Perinatol</t>
  </si>
  <si>
    <t>Coorte nacional japonesa 2011–2022 (1.808 T18).</t>
  </si>
  <si>
    <t>42302673</t>
  </si>
  <si>
    <t>Lee T</t>
  </si>
  <si>
    <t>Characteristics and Outcomes of Pediatric Trisomy 13 and 18 Inpatient Admissions in Texas.</t>
  </si>
  <si>
    <t>INTRODUCTION: Trisomy 13 (T13, Patau syndrome) and trisomy 18 (T18, Edwards syndrome) are the second and third most common aneuploidies with significant morbidity and mortality. Survival beyond infancy is becoming increasingly recognized. However, surgical needs of these populations are not well described. We aim to investigate the characteristics and outcomes of the surgical care of pediatric patients with T13 and T18 in Texas. METHODS: The Texas Hospital Inpatient Discharge Public Use Data File (2017-2023) was queried to identify all pediatric admissions (&lt;18 y) with T13 and T18 using International Classification of Diseases, Tenth Revision codes. Therefore, transfers to outside hospital were excluded to avoid systematic double counting. Descriptive statistics were performed (median, [interquartile range]). RESULTS: A total of 582 admissions were identified (181 T13, 401 T18). The majority of admissions occurred in the first year of life. Overall inpatient mortality rates were high in both (T13 27.1%, T18 23.7%) with highest mortality in neonates (≤28 d; T13 65.6%, T18 56.4%). Notably, inpatient mortality in older admissions dramatically decreased. Across all age groups, length of stay and median charges were highest for infants (29-365 d) (T13 length of stay 17 d [3-31], T18 16 d [5-43]) with frequent operative interventions, which persisted throughout childhood. While cardiovascular anomalies were prevalent in the younger cohort, supportive operative interventions including airway, vascular, and feeding access were the most common procedures. CONCLUSIONS: While T13 and T18 both have high mortality, particularly in infancy, there is survival with persistent health-care utilization and operative needs throughout childhood. This highlights significant long-term health-care needs and evolving surgical indications. Longitudinal care coordination of multidisciplinary surgical care is needed to optimize outcomes of affected patients.</t>
  </si>
  <si>
    <t>J Surg Res</t>
  </si>
  <si>
    <t>42437037</t>
  </si>
  <si>
    <t>Koshida S</t>
  </si>
  <si>
    <t>Poorer survival in prenatally diagnosed trisomy 18 infants compared with postnatally diagnosed cases: a single-center study.</t>
  </si>
  <si>
    <t>BACKGROUND: Trisomy 18 is a common autosomal trisomy that is associated with high perinatal and infant mortality rates. With the widespread use of prenatal screening, many cases have been identified. In contrast, when the diagnosis occurs in the late prenatal period, that is, beyond the gestational limit for termination, or postnatally, careful planning for delivery and neonatal care is required. Emerging evidence suggests that intensive neonatal care can prolong survival and that the prenatal diagnosis may influence subsequent treatment choices. However, few studies have directly compared survival according to the timing of the diagnosis while accounting for treatment policy. Therefore, we compared survival between prenatally and postnatally diagnosed infants with trisomy 18, and examined whether diagnostic timing was associated with the selection of intensive care. METHODS: A retrospective study was conducted on 35 cases of trisomy 18 identified at our center between 2005 and 2024, including 25 prenatally diagnosed cases and 10 postnatally diagnosed liveborn infants. Among the prenatally diagnosed cases, 15 resulted in live births. Survival outcomes were compared between prenatally diagnosed liveborn infants (n = 15) and postnatally diagnosed liveborn infants (n = 10), and perinatal characteristics were evaluated. RESULTS: Among all liveborn infants, the Kaplan-Meier estimated 12-month survival rates were 8% (95% CI [0.5%-30.6%]) in the prenatal group and 40% (95% CI [12.3%-67.0%]) in the postnatal group, with poorer survival in the prenatal group (log-rank p = 0.02). Among liveborn infants, an intensive care policy was selected significantly less frequently in the prenatal group than in the postnatal group (33.3% [5/15] vs. 90.0% [9/10], p = 0.01). In an exploratory subgroup analysis of infants who received intensive care, the Kaplan-Meier estimated 12-month survival rates were 20% (95% CI [0.8%-58.2%]) in the prenatal group and 44% (95% CI [13.6%-71.9%]) in the postnatal group. The confidence intervals were wide, and no statistically significant difference in survival was observed between the two groups (log-rank p = 0.30). CONCLUSIONS: Overall survival was poorer among infants with trisomy 18 diagnosed prenatally than among those diagnosed postnatally, and this difference may be partly associated with differences in treatment policies. These findings suggest that treatment policies following prenatal diagnosis may be associated with survival duration in trisomy 18.</t>
  </si>
  <si>
    <t>PeerJ</t>
  </si>
  <si>
    <t>Journal Article; Comparative Study</t>
  </si>
  <si>
    <t>A+B</t>
  </si>
  <si>
    <t>Destaque: compara diagnóstico pré-natal e pós-natal.</t>
  </si>
  <si>
    <t>42599515</t>
  </si>
  <si>
    <t>Nagao H</t>
  </si>
  <si>
    <t>Survival Benefit and Persistent Hospitalization Burden After Ventricular Septal Defect Closure in Infants with Trisomy 18 Headings: Hospitalization After VSD Closure in Trisomy 18.</t>
  </si>
  <si>
    <t>This retrospective study evaluated the impact of ventricular septal defect (VSD) closure on long-term survival and hospitalization status in infants with trisomy 18. Thirty-three infants with trisomy 18 and VSD (2002-2025) were categorized into three groups: staged VSD closure following pulmonary artery banding (PAB) (n = 7), PAB alone (n = 3), or non-surgical management (n = 23). Median follow-up durations (interquartile range) were 124.6 (75.8-153.1), 17.8 (11.4-18.1), and 17.1 (2.7-59.3) months, respectively. Kaplan-Meier analysis demonstrated significantly better survival in the VSD closure group (log-rank p = 0.009). However, these survivors required frequent unexpected hospitalizations for non-cardiac comorbidities. In univariate negative binomial regression, respiratory and digestive complications were significantly associated with higher unexpected admission rates (incidence rate ratio [IRR] = 1.07, 95% confidence interval [CI]: 1.02-1.12; and IRR = 1.24, 95% CI: 1.08-1.41, respectively; p &lt; 0.01). After multivariable adjustment, only digestive complications showed a notable, though non-significant, trend (IRR = 1.15, 95% CI: 0.98-1.36, p = 0.09). Notably, VSD closure was associated with a higher admission rate in univariate analysis (IRR = 1.95, 95% CI: 0.95-4.00, p = 0.07), but this association disappeared after multivariable adjustment. VSD closure was associated with improved survival in infants with trisomy 18, but a substantial hospitalization burden persisted due to non-cardiac comorbidities. These findings highlight the importance of lifelong multidisciplinary care and detailed parental counseling regarding the expected long-term medical burden following VSD closure.</t>
  </si>
  <si>
    <t>Pediatr Cardiol</t>
  </si>
  <si>
    <t>42634104</t>
  </si>
  <si>
    <t>Rodriguez LC</t>
  </si>
  <si>
    <t>Congenital Heart Disease Associated With Genetic Syndromes and Extracardiac Anomalies: A Six-Year Epidemiological Study in a Brazilian Referral Center.</t>
  </si>
  <si>
    <t>BACKGROUND: Congenital heart diseases (CHDs) are structural and/or functional abnormalities of the heart that arise during embryonic cardiovascular development. They are the most common type of congenital defect and represent a major cause of neonatal morbidity and mortality, particularly when associated with genetic syndromes or other congenital anomalies. This study aims to analyze the clinical and epidemiological profile of CHD in newborns at a high fetal-risk maternity hospital in Rio de Janeiro from 2018 to 2023, describing the types of CHD, associated anomalies and genetic syndromes, maternal risk factors, and neonatal outcomes. METHODS: This is a descriptive, retrospective study using the database of the Latin American Collaborative Study of Congenital Malformations (ECLAMC) at Instituto Fernandes Figueira/Fiocruz (IFF/Fiocruz). Newborns with a confirmed diagnosis of CHD, born at IFF between January 2018 and December 2023 and properly registered in the ECLAMC program were included. RESULTS: Among 5647 births, 225 newborns with CHD were identified and analyzed, corresponding to a prevalence of approximately 4%. The most frequent CHD was ventricular septal defect (VSD), present in 68 cases, followed by atrioventricular septal defect (AVSD) in 41 cases and coarctation of the aorta (CoA) in 27. Complex cardiopathies predominated, representing 60% of cases. Most diagnoses were established prenatally (93.3%), with a fetal echocardiogram accuracy of 78.5%. Associated congenital anomalies were identified in 64% of cases, predominantly affecting the gastrointestinal tract, central nervous system, and genitourinary tract. Genetic syndromes were confirmed in 95 patients (42.2%), with a predominance of Down syndrome (35), followed by Edwards syndrome (29) and Patau syndrome (10). The rate of hospital discharge alive was 53.3% in patients with isolated CHD, compared to 29% in those with associated syndromes or anomalies. CONCLUSIONS: IFF presents a highly complex patient profile, with a high prevalence of CHD associated with genetic syndromes and extracardiac anomalies, reflecting its role as a tertiary referral center. The presence of associated anomalies and syndromes negatively impacted neonatal prognosis, reinforcing the importance of prenatal diagnosis and specialized multidisciplinary care in the management of these conditions.</t>
  </si>
  <si>
    <t>Birth Defects Res</t>
  </si>
  <si>
    <t>Verificar no texto completo se há dado específico e separável da T18</t>
  </si>
  <si>
    <t>42746679</t>
  </si>
  <si>
    <t>Fonseca Queiroz L</t>
  </si>
  <si>
    <t>Intensive versus comfort-focused care in neonates with trisomy 18: A systematic review and meta-analysis.</t>
  </si>
  <si>
    <t>ObjectiveTo evaluate whether intensive neonatal interventions improve survival outcomes compared with comfort-focused care in neonates with Trisomy 18.Study designWe conducted a systematic review and pairwise meta-analysis of observational studies reporting outcomes for neonates with Trisomy 18 receiving either intensive or comfort-focused care. Databases searched included PubMed, Embase, and Cochrane Central Register up to March 2026. Outcomes included mean survival days and 1-year survival as primary outcomes, and gestational age at delivery as a secondary exploratory outcome.ResultsFive observational studies including 211 patients were analyzed (133 received intensive care, and 78 received comfort-focused care). Pooled analyses showed no statistically significant differences between groups for mean survival days (MD -225.53 days; 95% CI -776.85 to 325.79), 1-year survival (RR 1.12; 95% CI 0.90 to 1.40), or gestational age at birth (MD -0.28 weeks; 95% CI -1.69 to 1.13).ConclusionDespite the absence of a demonstrated survival benefit of intensive neonatal interventions over non-intensive care in Trisomy 18, the findings should be interpreted cautiously given the small number of available studies, substantial clinical and statistical heterogeneity, and very low certainty of evidence. Findings highlight the importance of individualized, informed decision-making guided by prenatal counseling that integrates evidence-based outcomes and parental values. High-quality, multicenter prospective studies are needed to evaluate the impact of specific interventions and improve guidance for families and clinicians.</t>
  </si>
  <si>
    <t>J Neonatal Perinatal Med</t>
  </si>
  <si>
    <t>Journal Article; Review</t>
  </si>
  <si>
    <t>Destaque: revisão sistemática com metanálise mais recente (set/2026), cuidado intensivo x cuidado de conforto.</t>
  </si>
  <si>
    <t>42764676</t>
  </si>
  <si>
    <t>Matsushima A</t>
  </si>
  <si>
    <t>Acute Healthcare Utilization During the First Year After Hospital Discharge in Children With Trisomy 18.</t>
  </si>
  <si>
    <t>Survival of infants with trisomy 18 (T18) has improved with advances in neonatal intensive care and surgical management, yet postdischarge outcomes remain poorly characterized. This single-center retrospective cohort study included infants with T18 admitted to a Level III neonatal intensive care unit between 2008 and 2022. Survival and survival-to-discharge rates were analyzed by birth era. For patients discharged alive in the most recent era (2018-2022), emergency department (ED) visits and hospital admissions during the first year after discharge were evaluated. Among 87 infants with confirmed outcomes, overall survival and survival-to-discharge rates improved over time. Sixteen patients discharged alive in the late cohort were included in the postdischarge analysis. During the first year after discharge, 13 patients (81%) visited the ED at least once, and 11 (69%) required hospital admission. Respiratory disorders were the most frequent reason for admission, followed by urinary tract infections and gastrointestinal disorders. An exploratory analysis found no significant association between tracheostomy status and ED visits or hospital admissions. Two patients died within 1 year after discharge. Despite improving survival, infants with T18 experience substantial healthcare utilization after discharge, underscoring the need for structured multidisciplinary follow-up and robust home-based care support systems.</t>
  </si>
  <si>
    <t>39821650</t>
  </si>
  <si>
    <t>Visconti D</t>
  </si>
  <si>
    <t>Trisomy 18 and the possibility of choice: The importance of Perinatal Hospice's support.</t>
  </si>
  <si>
    <t>Trisomy 18 is a severe aneuploidy associated with multiple malformations and a poor prognosis. The diagnosis is typically made prenatally, leading to a high rate of pregnancy terminations. The aim of this study is to demonstrate that even though the prognosis is heterogeneous, prolonged survival is possible and these children are an enrichment for their families after all. A retrospective, descriptive and monocentric study was conducted on fetuses diagnosed with trisomy 18, evaluated between March 2017 and June 2023 at our Institution. The objective was to investigate the natural history of trisomy 18 and the psychological impact on parents who choose to carry the pregnancy on, through a retrospective data collection and the use of a questionnaire. Sixteen couples with a diagnosis of trisomy 18 were cared for within the Perinatal Hospice Pathway during the study period. Cardiac defects were identified in 93.7% of cases, structural abnormalities in 71.4%, respiratory defects in 14.3% of the fetuses, while genitourinary defects affected nearly half of the study population. The survival rate was typically less than one day, however two babies survived for more than four years. All couples reported being satisfied with their decision to continue the pregnancy and would do so again if given the opportunity.Conclusions: despite the severity of the diagnosis, couples may choose to continue the pregnancy and give birth. Our study shows that trisomy 18 is not merely a lethal condition and the Perinatal Hospice plays a crucial role in supporting these families.</t>
  </si>
  <si>
    <t>Eur J Pediatr</t>
  </si>
  <si>
    <t>39854275</t>
  </si>
  <si>
    <t>Closure of ventricular septal defect in children with trisomy 18: perioperative events and long-term survival.</t>
  </si>
  <si>
    <t>OBJECTIVES: This retrospective study aimed to investigate the feasibility of surgical closure of ventricular septal defect in children with trisomy 18 by assessing perioperative events and long-term survival. METHODS: From April 2008 to March 2024, 41 consecutive patients were referred to us for ventricular septal defect surgery. The defect was closed in 35 patients at the end (median age, 16 months; median body weight, 5.7 kg), 31 out of 37 patients after the preceding pulmonary artery banding according to our staged surgery policy and 4 patients without the banding. Sixty-five significant non-cardiac lesions existed concurrently, and 14 patients underwent tracheostomy before closure. The investigation was conducted by checking medical records and contacting the primary physician. RESULTS: Four patients died during the inter-stage after banding to closure (10.8%). Two of them were awaiting closure. Concomitant surgeries, 15 right ventricular muscle resections, or 1 arch repair, were performed along with closure. Arrhythmia was the most common adverse event (51.4%). Three patients required extracorporeal membrane oxygenation support. Transient but severe hepatic injury occurred in 11 patients (31.4%). There were two hospital death (5.7%) due to severe respiratory insufficiency or fulminant sepsis. Five patients died after discharge, three pneumonia and two sudden death, resulting in a 5-year estimated survival of 79.5%. Three hepatoblastoma and one hepatoangioma developed, but complete remission was achieved in all patients. CONCLUSIONS: Although further studies are mandatory, surgical closure of ventricular septal defect may be an effective treatment option even for children with trisomy 18.</t>
  </si>
  <si>
    <t>Interdiscip Cardiovasc Thorac Surg</t>
  </si>
  <si>
    <t>39937286</t>
  </si>
  <si>
    <t>Zanin A</t>
  </si>
  <si>
    <t>Early assessment of clinical complexity and home care in patients affected by trisomy 13 and 18.</t>
  </si>
  <si>
    <t>PURPOSE: Trisomy 13 and 18 consist of a recurrent pattern of multiple congenital anomalies. The aim of this study was to analyze the clinical characteristics and disease trajectory of a cohort of children with trisomy 13 and 18 followed up by an Italian pediatric palliative care service. METHODS: A single-center retrospective observational study was conducted examining the medical records of patients with trisomy 13 and 18 seen in the Pediatric Palliatives Care (PPC) center of the University Hospital of Padua from 2007 to 2022. RESULTS: Seventeen patients were included in the analysis. All were born alive; four children are still alive and only three (23%) died at home. All presented high care complexity, as estimated by ACCAPED index (median 86, range 38-129). The median time to receive care from PPC was 3 months (0-108). All patients' parents shared an advance care plan with the PPC team: 13/17 patients (76%) accepted a do not resuscitate (DNR) order. Approximately 12% of patients received at least one surgery. The trend of survival compared with other cohorts reported in the literature does not appear to differ significantly after the initial stages. CONCLUSIONS: The possible recognition of an early evolution toward medical complexity and the availability of home care resources and programs are crucial factors in the management of these children. These indices could become a driving factor in the definition of new outcomes that are more patient-oriented, in addition to mortality. WHAT IS KNOWN: • Trisomy 13 and 18 are serious genetic conditions with high mortality rates. In the last years medical interventions including surgery are being offered more frequently, though the appropriateness of these interventions is still debated. WHAT IS NEW: • The study emphasizes the crucial role of early referral to specialized pediatric palliative care teams and the coordination they provide enabling families to care for their children at home, even with complex medical needs.</t>
  </si>
  <si>
    <t>Journal Article; Observational Study</t>
  </si>
  <si>
    <t>40010013</t>
  </si>
  <si>
    <t>Mannava SV</t>
  </si>
  <si>
    <t>Gastrostomy Tube Placement in Patients With Trisomy 13 and 18: Surgical Decision Making and Outcomes.</t>
  </si>
  <si>
    <t>PURPOSE: Trisomy 13 (T13) and trisomy 18 (T18) are chromosomal abnormalities which portend high rates of feeding dysfunction and infant mortality risk. Although gastrostomy tube (GT) placement is commonly performed in this population, there is limited data assessing outcomes associated with this procedure. Our aim was to determine survival outcomes among GT and non-GT patients with T13/18. METHODS: We performed a retrospective cohort study of patients with T13 and T18 treated at our institution from 2005 through 2020. We compared baseline characteristics and survival data between GT and non-GT patients and performed multivariable survival analysis. RESULTS: We analyzed a total of 86 patients (23 GT, 63 non-GT). Over one-third of GT patients underwent the procedure during initial admission and most GTs were used for longer than one year (60.9 %). Significantly more GT patients survived initial discharge (87 % vs. 57.1 %, p &lt; 0.001) and were alive at follow-up (43.5 % vs. 6.3 %, p &lt; 0.001) compared to non-GT patients. Thirty-day post-discharge survival was determined solely by GT status and not impacted by predictors. GT patients had reduced overall mortality risk compared to non-GT patients in the first year of life (HR = 0.10 [95 % CI 0.04-0.29], p &lt; 0.001) and during the fifteen-year study period (HR = 0.15 [95 % CI 0.06-0.35], p &lt; 0.001). CONCLUSIONS: GT status predicted 30-day post-discharge survival in our cohort. GT patients had reduced overall mortality risk compared to non-GT patients. In patients with expected survival to initial discharge and feeding difficulty, GT placement at or after initial admission may be associated with improved survival outcomes. LEVEL OF EVIDENCE: III.</t>
  </si>
  <si>
    <t>J Pediatr Surg</t>
  </si>
  <si>
    <t>40537699</t>
  </si>
  <si>
    <t>de Sá Bittencourt Câmara Bastos C</t>
  </si>
  <si>
    <t>Outcomes of heart surgery in neonates with trisomy 13 and 18: a systematic review with metanalysis.</t>
  </si>
  <si>
    <t>This systematic review and meta-analysis aimed to evaluate the clinical outcomes of cardiac surgery in neonates with trisomy 13 (T13) or trisomy 18 (T18) compared to those managed with palliative care. A literature search was conducted in PubMed® and EMBASE®, following PRISMA guidelines, and included five retrospective cohort studies (1627 patients). Outcomes analyzed included in-hospital mortality, survival at 12 months, length of stay (LOS), hospital discharge rates, and the need for mechanical ventilation. The meta-analysis showed that cardiac surgery significantly reduced the odds of in-hospital mortality (OR 0.12, CI 95% 0.03-0.42, p &lt; 0.01), increased survival at 12 months (OR 19.77, CI 95% 5.12-76.36, p &lt; 0.01), and improved discharge rates (OR 12.53, CI 95% 3.63-43.22, p &lt; 0.01). However, limited data were available on quality of life and mechanical ventilation duration. Conclusion: Despite the positive impact of cardiac surgery on survival and discharge rates, the evidence remains low quality, as the included studies were primarily retrospective cohorts with moderate risk of bias. The findings highlight the importance of involving families in the decision-making process, given their differing perspectives on quality of life. Further high-quality studies, such as randomized controlled trials, are needed to provide stronger evidence on this topic.</t>
  </si>
  <si>
    <t>Journal Article; Systematic Review; Meta-Analysis</t>
  </si>
  <si>
    <t>40599664</t>
  </si>
  <si>
    <t>Armour E</t>
  </si>
  <si>
    <t>Liveborn children with trisomy 18: A retrospective review.</t>
  </si>
  <si>
    <t>BACKGROUND: Historically, children born alive with trisomy 18 were considered to have a lethal genetic condition such that no medical interventions were provided. While survival is now recognized to be possible, these children's lives include aspects of technological dependency, medical complexity, and neurodevelopmental disabilities. OBJECTIVES: The primary aim of this study was to describe the outcomes of a contemporary Canadian population-based cohort of children born alive with trisomy 18. METHODS: A retrospective study was conducted to review the records of children born alive with trisomy 18 from January 2012 to December 2023 in Central/Northern Alberta. Demographic and clinical information were abstracted, including features reported in the literature associated with morbidity and mortality. Outcomes were described, including technological dependency, time spent in the hospital, and survival. RESULTS: In total, 37 liveborn infants with complete trisomy 18 were identified. While most died in hospital following medical-surgical interventions and/or comfort-care palliation, nine were discharged home. All of these children had been born at term with a birthweight ≥1750 g. While they relied on medical technologies such as home oxygen and feeding tubes at the time of discharge, most were able to spend a considerable amount of time at home rather than being re-hospitalized. At the time of this review, four remain alive varying in age from 6 to 9 years. CONCLUSIONS: Trisomy 18 is not a homogeneous clinical condition. Some children may have their lives extended to spend their lives at home with their families.</t>
  </si>
  <si>
    <t>Paediatr Child Health</t>
  </si>
  <si>
    <t>40920381</t>
  </si>
  <si>
    <t>Ludorf KL</t>
  </si>
  <si>
    <t>Long-Term Survival Among Children With Trisomy 13 and Trisomy 18 by Cytogenetic Status.</t>
  </si>
  <si>
    <t>IMPORTANCE: Trisomy 13 (T13) and trisomy 18 (T18) are chromosomal abnormalities with high mortality rates in the first year of life. Understanding differences in long-term survival between children with full vs mosaic or partial trisomy is crucial for prognosis and health care planning. OBJECTIVE: To examine the differences in 10-year survival between children with full T13 and T18 vs those with mosaic or partial trisomy. DESIGN, SETTING, AND PARTICIPANTS: This retrospective, population-based cohort study assessed liveborn infants with T13 and T18 in the Texas Birth Defects Registry (deliveries from January 1, 1999, to December 31, 2008). Follow-up was through December 31, 2018 (the last date available at the time of analyses) to allow for 10 years of follow-up for all infants. All analyses were conducted from January 1, 2022, to December 31, 2024. EXPOSURES: Cytogenetic status (full trisomy vs mosaic or partial trisomy). MAIN OUTCOMES AND MEASURES: The primary outcome was survival to 10 years of age, assessed using Kaplan-Meier survival estimates. The association between cytogenetic status and mortality by 10 years of age was assessed using Cox proportional hazards regression to generate hazard ratios (HRs). Population attributable fraction was calculated to determine the percentage of survival attributable to mosaic or partial trisomy status. RESULTS: The study cohort included 798 infants (463 female infants [58.0%]; mean [SD] maternal age, 30.9 [8.0] years) with T13 (n = 295) or T18 (n = 503). Among all cases with T13, 25 infants (8.5%; 95% CI, 5.5%-12.3%) survived to 10 years of age. Similarly, among all infants with T18, 43 (8.6%; 95% CI, 6.3%-11.3%) survived to 10 years of age. Kaplan-Meier survival estimates to 10 years of age were statistically significantly higher among children with mosaic or partial trisomy (13 [25.0%] and 14 [43.8%], respectively) compared with full trisomy (12 [4.9%] and 29 [6.6%], respectively) (both P &lt; .001). Infants with full trisomy had statistically significantly increased 10-year mortality hazards compared with those with mosaic or partial trisomy for both T13 (HR, 2.00; 95% CI, 1.42-2.82) and T18 (HR, 3.34; 95% CI, 2.08-5.38). The results of the calculated proportion of 10-year survival due to the presence of nonfull trisomy status (population attributable fraction) was 41.7% for children with T13 and 27.9% for children with T18. CONCLUSIONS AND RELEVANCE: The findings of this cohort study of infants with T13 and T18 support differences in long-term survival based on cytogenetic status and emphasize the need to potentially reassess the context of these conditions generally being considered incompatible with life, particularly for those with mosaic trisomies. These findings offer context surrounding treatment decisions, such as withholding interventions, for affected infants in the future.</t>
  </si>
  <si>
    <t>JAMA Netw Open</t>
  </si>
  <si>
    <t>Journal Article; Research Support, Non-U.S. Gov't</t>
  </si>
  <si>
    <t>Sobrevida de longo prazo por status citogenético (completa x mosaico/parcial).</t>
  </si>
  <si>
    <t>41420650</t>
  </si>
  <si>
    <t>Reischer T</t>
  </si>
  <si>
    <t>Clinical course and perinatal management of fetuses and newborns affected by trisomy 13 and 18: a retrospective single-centre cohort study.</t>
  </si>
  <si>
    <t>Objectives Trisomy 13 (T13) and 18 (T18) are lethal chromosomal abnormalities. While the prognosis is generally poor, recent evidence suggests that some infants with T13 and T18 are able to survive longer than previously supposed. These findings underline the importance of an individualised approach to perinatal/neonatal care. Methods This retrospective study included 193 pregnancies with T13 and T18 in a single tertiary center between 2005 and 2023. Fetal and maternal characteristics, overall survival, and perinatal and postnatal management were analysed. Results Of 193 affected fetuses, 142 (73.6%) were diagnosed with T18 and 51 (26.4%) with T13. Associated malformations were present in 90.7% (175 cases), with congenital heart defects being the most common (42%). A total of 161 (83,4%) women opted for termination of pregnancy (TOP). Gestational age at diagnosis was significantly higher among women opting to continue pregnancy compared to those opting for TOP. Among women continuing pregnancy, 65.6% (21/32) experienced intrauterine fetal death. Eleven pregnancies resulted in live births. Survival times for infants born alive ranged from 6 min to 60 days, with a median survival time of 18 h. Newborns affected by T18 lived significantly longer than those with T13 (median 33 h vs 6.5 h).Conclusion: The duration of survival in infants with T13 and T18 remains highly variable and difficult to predict. Management strategies must therefore be clarified within an interdisciplinary framework, supporting families through informed, individualised decision-making while balancing the poor prognosis with a focus on comfort, dignity, and quality of life.</t>
  </si>
  <si>
    <t>37822198</t>
  </si>
  <si>
    <t>Mehl JM</t>
  </si>
  <si>
    <t>Causes of death in individuals with trisomy 18 after the first year of life.</t>
  </si>
  <si>
    <t>Mortality in individuals with trisomy 18 has significantly decreased over the past 20 years, but there is scant literature addressing the prognosis and cause of death in individuals with trisomy 18 and survival past the first year of life (YOL). This study analyzed factors associated with mortality and cause of death in a retrospective cohort of 174 individuals with trisomy 18 and survival past the first YOL, the largest such series to date. Data were collected via retrospective survey of parents of affected individuals. Prenatal diagnosis of trisomy 18; postnatal respiratory distress; maternal age &gt; 35 years; birthweight &lt;2000 g; brain and spinal cord defect(s); atrial and/or ventricular septal defect(s); inability to feed orally without medical assistance; and failure to meet sitting and rolling milestones were associated with mortality in this sample. Cause of death was compared between our cohort of individuals with trisomy 18 and existing literature on those with mortality before the first YOL. Individuals with trisomy 18 with mortality after the first YOL demonstrated a predominance of infectious (n = 10/22) and postoperative (n = 6/22) contributing causes of death, in contrast to the existing literature, which shows a predominance of cardiopulmonary causes of death (e.g., cardiopulmonary arrest, pulmonary hypertension). These findings demonstrate that individuals with trisomy 18 and survival past the first YOL have unique medical needs, but further research is needed to develop clinical guidelines for this growing population.</t>
  </si>
  <si>
    <t>Destaque: maior série de sobreviventes além de 1 ano (174; questionário de pais). Diagnóstico pré-natal entre os fatores associados à mortalidade.</t>
  </si>
  <si>
    <t>38071520</t>
  </si>
  <si>
    <t>Kutsukake M</t>
  </si>
  <si>
    <t>Treatment courses and outcomes of oesophageal atresia in patients with trisomy 18: a case series of 271 patients from a nationwide database in Japan.</t>
  </si>
  <si>
    <t>OBJECTIVE: To describe characteristics, treatments and clinical outcomes of patients with trisomy 18 and oesophageal atresia, using a nationwide database in Japan. DESIGN: Descriptive study using a retrospective cohort. SETTING: A nationwide inpatient database including 90% of hospitals with neonatal intensive care units in Japan. PATIENTS: Patients hospitalised within a day after birth for both oesophageal atresia and trisomy 18 between July 2010 and March 2020. INTERVENTIONS: Radical surgery for oesophageal atresia. MAIN OUTCOME MEASURES: Characteristics, treatment course and outcomes. RESULTS: Among 271 patients with both oesophageal atresia and trisomy 18, 70 patients underwent radical surgery for oesophageal atresia. Patients who underwent radical surgery were less likely to have severe cardiac anomalies (17% vs 32%; p=0.020), but more likely to undergo cardiac surgery (21% vs 9.5%; p=0.012) than those who did not. The overall in-hospital mortality was lower (54% vs 79%; p&lt;0.001) and the median age at death was higher (210 days vs 39 days; p&lt;0.001) in patients who underwent radical surgery than the others. Postoperative mortality within 30 days after radical surgery was 5.7%. Patients who underwent radical surgery were likely to be discharged to home (50% vs 18%; p&lt;0.001), whereas the age at home discharge (median 314 days vs 216 days; p=0.19) and the requirement for each home treatment did not differ significantly by radical surgery. CONCLUSION: This study provides information that will aid the clinical decision-making process for patients with oesophageal atresia and trisomy 18. Radical surgery may be a safe and feasible treatment option.</t>
  </si>
  <si>
    <t>Arch Dis Child Fetal Neonatal Ed</t>
  </si>
  <si>
    <t>38340889</t>
  </si>
  <si>
    <t>Greenberg JW</t>
  </si>
  <si>
    <t>Contemporary Trends in Cardiac Surgical Care for Trisomy 13 and 18 Patients Admitted to Hospitals in the United States.</t>
  </si>
  <si>
    <t>OBJECTIVE: To assess rates of cardiac surgery and the clinical and demographic features that influence surgical vs nonsurgical treatment of congenital heart disease (CHD) in patients with trisomy 13 (T13) and trisomy 18 (T18) in the United States. STUDY DESIGN: A retrospective study was performed using the Pediatric Health Information System. All hospital admissions of children (&lt;18 years of age) with T13 and T18 in the United States were identified from 2003 through 2022. International Classifications of Disease (ICD) codes were used to identify presence of CHD, extracardiac comorbidities/malformations, and performance of cardiac surgery. RESULTS: Seven thousand one hundred thirteen patients were identified. CHD was present in 62% (1625/2610) of patients with T13 and 73% (3288/4503) of patients with T18. The most common CHD morphologies were isolated atrial/ventricular septal defects (T13 40%, T18 42%) and aortic hypoplasia/coarctation (T13 21%, T18 23%). Single-ventricle morphologies comprised 6% (100/1625) of the T13 and 5% (167/3288) of the T18 CHD cohorts. Surgery was performed in 12% of patients with T13 plus CHD and 17% of patients with T18 plus CHD. For all cardiac diagnoses, &lt;50% of patients received surgery. Nonsurgical patients were more likely to be born prematurely (P &lt; .05 for T13 and T18). The number of extracardiac comorbidities was similar between surgical/nonsurgical patients with T13 (median 2 vs 2, P = .215) and greater in surgical vs nonsurgical patients with T18 (median 3 vs 2, P &lt; .001). Hospital mortality was &lt;10% for both surgical cohorts. CONCLUSIONS: Patients with T13 or T18 and CHD receive surgical palliation, but at a low prevalence (≤17%) nationally. Given operative mortality &lt;10%, opportunity exists perhaps for quality improvement in the performance of cardiac surgery for these vulnerable patient populations.</t>
  </si>
  <si>
    <t>J Pediatr</t>
  </si>
  <si>
    <t>38884184</t>
  </si>
  <si>
    <t>Tamaki S</t>
  </si>
  <si>
    <t>Impact of definitive surgery for esophageal atresia on long-term outcomes in patients with trisomy 18.</t>
  </si>
  <si>
    <t>This study investigates the long-term outcomes of palliative and definitive surgeries for esophageal atresia (EA) in patients with trisomy 18 syndrome. A retrospective study included 25 cases undergoing EA surgery at our center between 2008 and 2022. The Palliative group (n = 16) comprised 13 cases with esophageal banding and 3 with tracheoesophageal fistula (TEF) division. The Definitive group (n = 9) included 5 cases with primary repair and 4 with staged repair following TEF division. The patient characteristics exhibited no significant differences between the groups. In the Definitive group, 56% (5/9) were successfully weaned off mechanical ventilation, compared with none in the Palliative group (p = 0.002). Survival-to-discharge rates were 31% (5/16) in the Palliative group and 67% (6/9) in the Definitive group. Home ventilator management was required for all 5 cases that required ventilation in the Palliative group, whereas only 17% (1/6) in the Definitive group needed it. The Palliative group also required continuous oral suction for persistent saliva removal, with two cases undergoing laryngotracheal separation. Overall, definitive surgery for EA in patients with trisomy 18 syndrome may provide enhanced respiratory stability, thereby improving the survival-to-discharge rate and overall quality of life for patients and their families.</t>
  </si>
  <si>
    <t>39296445</t>
  </si>
  <si>
    <t>Greene CL</t>
  </si>
  <si>
    <t>Operative and nonoperative outcomes in patients with trisomy 13 and 18 with congenital heart disease.</t>
  </si>
  <si>
    <t>OBJECTIVE: To evaluate the short- and long-term outcomes of cardiac repair versus nonoperative management in patients with trisomy 13 and trisomy 18 with congenital heart disease. METHODS: An institutional review board-approved, retrospective review was undertaken to identify all patients admitted with trisomy 13/18 and congenital heart disease. Patients were divided into 2 cohorts (operated vs nonoperated) and compared. RESULTS: Between 1985 and 2023, 62 patients (34 operated and 28 nonoperated) with trisomy 13 (n = 9) and trisomy 18 (n = 53) were identified. The operated cohort was 74% girls, underwent mainly The Society of Thoracic Surgeons-European Association for Cardio-Thoracic Surgery mortality category 1 procedures (n = 24 [71%]) at a median age of 2.5 months (interquartile range [IQR], 1.3-4.5 months). This compares with the nonoperative cohort where 64% (n = 18) would have undergone The Society of Thoracic Surgeons-European Association for Cardio-Thoracic Surgery mortality category 1 procedures if surgery would have been elected. The most common diagnosis was ventricular septal defect. Postoperative median intensive care unit stay was 6.5 days (IQR, 3.7-15 days) with a total hospital length of stay of 15 days (IQR, 11-49 days). Thirty-day postoperative survival was 94%. There were 5 in-hospital deaths in the operated and 7 in the nonoperated cohort. Median follow-up was 15.4 months (IQR, 4.3-48.7 months) for the operated and 11.2 months (IQR, 1.2-48.3 months) for the nonoperated cohorts. One-year survival was 79% operated versus 51.5% nonoperated (P &lt; .003). Nonoperative treatment had an increased risk of mortality (hazard ratio, 3.28; 95% CI, 1.46-7.4; P = .004). CONCLUSIONS: Controversy exists regarding the role of primary cardiac repair in patients with trisomy 13/18 and congenital heart disease. Cardiac repair can be performed safely with low early mortality and operated patients had higher long-term survival compared with nonoperated in our cohort.</t>
  </si>
  <si>
    <t>JTCVS Open</t>
  </si>
  <si>
    <t>40016985</t>
  </si>
  <si>
    <t>Schlosser MP</t>
  </si>
  <si>
    <t>Liveborn children with trisomy 18: A scoping review.</t>
  </si>
  <si>
    <t>BACKGROUND: There have been an increasing number of publications related to trisomy 18 associated with a shift in the philosophy of care. The objective of this review is to understand the scope of contemporary literature informing the care of children born alive with trisomy 18. METHODS: Included was peer-reviewed, primary literature in MEDLINE, Embase, CINAHL, Scopus, Web of Science, and Cochrane Library from 2012 to 2023 reporting outcomes of children born alive with trisomy 18. Data extraction involved descriptive statistics of the types of studies, and an inductive thematic analysis of the questions addressed by the studies. RESULTS: Of 4628 records identified, 229 met inclusion criteria. Key themes were organized around the domains: What is trisomy 18? What are the chances of survival with trisomy 18? What can be done to improve the chances of survival with trisomy 18? How do children with trisomy 18 die? Do surgical interventions provide a benefit? Are there non-surgical options? What knowledge is informing medical management? How is life described for children with trisomy 18? What are children with trisomy 18 like as babies and as they get older? What is life like for families caring for children with trisomy 18? CONCLUSIONS: A sizeable number of publications grouped trisomy 18 with other syndromes. Relatively few showed the longitudinal evolution of medical issues associated with trisomy 18, nor did they unfold the clinical heterogeneity of this population. This review shows the limited knowledge base guiding decision-making and care for children born alive with trisomy 18.</t>
  </si>
  <si>
    <t>Journal Article; Scoping Review</t>
  </si>
  <si>
    <t>Destaque: revisão de escopo sobre nascidos vivos com T18.</t>
  </si>
  <si>
    <t>36402594</t>
  </si>
  <si>
    <t>Hafezi N</t>
  </si>
  <si>
    <t>Surgical History and Outcomes in Trisomy 13 and 18: A Thirty-year Review.</t>
  </si>
  <si>
    <t>BACKGROUND: Patients with Trisomy 13(T13) and 18(T18) have many comorbidities that may require surgical intervention. However, surgical care and outcomes are not well described, making patient selection and family counseling difficult. Here the surgical history and outcomes of T13/ T18 patients are explored. METHODS: A retrospective review of patients with T13 or T18 born between 1990 and 2020 and cared for at a tertiary children's hospital (Riley Hospital for Children, Indianapolis IN) was conducted, excluding those with insufficient records. Primary outcomes of interest were rates of mortality overall and after surgery. Factors that could predict mortality outcomes were also assessed. RESULTS: One-hundred-seventeen patients were included, with 65% T18 and 35% T13. More than half of patients(65%) had four or more comorbidities. Most deaths occurred by three months at median 42.0 days. Variants of classic trisomies (mosaicism, translocation, partial duplication; p = 0.001), higher birth weight(p = 0.002), and higher gestational age(p = 0.01) were associated with lower overall mortality, while cardiac(p = 0.002) disease was associated with higher mortality. Over half(n = 64) underwent surgery at median age 65 days at time of first procedure. The most common surgical procedures were general surgical. Median survival times were longer in surgical rather than nonsurgical patients(p&lt;0.001). Variant trisomy genetics(p = 0.002) was associated with lower mortality after surgery, while general surgical comorbidities(p = 0.02), particularly tracheoesophageal fistula/esophageal atresia(p = 0.02), were associated with increased mortality after surgery. CONCLUSIONS: Trisomy 13 and 18 patients have vast surgical needs. Variant trisomy was associated with lower mortality after surgery while general surgical comorbidities were associated with increased mortality after surgery. Those who survived to undergo surgery survived longer overall. LEVEL OF EVIDENCE: III.</t>
  </si>
  <si>
    <t>36776116</t>
  </si>
  <si>
    <t>Mizrahi M</t>
  </si>
  <si>
    <t>Trisomy 18: disparities of care and outcomes in the State of Texas between 2009 and 2019.</t>
  </si>
  <si>
    <t>OBJECTIVE: To perform a statewide characteristics and outcomes analysis of the Trisomy 18 (T18) population and explore the potential impact of associated congenital heart disease (CHD) and congenital heart surgery. STUDY DESIGN: Retrospective review of the Texas Hospital Inpatient Discharge Public Use Data File between 2009 and 2019, analysing discharges of patients with T18 identified using ICD-9/10 codes. Discharges were linked to analyse patients. Demographic characteristics and available outcomes were evaluated. The population was divided into groups for comparison: patients with no documentation of CHD (T18NoCHD), patients with CHD without congenital heart surgery (T18CHD), and patients who underwent congenital heart surgery (T18CHS). RESULTS: One thousand one hundred fifty-six eligible patients were identified: 443 (38%) T18NoCHD, 669 (58%) T18CHD, and 44 (4%) T18CHS. T18CHS had a lower proportion of Hispanic patients (n = 9 (20.45%)) compared to T18CHD (n = 315 (47.09%)), and T18NoCHD (n = 219 (49.44%)) (p &lt; 0.001 for both). Patients with Medicare/Medicaid insurance had a 0.42 odds ratio (95%CI: 0.20-0.86, p = 0.020) of undergoing congenital heart surgery compared to private insurance. T18CHS had a higher median total days in-hospital (47.5 [IQR: 12.25-113.25] vs. 9 [IQR: 3-24] and 2 [IQR: 1-5], p &lt; 0.001); and a higher median number of admissions (n = 2 [IQR: 1-4]) vs. 1 [IQR: 1-2] and 1 [IQR: 1-1], (p &lt; 0.001 for both). However, the post-operative median number of admissions for T18CHS was 0 [IQR: 0-2]. After the first month of life, T18CHS had freedom from in-hospital mortality similar to T18NoCHD and superior to T18CHD. CONCLUSIONS: Short-term outcomes for T18CHS patients are encouraging, suggesting a freedom from in-hospital mortality that resembles the T18NoCHD. The highlighted socio-economic differences between the groups warrant further investigation. Development of a prospective registry for T18 patients should be a priority for better understanding of longer-term outcomes.</t>
  </si>
  <si>
    <t>Cardiol Young</t>
  </si>
  <si>
    <t>36863687</t>
  </si>
  <si>
    <t>Bouzaglou A</t>
  </si>
  <si>
    <t>Management and survival of foetuses with trisomy 18 in a French retrospective cohort.</t>
  </si>
  <si>
    <t>OBJECTIVES: The main objective of this study was to evaluate parents' current demands following the announcement of trisomy 18 and maternal risks. MATERIAL AND METHODS: A single-centre retrospective study was performed in the Paris Saclay Foetal Medicine Department from 2018 to 2021. All patients followed up in the department who had cytogenetic confirmation of trisomy 18 were included. RESULTS: 89 patients were recruited. The most common malformations at ultrasound examination were cardiac or brain abnormalities, distal arthrogryposis as well as severe intrauterine growth retardation. 29% of foetuses with trisomy 18 had more than three malformations. 77.5% of patients requested medical termination of pregnancy. Among the 19 patients who chose to continue their pregnancy, 10 (52.6%) presented with obstetrical complications, of which 7 (41.2%) experienced stillbirth; five babies were born alive with no survival at 6 months. CONCLUSION: In France, in the case of foetal trisomy 18, most women request termination of pregnancy. In the post-natal period, the management of a newborn with trisomy 18 is oriented towards palliative care. The mother's risk of obstetrical complications should be part of counselling. Follow-up, support and safety should be the goal of management of these patients, regardless of the patient's choice.</t>
  </si>
  <si>
    <t>J Gynecol Obstet Hum Reprod</t>
  </si>
  <si>
    <t>36882305</t>
  </si>
  <si>
    <t>Glinianaia SV</t>
  </si>
  <si>
    <t>Ten-year survival of children with trisomy 13 or trisomy 18: a multi-registry European cohort study.</t>
  </si>
  <si>
    <t>OBJECTIVE: To investigate the survival to 10 years of age of children with trisomy 13 (T13) and children with trisomy 18 (T18), born 1995-2014. DESIGN: Population-based cohort study that linked mortality data to data on children born with T13 or T18, including translocations and mosaicisms, from 13 member registries of EUROCAT, a European network for the surveillance of congenital anomalies. SETTING: 13 regions in nine Western European countries. PATIENTS: 252 live births with T13 and 602 with T18. MAIN OUTCOME MEASURES: Survival at 1 week, 4 weeks and 1, 5 and 10 years of age estimated by random-effects meta-analyses of registry-specific Kaplan-Meier survival estimates. RESULTS: Survival estimates of children with T13 were 34% (95% CI 26% to 46%), 17% (95% CI 11% to 29%) and 11% (95% CI 6% to 18%) at 4 weeks, 1 and 10 years, respectively. The corresponding survival estimates were 38% (95% CI 31% to 45%), 13% (95% CI 10% to 17%) and 8% (95% CI 5% to 13%) for children with T18. The 10-year survival conditional on surviving to 4 weeks was 32% (95% CI 23% to 41%) and 21% (95% CI 15% to 28%) for children with T13 and T18, respectively. CONCLUSIONS: This multi-registry European study found that despite extremely high neonatal mortality in children with T13 and T18, 32% and 21%, respectively, of those who survived to 4 weeks were likely to survive to age 10 years. These reliable survival estimates are useful to inform counselling of parents after prenatal diagnosis.</t>
  </si>
  <si>
    <t>Arch Dis Child</t>
  </si>
  <si>
    <t>37070966</t>
  </si>
  <si>
    <t>Nowakowska A</t>
  </si>
  <si>
    <t>Prenatal echocardiography in Trisomy 18 - the key to diagnosis and further management in the second half of pregnancy.</t>
  </si>
  <si>
    <t>OBJECTIVES: Trisomy 18 is an autosomal chromosomal disorder, which is associated with numerous ranges of congenital anomalies. Purpose of this largest study in Poland was to analyze diagnosis and follow-up of fetuses with the prenatal diagnosis of Trisomy 18 in our tertiary center. MATERIAL AND METHODS: The study was conducted in a tertiary center for fetal cardiology. The inclusion criteria comprised fetuses with karyotype of Trisomy 18. Data on number of delivery, number of pregnancy, cardiac and extracardiac diseases, type and date of childbirth, sex, birth date, Apgar score, survival time and autopsy were analyzed. RESULTS: There were 41 fetuses with diagnosis confirmed by amniocentesis: 34 were females, 7 males. CHD was detected prenatally in 73% cases at mean gestational age of 26 weeks. The most common CHD was AV-canal (13 cases, 43%) and VSD (13 cases, 43%). In 1999-2010 the average time to detect a heart defect was 29 weeks, in 2011-2021 it was 23 weeks (p &lt; 0.01, U-Mann-Whitney). IUGR was diagnosed in the 3rd trimester in 29 cases (70%), polyhydramnion in 21 cases (51%). CONCLUSIONS: Congenital heart defects in female fetuses with intrauterine growth restriction in 3rd trimester with polyhydramnios and in subsequent pregnancy, regardless of maternal age, were typical prenatal findings for Trisomy 18. Heart defects with incomplete septum such as AVC or VSD (which nowadays can be detected in the 1st half of the pregnancy) were the most common anomaly in Edwards Syndrome. These heart defects did not require intervention in the early neonatal period.</t>
  </si>
  <si>
    <t>Ginekol Pol</t>
  </si>
  <si>
    <t>37210512</t>
  </si>
  <si>
    <t>Song IG</t>
  </si>
  <si>
    <t>Survival of children with trisomy 18 associated with the presence of congenital heart disease and intervention in the Republic of Korea.</t>
  </si>
  <si>
    <t>BACKGROUND: Trisomy 18 syndrome (T18) is the second most common autosomal trisomy and has a high risk of fetal loss and stillbirth. Aggressive surgical treatments for the respiratory, cardiac, or digestive systems of patients with T18 were previously futile, while the results of recent studies are controversial. Over the past decade, there have been approximately 300,000 to 400,000 births annually in the Republic of Korea; however, there have been no nationwide studies on T18. This nationwide retrospective cohort study aimed to determine the prevalence of T18 in Korea and its prognosis according to the presence of congenital heart disease and relevant interventions. METHODS: This study utilized NHIS-registered data between 2008 and 2017. A child was defined as having T18 if the ICD-10 revision code Q91.0-3 was reported. Subgroup analysis was performed for children with congenital heart diseases, and survival rates were compared based on the history of cardiac surgical or catheter interventions. The primary outcomes in this study were the survival rate during the first hospitalization period and the 1-year survival rate. RESULTS: Of the children born between 2008 and 2017, 193 were diagnosed with T18. Of these, 86 died, with a median survival of 127 days. The 1-year survival rate for children with T18 was 63.2%. The survival rate in the first admission of children with T18 who did and did not have congenital heart disease was 58.3% and 94.1%, respectively. Children with heart disease who underwent surgical or catheter intervention had a longer survival time than those who did not. CONCLUSIONS: We suggest these data could be used in ante- and postnatal counseling. Ethical concerns about the prolonged survival of children with T18 remain; however, the potential benefits of interventions for congenital heart disease in this population need further study.</t>
  </si>
  <si>
    <t>BMC Pediatr</t>
  </si>
  <si>
    <t>37698299</t>
  </si>
  <si>
    <t>Takai A</t>
  </si>
  <si>
    <t>Effectiveness of cardiac palliative surgery for trisomy 18 patients with increased pulmonary blood flow.</t>
  </si>
  <si>
    <t>Congenital heart disease (CHD) is common among patients with trisomy 18 (T18), but cardiac surgery has been rarely indicated for T18 patients due to their short life span. Although the therapeutic effects of aggressive interventions were recently demonstrated for T18 patients, the subjects and factors examined varied, resulting in inconsistent findings. Therefore, the effects of cardiac surgery for T18 remain unclear. We herein investigated the outcomes of cardiac palliative surgery for CHD with increased pulmonary blood flow in T18 patients. 27 patients were examined: 13 (48.1%) underwent cardiac palliative surgery and 14 (51.9%) did not. Median survival times in the no-surgery and surgery groups were 223.0 days (95% confidence interval [CI]: 46-361 days) and 723.0 days (95% CI: 360-1447 days), respectively. The number of patients with pulmonary hypertension significantly differed between the two groups (5 of 14 in the no-surgery group and 0 in the surgery group). Five of 14 patients in the no-surgery group and 10 of 13 in the surgery group were discharged to home care (odds ratio: 10.8 [95% CI: 1.07-110.0]). Therefore, cardiac palliative surgery may be used to treat CHD with increased pulmonary blood flow in T18 patients.</t>
  </si>
  <si>
    <t>37821084</t>
  </si>
  <si>
    <t>Lee JA</t>
  </si>
  <si>
    <t>Major Congenital Anomalies in Korean Livebirths in 2013-2014: Based on the National Health Insurance Database.</t>
  </si>
  <si>
    <t>BACKGROUND: In Korea, there have been no reports comparing the prevalence of major congenital anomalies with other countries and no reports on surgical treatment and long-term mortality. We investigated the prevalence of 67 major congenital anomalies in Korea and compared the prevalence with that of the European network of population-based registries for the epidemiological surveillance of congenital anomalies (EUROCAT). We also investigated the mortality and age at death, the proportion of preterm births, and the surgical rate for the 67 major congenital anomalies. METHODS: Korean National Health Insurance claim data were obtained for neonates born in 2013-2014 and admitted within one-year-old. Sixty-seven major congenital anomalies were defined by medical diagnoses classified by International Classification of Diseases-10 codes according to the EUROCAT definition version 2014. Mortality and surgery were defined if any death or surgery claim code was confirmed until 2020. Poisson distribution was used to calculate the 95% confidence interval of the congenital anomaly prevalence. RESULTS: The total prevalence of the 67 major anomalies was 433.5/10,000 livebirths. When compared with the prevalence of each major anomaly in EUROCAT, the prevalence of spina bifida, atrial septal defect (ASD), congenital megacolon, hip dislocation and/or dysplasia and skeletal dysplasia were more than five times higher in Korea. In contrast, the prevalence of aortic atresia/interrupted aortic arch and gastroschisis was less than one-fifth in Korea. The proportion of preterm births was 15.7%; however, more than 40% of infants with anencephaly, annular pancreas and gastroschisis were preterm infants. Additionally, 29.2% of the major anomalies were admitted to the neonatal intensive care units at birth, and 25.6% received surgical operation. The mortality rate was 1.7%, and 78.2% of the deaths occurred within the first year of life. However, in neonates with tricuspid valve atresia and stenosis, duodenal atresia or stenosis, and diaphragmatic hernia, more than half died within their first month of life. ASD and ventricular septal defect were the most common anomalies, and trisomy 18 and hypoplastic left heart syndrome were the most fatal anomalies. All infants with aortic atresia/interrupted aortic arch and conjoined twins received surgery. CONCLUSION: The proportion of surgeries, preterm births and mortality was high in infants with major congenital anomalies. The establishment of a national registry of congenital anomalies and systematic support by national medical policies are needed for infants with major congenital anomalies in Korea.</t>
  </si>
  <si>
    <t>J Korean Med Sci</t>
  </si>
  <si>
    <t>38047023</t>
  </si>
  <si>
    <t>Significant improvement in survival outcomes of trisomy 18 with neonatal intensive care compared to non-intensive care: a single-center study.</t>
  </si>
  <si>
    <t>BACKGROUND: Trisomy 18 syndrome, also known as Edwards syndrome, is a chromosomal trisomy. The syndrome has historically been considered lethal owing to its poor prognosis, and palliative care was primarily indicated for trisomy 18 neonates. Although there have been several reports on the improvement of survival outcomes in infants with trisomy 18 syndrome through neonatal intensive care, few studies have compared the impact of neonatal intensive care on survival outcomes with that of non-intensive care. Therefore, we compared the survival-related outcomes of neonates with trisomy 18 between intensive and non-intensive care. METHODS: Seventeen infants of trisomy 18 admitted to our center between 2007 and 2019 were retrospectively studied. We divided the patients into a non-intensive group (n = 5) and an intensive group (n = 12) and evaluated their perinatal background and survival-related outcomes of the two groups. RESULTS: The 1- and 3-year survival rates were both 33% in the intensive group, which was significantly higher than that in the non-intensive group (p &lt; 0.001). Half of the infants in the intensive care group were discharged alive, whereas in the non-intensive care group, all died during hospitalization (p = 0.049). CONCLUSIONS: Neonatal intensive care for neonates with 18 trisomy significantly improved not only survival rates but also survival-discharge rates. Our findings would be helpful in providing 18 trisomy neonates with standard neonatal intensive care when discussing medical care with their parents.</t>
  </si>
  <si>
    <t>38075989</t>
  </si>
  <si>
    <t>Çelik M</t>
  </si>
  <si>
    <t>Effect of cardiac surgery on survival in patients with trisomy 18: A single-center experience.</t>
  </si>
  <si>
    <t>BACKGROUND: In this study, we aimed to compare the results of operated patients diagnosed with trisomy 18 with those who were followed with medical treatment alone. METHODS: Between May 2014 and January 2022, a total of 18 patients (6 males, 12 females; median age: 39 days; range, 32 to 79 days) diagnosed with trisomy 18 were retrospectively analyzed. Patient data were obtained from the pediatric cardiovascular surgery digital database. The patients were divided into two groups: those who underwent surgery (n=10) and those who were followed with medical treatment (n=8). RESULTS: Cardiac pathology was detected in all 18 patients included in the study. Three (30%) patients in the surgical group and two (25%) patients in the medical treatment group were discharged and followed with medical treatment. One of the three patients discharged after surgery died during follow-up. The median survival in surgical and medical treatment groups was 150 (range, 75 to 308) days and eight (range, 3 to 51) days, respectively (p=0.009). While patients in the medical treatment group died due to multi-organ failure, those in surgical group died due to sepsis, heart failure, and respiratory failure. CONCLUSION: Although cardiac surgery contributed positively to survival in patients with trisomy 18, the mortality rate was still high due to non-cardiac causes. We believe that a multidisciplinary approach would contribute positively to the treatment of this patient group with multi-organ failure and would aid in prolonging their life span.</t>
  </si>
  <si>
    <t>Turk Gogus Kalp Damar Cerrahisi Derg</t>
  </si>
  <si>
    <t>38088680</t>
  </si>
  <si>
    <t>Marçola L</t>
  </si>
  <si>
    <t>Patau and Edwards Syndromes in a University Hospital: beyond palliative care.</t>
  </si>
  <si>
    <t>OBJECTIVE: To describe the newborn population with Patau (T13) and Edwards Syndrome (T18) with congenital heart diseases that stayed in the Intensive Care Unit (ICU) of a quaternary care hospital complex, regarding surgical and non-surgical medical procedures, palliative care, and outcomes. METHODS: Descriptive case series conducted from January/2014 to December/2018 through analysis of records of patients with positive karyotype for T13 or T18 who stayed in the ICU of a quaternary hospital. Descriptive statistics analysis was applied. RESULTS: 33 records of eligible patients were identified: 27 with T18 (82%), and 6 T13 (18%); 64% female and 36% male. Eight were preterm infants with gestational age between 30-36 weeks (24%), and only 4 among the 33 infants had a birth weight &gt;2500 g (12%). Four patients underwent heart surgery and one of them died. Intrahospital mortality was 83% for T13, and 59% for T18. The majority had other malformations and underwent other surgical procedures. Palliative care was offered to 54% of the patients. The median hospitalization time for T18 and T13 was 29 days (range: 2-304) and 25 days (13-58), respectively. CONCLUSIONS: Patients with T13 and T18 have high morbidity and mortality, and long hospital and ICU stays. Multicentric studies are needed to allow the analysis of important aspects for creating protocols that, seeking therapeutic proportionality, may bring better quality of life for patients and their families.</t>
  </si>
  <si>
    <t>Rev Paul Pediatr</t>
  </si>
  <si>
    <t>Verificar o país (possivelmente Brasil).</t>
  </si>
  <si>
    <t>34889030</t>
  </si>
  <si>
    <t>Improving survival in patients with trisomy 18.</t>
  </si>
  <si>
    <t>The effects of medical and surgical interventions on the survival of patients with trisomy 18 have been reported, leading to changes in perinatal management and decision-making. However, few studies have fully reported the recent changes in survival and treatment of trisomy 18. We examined how treatment and survival of patients with trisomy 18 have changed over a decade in a Japanese pediatric tertiary referral center. This retrospective cohort study included patients with trisomy 18 who were admitted within the first 7 days of life at the Hyogo Prefectural Kobe Children's Hospital between 2008 and 2017. The patients were divided into early period (EP) and late period (LP) groups based on the birth year of 2008-2012 and 2013-2017, respectively. Changes in treatment and survival rates were compared between the two groups. A total of 56 patients were studied (29 in the EP group and 27 in the LP group). One-year survival rates were 34.5% and 59.3% in the EP and LP groups, respectively. The survival to discharge rate significantly increased from 27.6% in the EP group to 81.5% in the LP group (p &lt; 0.001). The proportion of patients receiving surgery, especially for congenital heart defects, significantly increased from 59% in the EP group to 96% in the LP group (p = 0.001). In our single-center study, survival and survival to discharge were significantly improved in patients with trisomy 18, probably because of increased rate of surgical interventions. These findings may facilitate better decision-making by patients' families and healthcare providers.</t>
  </si>
  <si>
    <t>35156266</t>
  </si>
  <si>
    <t>Matthews LJ</t>
  </si>
  <si>
    <t>Morbidity and mortality following noncardiac surgical procedures among children with autosomal trisomy.</t>
  </si>
  <si>
    <t>BACKGROUND: Trisomy 13 (T13), trisomy 18 (T18), and trisomy 21 (T21) are the most common autosomal trisomies. One unifying feature of all trisomies is their association with major congenital malformations, which often require life-prolonging surgical procedures. Few studies, mostly among cardiac surgery patients, have examined the outcome of those who undergo surgical procedures. We examined the differences in postsurgical outcomes between the trisomy groups. METHOD: Using the National Surgical Quality Improvement Program dataset, we identified children (&lt;18 years of age) with T13, T18, or T21 who underwent noncardiac surgery (2012-2018). We estimated the incidence of mortality and indicator of resource utilization (unplanned reoperation, unplanned tracheal reintubation, and extended length of hospital stay). RESULTS: Of the 349 158 inpatient surgical cases during the study period, we identified 4202 children with one of the autosomal trisomies of interest (T13: 152; T18: 335; and T21: 3715). The rates of postoperative mortality were substantially higher for T18 and T13 than T21 and nontrisomy children (T18 vs. T21: 11.1% vs. 1.6%, adjusted odds ratio: 5.01, 95%CI: 2.89,8.70, p &lt; .01), (T13 vs. T21: 8.1% vs. 1.6%, adjusted odds ratio: 2.86, 95%CI: 1.25,6.54, p = .01). Children with T18 had the highest rates of extended length of stay (62.7%) and prolonged mechanical ventilation (32.5%). T18 and T13 neonates had the highest surgical mortality burden (T13: 26.5%, T18: 31.8%, and T21: 2.8%). CONCLUSION: Approximately, one-third of T18 and T13 neonates, who had surgery, died, underscoring the lethality of these trisomies and the need for a comprehensive preoperative ethical discussion with families of these children.</t>
  </si>
  <si>
    <t>Paediatr Anaesth</t>
  </si>
  <si>
    <t>35452657</t>
  </si>
  <si>
    <t>Cortezzo DE</t>
  </si>
  <si>
    <t>Perinatal Outcomes of Fetuses and Infants Diagnosed with Trisomy 13 or Trisomy 18.</t>
  </si>
  <si>
    <t>OBJECTIVES: To identify factors associated with prenatal, perinatal, and postnatal outcomes, and determine medical care use for fetuses and infants with trisomy 13 (T13) and trisomy 18 (T18). STUDY DESIGN: This population-based retrospective cohort study included all prenatal and postnatal diagnoses of T13 or T18 in the greater Cincinnati area from January 1, 2012, to December 31, 2018. Overall survival, survival to hospital discharge, medical management, and maternal, fetal, and neonatal characteristics are analyzed. RESULTS: There were 124 pregnancies (125 fetuses) that were identified, which resulted in 72 liveborn infants. Male fetal sex and hydrops were associated with a higher rate of spontaneous loss. The median length of survival was 7 and 29 days, for infants with T13 and T18, respectively. Of the 27 infants alive at 1 month of age, 13 (48%) were alive at 1 year of age. Only trisomy type (T13), goals of care (comfort care), and extremely low birthweight were associated with a shorter length of survival. A high degree of variability existed in the use of medical services, with 28% of infants undergoing at least 1 surgical procedure and some children requiring repeated (≤29) or prolonged (&gt;1 year) hospitalizations. CONCLUSIONS: Although many infants with T13 or T18 did not survive past the first week of life, nearly 20% lived for more than 1 year with varying degrees of medical support. The length of survival for an infant cannot be easily predicted, and surviving infants have high health care use throughout their lifespans.</t>
  </si>
  <si>
    <t>35522316</t>
  </si>
  <si>
    <t>Silva C</t>
  </si>
  <si>
    <t>Trisomy 18-when the diagnosis is compatible with life.</t>
  </si>
  <si>
    <t>UNLABELLED: Trisomy 18 is an autosomal chromosomal disorder characterized by the presence of an extra 18 chromosome. In the last decades, and as novel therapeutic options emerged, a paradigm shift on the treatments available to these children occurred, establishing the need to deepen the knowledge regarding the management/treatment of children diagnosed with trisomy 18. This retrospective cohort study sought to characterize the clinical path and survival of the children with the diagnosis of trisomy 18 followed in a tertiary pediatric hospital between 1995 and 2020. Medical records were reviewed, and epidemiological and clinical features and follow-up data were collected. Six patients were identified, two with mosaicism (33.3%) and four were female (66.7%). All had cardiovascular, cognitive, and physical development anomalies or minor congenital anomalies. Most presented neurological anomalies (n = 4, 66.7%) and feeding difficulties (n = 4, 66.7%). Four children (66.7%) required medical devices or equipment and all required chronic medication. Two children (33.3%) underwent surgical interventions. Four children (66.7%) were hospitalized in the last year of life. Three patients had a do not resuscitate order (50%) but only one child was referred to a pediatric palliative care team (16.7%). One-month, 1-year, and 10-year survival were 66.7% (n = 4), 33.3% (n = 2, both with mosaicism), and 16.7% (n = 1, with mosaicism) respectively. CONCLUSIONS: Knowledge of the multiple comorbidities and complex care needs of children with this syndrome is crucial. Every-day care and decisions about invasive treatments may raise ethical issues. Early referral to pediatric palliative care teams is essential to promote a holistic advanced care plan for both the patient and his family. WHAT IS KNOWN: • The increase in survival and the high morbimortality that trisomy 18 still entails demands a careful deliberation on the use of invasive treatment. WHAT IS NEW: • Recent studies show that the labels of "incompatible with life"/"lethal" are not adequate, establishing a need to change this mindset. • The development of pediatric palliative care teams in the last decade and early referral allow for an optimal individualized advanced care plan. Under-referral to pediatric palliative care teams persists and efforts must be made to increase awareness of their existence and role in patient care.</t>
  </si>
  <si>
    <t>Inclui mosaicos (2 de 6): analisar separadamente.</t>
  </si>
  <si>
    <t>36013402</t>
  </si>
  <si>
    <t>Springer S</t>
  </si>
  <si>
    <t>Outcome after Prenatal Diagnosis of Trisomy 13, 18, and 21 in Fetuses with Congenital Heart Disease.</t>
  </si>
  <si>
    <t>Fetal congenital heart disease (CHD) is often associated with chromosomal abnormalities. Our primary aim was to assess stillbirth and neonatal mortality rates for pregnancies complicated by trisomies 13, 18, and 21 in the presence of CHD, from a single tertiary referral center during 2000-2020 in a retrospective cohort study. The secondary aims were to investigate maternal morbidity in these pregnancies, and to study the gestational or neonatal age when mortality occurred. Inclusion criteria were the prenatal diagnosis of at least one structural CHD, together with prenatally diagnosed fetal trisomy 13, 18, or 21. One-hundred and sixty patients with fetal trisomy 13 (14.4%), fetal trisomy 18 (28.8%), and fetal trisomy 21 (56.9%) were evaluated. In total, 98 (61.3%) families opted for the termination of pregnancy (TOP). Of the remaining 62 (38.8%) pregnancies, 16 (25.8%) resulted in intrauterine fetal death/death during delivery. Ten out of twenty-one (47.6%) infants with trisomy 13 or 18 were born alive. The livebirth rate was 87.8% (36/41) for infants with trisomy 21. Early neonatal death was observed in nine (19.6%) infants. Thirty-one (86.1%) infants with trisomy 21 survived the first year of life. These data may be helpful for counseling affected parents when the decision to terminate or continue the pregnancy should be considered.</t>
  </si>
  <si>
    <t>Life (Basel)</t>
  </si>
  <si>
    <t>36403096</t>
  </si>
  <si>
    <t>Stewart C</t>
  </si>
  <si>
    <t>Survival rates and outcomes of pregnancies with prenatal diagnosis of trisomy 18: A 16-year experience from a public hospital in South Africa.</t>
  </si>
  <si>
    <t>OBJECTIVE: Many studies, largely from high-income countries (HIC), have reported outcomes in babies with trisomy 18 (T18), with a paucity of data from Africa. Knowledge of outcomes is important in counselling women prenatally diagnosed with T18. We aimed to review all prenatally diagnosed cases of T18 between January 2006 and December 2021. METHOD: Demographic data, diagnosis, gestation and outcome data were obtained from the Astraia® database and patient files. RESULTS: We included 88 pregnant women of whom 46 terminated their pregnancies (30 beyond 24 weeks' gestation). Three underwent foeticides, one had a caesarean section for maternal obstetric reasons and 26 underwent inductions of labour without foetal monitoring. Four neonates were live born but none lived &gt;8 h. In those who continued their pregnancies, the mean gestation at delivery was 34.8 weeks, 14 (33%) were live births and only 5 survived for &gt;24 h with none surviving to 1 year of life. CONCLUSION: In our cohort, infants with T18 had lower live birth rates and shorter survival than in the current literature from HIC. This may be due to the implementation of non-aggressive intrapartum care and comfort care for the neonates. This has implications for counselling in our setting.</t>
  </si>
  <si>
    <t>Prenat Diagn</t>
  </si>
  <si>
    <t>África do Sul: diagnóstico pré-natal, sem sobreviventes a 1 ano.</t>
  </si>
  <si>
    <t>36590710</t>
  </si>
  <si>
    <t>Rosenblum JM</t>
  </si>
  <si>
    <t>Cardiac surgery in children with trisomy 13 or trisomy 18: How safe is it?</t>
  </si>
  <si>
    <t>OBJECTIVE: Surgery for heart defects in children with trisomy 13 or 18 is controversial. We analyzed our 20-year experience. METHODS: Since 2002, we performed 21 operations in 19 children with trisomy 13 (n = 8) or trisomy 18 (n = 11). Age at operation was 4 days to 12 years (median, 154 days). Principal diagnosis was ventricular septal defect in 10 patients, tetralogy of Fallot in 7 patients, arch hypoplasia in 1 patient, and patent ductus arteriosus in 1 patient. RESULTS: The initial operation was ventricular septal defect closure in 9 patients, tetralogy of Fallot repair in 7 patients, pulmonary artery banding in 1 patient, patent ductus arteriosus ligation in 1 patient, and aortic arch/coarctation repair in 1 patient. There were no operative or hospital deaths. Median postoperative intensive care and hospital stays were 189 hours (interquartile range, 70-548) and 14 days (interquartile range, 8.0-37.0), respectively, compared with median hospital stays in our center for ventricular septal defect repair of 4.0 days and tetralogy of Fallot repair of 5.0 days. On median follow-up of 17.4 months (interquartile range, 6.0-68), 1 patient was lost to follow-up after 5 months. Two patients had reoperation without mortality. There have been 5 late deaths (4 with trisomy 18, 1 with trisomy 13) predominately due to respiratory failure from 4 months to 9.4 years postoperatively. Five-year survival was 66.6% compared with 24% in a group of unoperated patients with trisomy 13 or 18. CONCLUSIONS: Cardiac operation with an emphasis on complete repair can be performed safely in carefully selected children with trisomy 13 or trisomy 18. Hospital resource use measured by postoperative intensive care and hospital stays is considerably greater compared with nontrisomy 13 and 18.</t>
  </si>
  <si>
    <t>32646662</t>
  </si>
  <si>
    <t>Bajinting A</t>
  </si>
  <si>
    <t>To operate or not to operate? Assessing NSQIP surgical outcomes in trisomy 18 patients.</t>
  </si>
  <si>
    <t>BACKGROUND: Trisomy 18 is associated with a wide range of potentially fatal congenital conditions. Historically, clinical attitudes on treatment have been ambiguous, with palliative care as the standard of care. The aim of our study was to provide a descriptive analysis of surgical outcomes in patients with trisomy 18. STUDY DESIGN: We identified patients with trisomy 18 aged 0-18 years using the NSQIP-Pediatric database from 2012 to 2017 and analyzed demographics, surgery types, and perioperative characteristics of patients with trisomy 18 patients undergoing surgical intervention. Additionally, a case-match analysis was performed to assess surgical outcome differences. RESULTS: A total of 310 patients with trisomy 18 were identified. Thirty-one percent were &gt;5 years of age and 73% were female. The most common surgical types were general surgery procedures (57.4%), followed by orthopedics (18.1%) and ENT (10.3%). Operations performed increased from 8% (2012) to 26% (2017), and only 23% of patients had previous cardiac surgery. Majority of patients had no prior history of malignancy (95%) and 5% had a tracheostomy placed. Discharge to home was achieved in 74% of patients, with a median total hospital length of stay of 5 days (IQR 17). Furthermore, 90% survived over 30 days from the operation. Thirty-two patients had readmissions and the most common reasons were dehydration, gastrostomy infection or malfunction. Surgical site infections occurred in &lt;3% of patients. No differences in complications, length of stay, reoperations, and readmissions were identified by case-match analysis. CONCLUSION: In this data set, patients with trisomy 18 undergoing noncardiac surgical procedures experience excellent surgical outcomes with minimal morbidity and low mortality. Most patients more than a year of age will experience similar outcomes to patients without trisomy 18. TYPE OF STUDY: Treatment study (retrospective comparative study) LEVEL OF EVIDENCE: Level III.</t>
  </si>
  <si>
    <t>32862054</t>
  </si>
  <si>
    <t>Alore EA</t>
  </si>
  <si>
    <t>Outcomes After Extracorporeal Life Support Cannulation in Pediatric Patients With Trisomy 13 and Trisomy 18.</t>
  </si>
  <si>
    <t>BACKGROUND: Indications for extracorporeal life support (ECLS) have evolved and expanded, yet its use in trisomy 13 (T13) and trisomy 18 (T18) patients remains controversial. We reviewed the experience of the Extracorporeal Life Support Organization with ECLS in these patients to inform practice at our institution. METHODS: The Extracorporeal Life Support Organization registry was queried for all patients younger than 18 y with an International Classification of Diseases, Ninth Edition/Tenth Edition code for T13 or T18 from 2000 to 2018. Basic demographics, ECLS details, and clinical outcomes were recorded. Descriptive statistics were performed. RESULTS: Twenty-eight patients were identified (15 with T13; 13 with T18), representing 0.06% (28 of 46,901) of pediatric ECLS cannulations. The median weight was 3.5 kg (range, 1.4-13), and age at cannulation was 52 d (range, 0 d-6.8 y). Time on ECLS ranged from 13 to 478 h (median, 114). Cardiac defects were diagnosed in 19 (68%) patients, of which 13 (46%) underwent surgical repair. Median oxygenation index pre-ECLS was 45. Venoarterial cannulations accounted for 82% of patients, whereas 14% underwent venovenous cannulation. Overall survival to hospital discharge was 46% with 86% of patients experiencing one or more complications. There were no survivors when cannulation continued past 12 d. CONCLUSIONS: Although complications are frequent, the mortality rate in patients with T13 and T18 remains within the reported range for the general pediatric population. T13 and T18 alone should not be viewed as absolute contraindications to ECLS within the pediatric population but rather considered during the evaluation of a patient's potential candidacy.</t>
  </si>
  <si>
    <t>Evaluation Study; Journal Article</t>
  </si>
  <si>
    <t>32943740</t>
  </si>
  <si>
    <t>Kawasaki H</t>
  </si>
  <si>
    <t>The short-term mortality and morbidity of very low birth weight infants with trisomy 18 or trisomy 13 in Japan.</t>
  </si>
  <si>
    <t>Trisomy 18 (T18) and trisomy 13 (T13) are major concerns in prenatal genetic testing due to their poor prognosis; very low birth weight (VLBW) is also a concern in neonatology. The aim of this study was to investigate the mortality and morbidity of VLBW infants diagnosed with T18/T13 in Japan, compared with those with no birth defects (BD-). Maternal and neonatal data were collected prospectively from infants weighing &lt;1501 g and were admitted to centers of the Neonatal Research Network of Japan during 2003 to 2016. Among 60,136 infants, 563 and 60 was diagnosed with T18 and T13, respectively. Although the age of mothers of infants with T18/T13 was higher, the frequency of maternal complications was lower than those with BD-. With maternal and neonatal characteristic adjustments, T18/T13 had a higher incidence of each morbidity when compared with BD-. Mortality rates in the NICU were 70, 77, and 5.8% for T18, T13, and BD-, respectively, while the survival discharge rates of T18 and T13 were 29.5 and 23.3%, respectively, which was significantly higher than previous reports. This was the first nationwide survey for VLBW infants with T18/T13 in Japan; this novel data will be relevant and useful for prenatal genetic counseling and perinatal management. Although T18/T13 were considered to be fatal in the past, with proper epidemiological information, discussions with affected families, and compassionate patient care, the mortality rate of T18/T13 can be improved.</t>
  </si>
  <si>
    <t>J Hum Genet</t>
  </si>
  <si>
    <t>33403783</t>
  </si>
  <si>
    <t>Kosiv KA</t>
  </si>
  <si>
    <t>A validated model for prediction of survival to 6 months in patients with trisomy 13 and 18.</t>
  </si>
  <si>
    <t>Congenital heart disease is exceedingly prevalent in trisomy 13 and 18. Improved survival following congenital heart surgery has been reported, however, mortality remains significantly elevated. Utilizing inpatient data on trisomy 13 and 18 from the 2003-2016 Pediatric Health Information System database, a survival model was developed and validated using data from the California Perinatal Quality Care Collaborative and the California Office of Statewide Health Planning and Development. The study cohort included 1,761 infants with trisomy 13 and 18. Two models predicting survival to 6 months of age were developed and tested. The initial model performed excellently, with a c-statistic of 0.87 and a c-statistic of 0.76 in the validation cohort. After excluding procedures performed on the day of death, the revised model's c-statistic was 0.76. Certain variables, including cardiac surgery, gastrostomy, parenteral nutrition, and mechanical ventilation, are predictive of survival to 6 months of age. This study presents a model, which potentially can inform decision-making regarding congenital heart surgery.</t>
  </si>
  <si>
    <t>Journal Article; Multicenter Study; Validation Study</t>
  </si>
  <si>
    <t>33486488</t>
  </si>
  <si>
    <t>Suto M</t>
  </si>
  <si>
    <t>Population-Based Analysis of Secular Trends in Age at Death in Trisomy 18 Syndrome in Japan from 1975 to 2016.</t>
  </si>
  <si>
    <t>INTRODUCTION: Despite changes in prenatal diagnostic methods and perceptions regarding the prognosis of and treatment options for patients with trisomy 18 syndrome, data on the secular changes in patient survival are limited. This study aimed to investigate the survival pattern for such patients. METHODS: To investigate the general patient survival patterns, we used data from the vital statistics database of deaths in Japan from 1975 to 2016. We described demographic factors, such as sex, gestational age at delivery, and surgical history, for patients whose primary cause of death was trisomy 18 syndrome. RESULTS: The proportions of deaths within 24 h of birth (4.0% in 1975-1980 to 21.9% in 2011-2016) and at age ≥1 year (8.9% in 1975-1980 to 17.7% in 2011-2016) increased. The median survival time was higher for females, infants born after 37 weeks of gestation, and those who received surgical intervention. The median survival time tripled among patients who received surgical intervention (61.5 days in 1995-2005 to 182.5 days in 2006-2016), and the proportion of such patients increased (from 3.8% in 1995 to 24.1% of the entire affected population in 2016). DISCUSSION/CONCLUSION: In Japan, the median survival time of infants with trisomy 18 increased over time, and the proportion of death within 24 h and at ≥1 year increased. Greater acknowledgement of the possible benefits of surgical intervention likely led to the increased provision of interventions and contributed to the increased survival time.</t>
  </si>
  <si>
    <t>Neonatology</t>
  </si>
  <si>
    <t>Base populacional (Japão, 1975–2016).</t>
  </si>
  <si>
    <t>33515091</t>
  </si>
  <si>
    <t>Nakai R</t>
  </si>
  <si>
    <t>Survival Outcomes of Two-Stage Intracardiac Repair in Large Ventricular Septal Defect and Trisomy 18.</t>
  </si>
  <si>
    <t>BACKGROUND: Surgical management has not been encouraged in patients with trisomy 18 (T18) and congenital heart diseases due to poor survival. This study aimed to investigate (1) the appropriateness of palliative surgeries followed by intracardiac repair (ICR) (i.e., two-stage ICR) for patients with a large ventricular septal defect (VSD) and T18, and (2) its impact on their long-term outcomes. METHODS: Medical charts of patients with VSD and T18 who underwent two-stage ICR at the Japanese Red Cross Medical Center between January 2005 and December 2019 were retrospectively reviewed. Demographic data, timing, and types of palliative surgeries, information related to ICR, peri- and postoperative clinical information, postoperative survival, and cause of death were collected. The long-term prognosis of patients treated with two-stage ICR was compared with that of patients treated with primary ICR and palliative surgery without ICR. RESULTS: Overall, 18 (2 male, 16 female) patients underwent two-stage ICR. Pulmonary artery banding was the initial palliative surgery in all patients after a median duration of 19.5 (range 6-194) days of life. The median age and the mean body weight at the time of ICR were 18.2 (7.6-50.7) months and 6.0 ± 1.0 kg, respectively. The mean pulmonary artery pressure and pulmonary vascular resistance index before ICR were 19.1 ± 7.3 mmHg and 3.4 ± 2.0 U m2, respectively. Overall, 17/18 (94%) patients were discharged after ICR. Fourteen (78%) patients were alive during data collection. None of the patients died of cardiac insufficiency, and the median duration of survival was 46.3 (14.3-186.4) months since birth. Most patients required cardiac medications rather than pulmonary vasodilators at the last follow-up. During the study period, three patients underwent primary ICR, and 46 underwent palliative surgery without ICR. Of those who underwent primary ICR, two died in the hospital on the first and 48th day following ICR, and the third died 179 days after the ICR. The Log-rank test revealed a significantly longer survival for the patients treated with two-stage ICR compared with those treated with palliative surgery without ICR (P = 0.003). CONCLUSION: Two-stage ICR improves the long-term survival of patients with VSDs and T18. This safe surgical strategy can also prevent pulmonary hypertension in such patients.</t>
  </si>
  <si>
    <t>34112961</t>
  </si>
  <si>
    <t>Acharya K</t>
  </si>
  <si>
    <t>Medical and surgical interventions and outcomes for infants with trisomy 18 (T18) or trisomy 13 (T13) at children's hospitals neonatal intensive care units (NICUs).</t>
  </si>
  <si>
    <t>OBJECTIVES: To examine characteristics and outcomes of T18 and T13 infants receiving intensive surgical and medical treatment compared to those receiving non-intensive treatment in NICUs. STUDY DESIGN: Retrospective cohort of infants in the Children's Hospitals National Consortium (CHNC) from 2010 to 2016 categorized into three groups by treatment received: surgical, intensive medical, or non-intensive. RESULTS: Among 467 infants admitted, 62% received intensive medical treatment; 27% received surgical treatment. The most common surgery was a gastrostomy tube. Survival in infants who received surgeries was 51%; intensive medical treatment was 30%, and non-intensive treatment was 72%. Infants receiving surgeries spent more time in the NICU and were more likely to receive oxygen and feeding support at discharge. CONCLUSIONS: Infants with T13 or T18 at CHNC NICUs represent a select group for whom parents may have desired more intensive treatment. Survival to NICU discharge was possible, and surviving infants had a longer hospital stay and needed more discharge supports.</t>
  </si>
  <si>
    <t>34215991</t>
  </si>
  <si>
    <t>Gunne E</t>
  </si>
  <si>
    <t>Fatal fetal abnormality Irish live-born survival-an observational study.</t>
  </si>
  <si>
    <t>The aim of the study was to provide accurate information regarding live-born infant survival after diagnosis of fatal fetal anomaly (FFA) to aid decision-making in respect of pregnancy management, and to ascertain the natural history of live-born infants with FFAs via a retrospective analysis of death records (2006-2018), from the National Paediatric Mortality Registry (source Central Statistics Office 2019). Diagnoses and survival times were ascertained from narrative records with further ascertainment and reconciliation of trisomies 13 and 18 cases by review of cytogenetic test records, the National Death Events Register and National Perinatal Epidemiology Centre data. During the study period, termination of pregnancy was not permitted under the Irish Constitution. Patients are live-born babies with fatal fetal anomalies whose deaths were registered in the Republic of Ireland. The main outcome measure was construction of anomaly-specific survival curves, or survival time range and median for those anomalies with rare occurrence. Survival curves for anencephaly, bilateral renal agenesis, thanatophoric dysplasia, trisomy 13, and trisomy 18 show that 90% (n = 95), 93% (n = 60), 100% (n = 14), 37% (n = 92) and 33% (n = 162), respectively, were deceased by 24 h and 98%, 100%, 100%, 73%, and 53%, respectively, by 1 week post-delivery. Survival time range and median were calculated for triploidy (3.5 h-20 days; 10.5 days), whose occurrence was rare. Anhydramnios, craniorachischisis, hydranencephaly and severe hydrocephalus were extremely rare and all deaths were neonatal deaths. Our results provide 13 years of national natural history data of live birth FFA survival. This provides objective information to aid obstetric counselling of couples upon diagnosis of an FFA.</t>
  </si>
  <si>
    <t>J Community Genet</t>
  </si>
  <si>
    <t>Destaque: Irlanda, categoria legal "fatal fetal anomaly", período em que o aborto não era permitido (direito comparado).</t>
  </si>
  <si>
    <t>34363815</t>
  </si>
  <si>
    <t>Fick TA</t>
  </si>
  <si>
    <t>Trisomy 18 Trends over the Last 20 Years.</t>
  </si>
  <si>
    <t>OBJECTIVE: To evaluate the trends in hospitalizations for children with trisomy 18 over time and to determine the rate of invasive procedures on these children, using a large inpatient database. STUDY DESIGN: A retrospective analysis using the Kids' Inpatient Database from 1997 to 2016 was performed for trisomy 18. We evaluated survival to discharge as well as the presence of pulmonary, skeletal, neurologic, gastrointestinal, renal, and hematologic/bleeding problems. We also searched for the following interventions, if performed: gastrostomy tube placement, tracheostomy, or cardiac procedure. RESULTS: Over this period 10 151 admissions occurred in children with a diagnosis of trisomy 18. Between 1997 and 2016, the number of children admitted annually with trisomy 18 increased 74% from 1036 to 1798. The proportion of patients born prematurely remained stable at 14%-16% throughout the study. Gastrostomy tube placement increased 12-fold during the study period, tracheostomy increased 11-fold, and cardiac intervention increased 5-fold. The overall mortality rate decreased in those with trisomy 18 from 32% in 1997 to 21% in 2016. CONCLUSIONS: We highlight a decreased inpatient mortality rate during the study period. The number of children undergoing interventions such as gastrostomy tube and tracheostomy increased, as did the number of children undergoing cardiac intervention. Although the number of procedures has increased with the mortality rate decreasing, it is unclear at present whether the 2 are related.</t>
  </si>
  <si>
    <t>Tendências de 20 anos (Fick).</t>
  </si>
  <si>
    <t>34415101</t>
  </si>
  <si>
    <t>Inoue H</t>
  </si>
  <si>
    <t>Survival outcomes of very low birth weight infants with trisomy 18.</t>
  </si>
  <si>
    <t>Trisomy 18 (T18) is one of the most commonly diagnosed aneuploidies leading to poor survival outcome. However, little is known about the dual risk of T18 and very low birth weight (VLBW, weighing &lt;1500 g at birth). We aimed to investigate the survival and clinical features of VLBW infants with T18. In this observational cohort study, infants with T18 admitted to the neonatal intensive care unit in Kyushu University Hospital from 2000 to 2019 were eligible. Among 30 infants with T18 who were enrolled as study participants, 11 (37%) were born with VLBW. VLBW infants had lower gestational age (34.4 vs. 39.4 weeks, p &lt; 0.01) and a higher incidence of esophageal atresia (64% vs. 11%, p &lt; 0.01) than non-VLBW infants. The proportions of patients who underwent any surgery (55% vs. 5%, p &lt; 0.01) and positive pressure ventilation (82% vs. 32%, p = 0.02) were higher in VLBW than non-VLBW infants. One-year overall survival rate (45% vs. 26%, p = 0.32 by log-rank test) did not differ between the two groups. In conclusion, being born at VLBW may not be fatal for infants with T18 undergoing active interventions.</t>
  </si>
  <si>
    <t>31763690</t>
  </si>
  <si>
    <t>Taira R</t>
  </si>
  <si>
    <t>Management of apnea in infants with trisomy 18.</t>
  </si>
  <si>
    <t>This case series aimed to characterize the clinical features, management, and outcomes of apnea in infants with trisomy 18. Participants in this study were infants with trisomy 18 who were born alive and admitted to the neonatal intensive care unit in Kyushu University Hospital from 2000 to 2018. Retrospective analysis was performed on clinical data recorded in our department. Twenty-seven infants with trisomy 18 were admitted to our hospital during the study period, of which 25 (nine males, 16 females) were enrolled as eligible participants in this study. Among them, 14 started presenting with apnea from median 3.5 days of age (range 0-47d). In these infants with apnea, eight received respiratory support of positive pressure ventilation (PPV). The 1-year survival rate of infants in the PPV group was higher than that of non-PPV-supported infants (5 out of 8 vs 0 out of 6 infants). Five PPV-supported infants received a diagnosis of epilepsy, which was controlled by antiepileptic drugs. Postnatal respiratory intervention provides better prognosis in infants with trisomy 18. Improved survival leads to accurate diagnosis and treatment of apneic events in association with epilepsy. WHAT THIS PAPER ADDS: Respiratory support is effective against apnea in infants with trisomy 18. Intervention with ventilation provides a higher chance of prolonged survival. Improved survival leads to the accurate diagnosis and treatment of epilepsy-associated apnea.</t>
  </si>
  <si>
    <t>Dev Med Child Neurol</t>
  </si>
  <si>
    <t>Journal Article; Observational Study; Research Support, Non-U.S. Gov't</t>
  </si>
  <si>
    <t>Mesma instituição de Inoue et al. 2021: possível sobreposição de pacientes.</t>
  </si>
  <si>
    <t>31954556</t>
  </si>
  <si>
    <t>Iida C</t>
  </si>
  <si>
    <t>Impacts of surgical interventions on the long-term outcomes in individuals with trisomy 18.</t>
  </si>
  <si>
    <t>OBJECTIVE: We aim to clarify whether surgical interventions can contribute to improve the long-term outcomes among individuals with trisomy 18. METHODS: We retrospectively studied 69 individuals with trisomy 18 admitted to 4 tertiary neonatal centers between 2003 and 2017. A cohort was divided into two groups: subjects with surgical interventions and conservative treatments. We compared the rates of survival and achieving homecare between the groups. RESULTS: Gestational age and birth weight were 37 (27-43) weeks and 1,700 (822-2,546) g, respectively. There were 68 patients with congenital heart disease and 20 patients with digestive disease. Surgical interventions including cardiac and digestive surgery were provided in 41% of individuals. There was no difference in gestational age (p=0.30), birth weight (p=0.07), gender (p=0.30), and fetal diagnosis (p=0.87) between the groups. During the median follow up duration of 51 (2-178) months, overall survival rates in 6, 12 and 60 months were 57%, 43% and 12%, respectively. Survival to hospital discharge occurred in 23 patients, and the rates of achieving homecare in 1, 6, and 12 months are 1%, 18% and 30%, respectively. There was no significant difference in survival rate (p=0.26) but in the rate of achieving home care (p=0.02) between the groups. Cox hazard analysis revealed that prenatal diagnosis (hazard ratio 0.30, 95%CI: 0.13-0.75), cardiac surgery (hazard ratio 2.40, 95%CI:,1.03-5.55), and digestive surgery (hazard ratio 1.20, 95%CI: 1.25-3.90) were related to the rate of achieving homecare. CONCLUSION: Aggressive surgical interventions contribute not to the long-term survival but to achieve homecare among individuals with trisomy 18. EVIDENCE LEVEL: Level 3 (Prognostic study, Case-Control study).</t>
  </si>
  <si>
    <t>32815676</t>
  </si>
  <si>
    <t>Murphy NC</t>
  </si>
  <si>
    <t>Prenatally Diagnosed Fetal Aneuploidy: Natural History and Subsequent Management.</t>
  </si>
  <si>
    <t>Aims Our aim was to determine the number of cases of aneuploidy which were prenatally diagnosed in our tertiary referral unit from 2005-2015 and to analyse the subsequent outcomes of Trisomies 13, 18 and 21(T13, T18 and T21). Methods This was a retrospective observational study. We firstly determined the total number of prenatally diagnosed aneuploidies. We then analysed their subsequent outcomes including average gestation at miscarriage or IUD, mode of delivery and neonatal outcome. Results 402 cases of T13, T18 or T21 were identified of which 40% opted for expectant management. T18 was the most likely diagnosis to result in miscarriage, IUD or intrapartum death. The highest caesarean delivery rate was in T21. Conclusion With regards to T13 and T18, live birth rates show that some parents may achieve the goal of spending time with their baby in the immediate postpartum period. This information will act as a valuable resource in our counselling.</t>
  </si>
  <si>
    <t>Ir Med J</t>
  </si>
  <si>
    <t>B</t>
  </si>
  <si>
    <t>32986711</t>
  </si>
  <si>
    <t>Long-term survival of children born with congenital anomalies: A systematic review and meta-analysis of population-based studies.</t>
  </si>
  <si>
    <t>BACKGROUND: Following a reduction in global child mortality due to communicable diseases, the relative contribution of congenital anomalies to child mortality is increasing. Although infant survival of children born with congenital anomalies has improved for many anomaly types in recent decades, there is less evidence on survival beyond infancy. We aimed to systematically review, summarise, and quantify the existing population-based data on long-term survival of individuals born with specific major congenital anomalies and examine the factors associated with survival. METHODS AND FINDINGS: Seven electronic databases (Medline, Embase, Scopus, PsycINFO, CINAHL, ProQuest Natural, and Biological Science Collections), reference lists, and citations of the included articles for studies published 1 January 1995 to 30 April 2020 were searched. Screening for eligibility, data extraction, and quality appraisal were performed in duplicate. We included original population-based studies that reported long-term survival (beyond 1 year of life) of children born with a major congenital anomaly with the follow-up starting from birth that were published in the English language as peer-reviewed papers. Studies on congenital heart defects (CHDs) were excluded because of a recent systematic review of population-based studies of CHD survival. Meta-analysis was performed to pool survival estimates, accounting for trends over time. Of 10,888 identified articles, 55 (n = 367,801 live births) met the inclusion criteria and were summarised narratively, 41 studies (n = 54,676) investigating eight congenital anomaly types (spina bifida [n = 7,422], encephalocele [n = 1,562], oesophageal atresia [n = 6,303], biliary atresia [n = 3,877], diaphragmatic hernia [n = 6,176], gastroschisis [n = 4,845], Down syndrome by presence of CHD [n = 22,317], and trisomy 18 [n = 2,174]) were included in the meta-analysis. These studies covered birth years from 1970 to 2015. Survival for children with spina bifida, oesophageal atresia, biliary atresia, diaphragmatic hernia, gastroschisis, and Down syndrome with an associated CHD has significantly improved over time, with the pooled odds ratios (ORs) of surviving per 10-year increase in birth year being OR = 1.34 (95% confidence interval [95% CI] 1.24-1.46), OR = 1.50 (95% CI 1.38-1.62), OR = 1.62 (95% CI 1.28-2.05), OR = 1.57 (95% CI 1.37-1.81), OR = 1.24 (95% CI 1.02-1.5), and OR = 1.99 (95% CI 1.67-2.37), respectively (p &lt; 0.001 for all, except for gastroschisis [p = 0.029]). There was no observed improvement for children with encephalocele (OR = 0.98, 95% CI 0.95-1.01, p = 0.19) and children with biliary atresia surviving with native liver (OR = 0.96, 95% CI 0.88-1.03, p = 0.26). The presence of additional structural anomalies, low birth weight, and earlier year of birth were the most commonly reported predictors of reduced survival for any congenital anomaly type. The main limitation of the meta-analysis was the small number of studies and the small size of the cohorts, which limited the predictive capabilities of the models resulting in wide confidence intervals. CONCLUSIONS: This systematic review and meta-analysis summarises estimates of long-term survival associated with major congenital anomalies. We report a significant improvement in survival of children with specific congenital anomalies over the last few decades and predict survival estimates up to 20 years of age for those born in 2020. This information is important for the planning and delivery of specialised medical, social, and education services and for counselling affected families. This trial was registered on the PROSPERO database (CRD42017074675).</t>
  </si>
  <si>
    <t>PLoS Med</t>
  </si>
  <si>
    <t>Journal Article; Meta-Analysis; Research Support, Non-U.S. Gov't; Systematic Review</t>
  </si>
  <si>
    <t>Destaque: revisão sistemática de estudos populacionais sobre sobrevida de longo prazo.</t>
  </si>
  <si>
    <t>30291384</t>
  </si>
  <si>
    <t>Domingo L</t>
  </si>
  <si>
    <t>Mortality and Resource Use Following Cardiac Interventions in Children with Trisomy 13 and Trisomy 18 and Congenital Heart Disease.</t>
  </si>
  <si>
    <t>We sought to evaluate the mortality, risk factors for mortality, and resource utilization following cardiac interventions in trisomy 13 (T13) and 18 (T18) children. All T13 and T18 children who underwent a cardiac intervention from January 1999 to March 2015 were identified from the Pediatric Health Information System database. Data collected included demographics, type of congenital heart disease (CHD), cardiac interventions, comorbidities, length of stay (LOS), hospital charges, and deaths (within 30 days). Logistic regression analysis was used to determine factors associated with mortality. There were 49 (47% females) T13 and 140 (67% females) T18 subjects. The two cohorts were similar in distribution for race, geographic region, insurance type, and median household income. The most common CHD in both groups was a shunt lesion followed by conotruncal defects. Compared to T18, the T13 cohort had higher mortality (29% vs. 12%), tracheostomies (12% vs. 4%), gastrostomies (18% vs. 6%), and overall resource use (P &lt; 0.05 for all). White race (OR 0.23, 95% CI 0.06-0.81) in T13 and older age (in weeks) at surgery in T18 (OR 0.75, 95% CI 0.64-0.86) were associated with lower mortality. A select group of T13 and T18 CHD patients can undergo successful cardiac interventions, albeit with a higher mortality and resource use. T13 patients have higher mortality and resource use compared to T18. In T13 and T18 patients, interventions for CHD may be an acceptable and ethical option following a careful individualized selection and counseling by a team of experts.</t>
  </si>
  <si>
    <t>Journal Article; Multicenter Study</t>
  </si>
  <si>
    <t>30556105</t>
  </si>
  <si>
    <t>Ma MH</t>
  </si>
  <si>
    <t>Congenital Heart Surgical Admissions in Patients with Trisomy 13 and 18: Frequency, Morbidity, and Mortality.</t>
  </si>
  <si>
    <t>Congenital heart defects are common among patients with trisomy 13 and 18; surgical repair has been controversial and rarely studied. We aimed to assess the frequency of cardiac surgery among admissions with trisomy 13 and 18, and evaluate their associations with resource use, complications, and mortality compared to admissions without these diagnoses. We evaluated congenital heart surgery admissions of ages &lt; 18 years in the 1997, 2000, 2003, 2006, and 2009 Kids' Inpatient Database. Bivariate and multivariate analyses examined the adjusted association of trisomy 13 and 18 on resource use, complications, and inpatient death following congenital heart surgery. Among the 73,107 congenital heart surgery admissions, trisomy 13 represented 0.03% (n = 22) and trisomy 18 represented 0.08% (n = 58). Trisomy 13 and 18 admissions were longer; trisomy 13: 27 days vs. 8 days, p = 0.003; trisomy 18: 16 days vs. 8 days, p = 0.001. Hospital charges were higher for trisomy 13 and 18 admissions; trisomy 13: $160,890 vs. $87,007, p = 0.010; trisomy 18: $160,616 vs. $86,999, p &lt; 0.001. Trisomy 18 had a higher complication rate: 52% vs. 34%, p &lt; 0.006. For all cardiac surgery admissions, mortality was 4.5%; trisomy 13: 14% and trisomy 18: 12%. In multivariate analysis, trisomy 18 was an independent predictor of death: OR 4.16, 95% CI 1.35-12.82, p = 0.013. Patients with trisomy 13 and 18 represent 0.11% of pediatric congenital heart surgery admissions. These patients have a 2- to 3.4-fold longer hospital stay and double hospital charges. Patients with trisomy 18 have more complications and four times greater adjusted odds for inpatient death.</t>
  </si>
  <si>
    <t>30932336</t>
  </si>
  <si>
    <t>Mullin J</t>
  </si>
  <si>
    <t>Experiences of children with trisomy 18 referred to pediatric palliative care services on two continents.</t>
  </si>
  <si>
    <t>Children with trisomy 18 that survive beyond the neonatal period have multiple congenital anomalies, neurodevelopmental disability, and high mortality rates. The experience of children with trisomy 18 who receive pediatric palliative care services is largely unknown. We conducted a retrospective review of children with trisomy 18 receiving pediatric palliative care services at both Boston Children's Hospital, USA and Great Ormond Street Hospital, UK from January 1, 2004 to January 1, 2015. Fifty-eight children with trisomy 18 were referred to pediatric palliative care, 38 in the United Kingdom, 20 in the United States. Median age at referral was 19 days (2-89) in the United Kingdom, and 25 days (1-463) in the United States. Median length of time being followed by pediatric palliative care was 32 days (1-1,637) in the United Kingdom and 67 days (3-2,442) in the United States. The only significant difference in the two cohorts (p = .001) was in likelihood of receiving cardiac surgical intervention-37% in the United States, 0% the United Kingdom. Children with trisomy 18 receive pediatric palliative care services, with variable age at referral and for a variable length of time. Further research is needed to understand the experience of children with trisomy 18 and their families receiving pediatric palliative care services.</t>
  </si>
  <si>
    <t>30935949</t>
  </si>
  <si>
    <t>Haghnazarian E</t>
  </si>
  <si>
    <t>The association of Trisomy 13 and 18 and hospital discharge outcomes among neonates in California: A retrospective cohort study.</t>
  </si>
  <si>
    <t>BACKGROUND: Despite Trisomy 13 and 18 being among the most fatal congenital anomalies, limited information exists about resource utilization and factors associated with length of stay (LOS) and total hospital charges (THC) for these anomalies. METHODS: We studied data sets of the patient discharge data set from the California Office of Statewide Health Planning and Development from 2006 to 2010, to determine differences in resource utilization for survivors and non-survivors and identify the predictors of LOS and total hospital charges. Descriptive statistics were assessed for demographic and clinical characteristics. General linear regression models were used to identify predictors of LOS and THC. RESULTS: Seventy-six Trisomy 13 and 115 Trisomy 18 patients were identified, for whom inpatient mortality was 27.6% and 20.9%, respectively. In patients with Trisomy 13, after adjusting for gender, ethnicity, advanced directive (DNR), insurance and co-morbidities on multivariate analysis, the provision of more than 96 h of mechanical ventilation was associated with significantly increased LOS (standard error, SE) by 18.0 ± 5.3 days and THC (SE) by $399,000 ± $85,000. In terms of insurance type, patients with private coverage had 10.8 ± 4.9 days more than patients with Medicaid. In patients with Trisomy 18, on multivariate analysis, after adjusting for gender, ethnicity, DNR, insurance and co-morbidities, more than 96 h of mechanical ventilation was associated with increased LOS (SE) by 36.8 ± 6.8 days and THC (SE) by $365,000 ± $59,000. CONCLUSION: Understanding predictors that are associated with longer LOS and higher THC may be associated in hospital resource allocation for this vulnerable population of infants.</t>
  </si>
  <si>
    <t>Pediatr Neonatol</t>
  </si>
  <si>
    <t>Journal Article; Research Support, N.I.H., Extramural</t>
  </si>
  <si>
    <t>30942556</t>
  </si>
  <si>
    <t>Kato E</t>
  </si>
  <si>
    <t>Factors related to survival discharge in trisomy 18: A retrospective multicenter study.</t>
  </si>
  <si>
    <t>Infants with trisomy 18 (T18) previously had a poor prognosis; however, the intensive care of these patients has markedly diversified the prognosis. We investigated the current situation of patients with T18, clarified factors for survival discharge, and surveyed actual home healthcare. A total of 117 patients with T18 admitted to nine institutions between 2000 and 2015 were retrospectively investigated. After excluding four patients whose outcomes were unclear, we divided 113 patients into two groups-the survival discharge group (n = 52) and the death discharge group (n = 61)-and compared maternal factors, perinatal factors, neonatal factors, and therapeutic factors between the groups. In addition, home healthcare, readmission, utilization of respite care and home nursing, and cause of death among the survival group were surveyed. Fifty-two (44%) patients with T18 survived at discharge and their 1-year survival rate was 29%. The survival group had a longer gestation period, larger physique, and longer survival time, compared to the death group. Independent factors associated with survival discharge were the absence of an extremely low birthweight infant (ELBWI), the absence of esophageal atresia and patent ductus arteriosus, and cardiovascular surgery. All surviving patients required some home healthcare. The most frequent cause of death was a respiratory disorder. We recommend discussing the treatment strategy with families in the presence of neonatologists or pediatric surgeons, who can explain differences in prognosis, based on the gestation period, birthweight, severity of cardiovascular disease, and cardiovascular surgery.</t>
  </si>
  <si>
    <t>31170277</t>
  </si>
  <si>
    <t>Duque JAP</t>
  </si>
  <si>
    <t>The natural history of pregnancies with prenatal diagnosis of Trisomy 18 or Trisomy 13: Retrospective cases of a 23-year experience in a Brazilian public hospital.</t>
  </si>
  <si>
    <t>Trisomy 18 (T18) and trisomy 13 (T13) are polymalformative syndromes associated with a high rate of spontaneous abortions, intrauterine death, and short postnatal life. This study describes the overall outcome in a country where the therapeutic interruption of pregnancy is not available. The medical records of women with prenatal diagnosis of full trisomy of T13 or T18 between October 1994 and October 2017 were analyzed in order to describe their natural outcomes. Thirteen cases of T13 and 29 cases of T18 were included. The miscarriage rate was 9% for T18 and no cases for T13. Intrauterine fetal death occurred in 46% and 52% of cases for T13 and T18, respectively. The rate of live births for T13 was 54%, and the median survival was one day (95% CI -33.55 - 90.40) and 71% died in the first 24 hours of life. The rate of live births for T18 was 37% and the median survival was two days (95% CI -1.89 - 13.17); 90% of the affected babies died within first week of life. For the affected babies reaching the first year of life and for those who lived longer, multiple invasive and expensive procedures were required, without success in prolonging life beyond 180 days. This large series provides information for professionals and women regarding the natural histories of T13 and T18. Results of this study are consistent with those referenced in the literature, emphasizing the need of structured protocols and guidelines aiming early T13 and T18 diagnosis, prenatal care, gestation/parents follow-up, and counseling processes. For those couples with earlier diagnosis, a better follow-up and counseling during the prenatal care lead to the option for a support or palliative management of the newborn. Finally, when the counseling process is appropriate, it becomes easier to take decisions respecting the parent's autonomy and to look for better outcomes for both, the mother and the fetus.</t>
  </si>
  <si>
    <t>Genet Mol Biol</t>
  </si>
  <si>
    <t>Dados brasileiros (Porto Alegre).</t>
  </si>
  <si>
    <t>31237190</t>
  </si>
  <si>
    <t>Cooper DS</t>
  </si>
  <si>
    <t>Cardiac Surgery in Patients With Trisomy 13 and 18: An Analysis of The Society of Thoracic Surgeons Congenital Heart Surgery Database.</t>
  </si>
  <si>
    <t>Background Congenital heart disease is common in patients with Trisomy 13 (T13) and Trisomy 18 (T18), but offering cardiac surgery to these patients has been controversial. We describe the landscape of surgical management across the United States, perioperative risk factors, and surgical outcomes in patients with T13 and T18. Methods and Results Patients in the Society of Thoracic Surgeons Congenital Heart Surgery Database with T13 and T18 who underwent cardiac surgery (2010-2017) were included. There were 343 operations (T13: n=73 and T18: n=270) performed on 304 patients. Among 125 hospitals, 87 (70%) performed at least 1 operation and 26 centers (30%) performed ≥5 T13/T18 operations. Operations spanned the full spectrum of complexity with 29% (98/343) being in the highest categories of estimated risk. The operative mortality rate was 15%, with a 56% complication rate. Preoperative mechanical ventilation was associated with an odds ratio of mortality &gt;8 for both patients with T13 and T18 (both P&lt;0.012) while presence of a gastrostomy tube (odds ratio, 0.3; P=0.03) or prior cardiac surgery (odds ratio, 0.2; P=0.02) was associated with better survival in patients with T18 but not patients with T13. Conclusions Data from this nationally representative sample indicate that most centers offer surgical intervention for both patients with T13 and T18, even in highly complex patients. However, the overall mortality rate was high in this select patient cohort. The association of preoperative mechanical ventilation with mortality suggests that this subset of patients with T13 and T18 should perhaps not be considered surgical candidates. This information is valuable to clinicians and families for counseling and deciding what interventions to offer.</t>
  </si>
  <si>
    <t>J Am Heart Assoc</t>
  </si>
  <si>
    <t>31566869</t>
  </si>
  <si>
    <t>Goel N</t>
  </si>
  <si>
    <t>Trisomy 13 and 18-Prevalence and mortality-A multi-registry population based analysis.</t>
  </si>
  <si>
    <t>The aim of the study is to determine the prevalence, outcomes, and survival (among live births [LB]), in pregnancies diagnosed with trisomy 13 (T13) and 18 (T18), by congenital anomaly register and region. Twenty-four population- and hospital-based birth defects surveillance registers from 18 countries, contributed data on T13 and T18 between 1974 and 2014 using a common data-reporting protocol. The mean total birth prevalence (i.e., LB, stillbirths, and elective termination of pregnancy for fetal anomalies [ETOPFA]) in the registers with ETOPFA (n = 15) for T13 was 1.68 (95% CI 1.3-2.06), and for T18 was 4.08 (95% CI 3.01-5.15), per 10,000 births. The prevalence varied among the various registers. The mean prevalence among LB in all registers for T13 was 0.55 (95%CI 0.38-0.72), and for T18 was 1.07 (95% CI 0.77-1.38), per 10,000 births. The median mortality in the first week of life was 48% for T13 and 42% for T18, across all registers, half of which occurred on the first day of life. Across 16 registers with complete 1-year follow-up, mortality in first year of life was 87% for T13 and 88% for T18. This study provides an international perspective on prevalence and mortality of T13 and T18. Overall outcomes and survival among LB were poor with about half of live born infants not surviving first week of life; nevertheless about 10% survived the first year of life. Prevalence and outcomes varied by country and termination policies. The study highlights the variation in screening, data collection, and reporting practices for these conditions.</t>
  </si>
  <si>
    <t>28948390</t>
  </si>
  <si>
    <t>Peterson R</t>
  </si>
  <si>
    <t>Factors Influencing Outcomes After Cardiac Intervention in Infants with Trisomy 13 and 18.</t>
  </si>
  <si>
    <t>Cardiac intervention remains controversial in patients with trisomy 13 and 18 and little is known about factors that may affect outcomes. The goal of this study was to evaluate preoperative factors and surgical approach with respect to outcomes in these patients. Patients with congenital heart disease and trisomy 13 or 18 presenting to our institution from 2004 through 2015 were retrospectively reviewed. Patients were grouped into complete intervention, palliated intervention, and non-intervention. Pre-intervention variables, timing and type of intervention, post-intervention outcomes, and survival were recorded and comparisons were made between the groups. Of 34 patients, 18 cardiac interventions were performed. Complete repair was performed in 11(61%) and palliation in 7(39%). Median age for complete repair was 9.2 vs. 1.7 months in palliated patients (p &lt; 0.001) and palliated patients were smaller (median 2.5 vs. 5.2 kg, p &lt; 0.001). All patients who underwent complete repair survived to discharge compared to only 57% of patients that were palliated (p = 0.04). Palliated patients had longer intubation and time to discharge (p &lt; 0.05). Survival at last follow-up was greater in the complete repair group compared with palliated patients and non-intervention patients (72, 14, and 18%, p = 0.009) with a longer median length of survival in the complete repair group (p = 0.002). In our group of trisomy 13 and 18 patients, those able to undergo complete repair had improved outcomes. Patients undergoing complete repair were older and bigger; this suggests that delaying intervention and optimizing the likelihood of complete repair may be beneficial.</t>
  </si>
  <si>
    <t>29112995</t>
  </si>
  <si>
    <t>Akgün Doğan Ö</t>
  </si>
  <si>
    <t>Prenatal and Postnatal Follow-up in Trisomies 13 and 18: A 20-Year Experience in a Tertiary Center.</t>
  </si>
  <si>
    <t>OBJECTIVE:  Trisomies 13 and 18 are among the most common autosomal aneuploidies associated with high mortality rates. Conventional management strategies offer to limit interventional support; however, some of the recent studies suggest that intervention does make a difference in terms of survival. STUDY DESIGN:  A retrospective cohort study was performed between January 1996 and January 2016, covering all cases with such trisomies. A total of 69 cases were reviewed for clinical aspects, outcome, and management strategies. RESULTS:  In almost all pregnancies with follow-up, at least one indication present for invasive testing (54/55). Invasive testing was not performed in 18.5% of such cases. All parents opted for termination in cases with prenatal diagnosis. None of the liveborns had prenatal diagnoses, thus, neonatal resuscitation and intensive care unit admission were not withheld in such infants. Major intervention was done in only one patient with full trisomy 13. Median survival for infants with full trisomies 13 and 18 was 36 and 60 days, respectively. Almost half the patients died within 1 month. CONCLUSION:  To which extent the major interventions should be withheld is an issue of debate in managing such infants; however, current approaches are subject to change, given the technological advances.</t>
  </si>
  <si>
    <t>Am J Perinatol</t>
  </si>
  <si>
    <t>29740195</t>
  </si>
  <si>
    <t>Winn P</t>
  </si>
  <si>
    <t>Prenatal counseling and parental decision-making following a fetal diagnosis of trisomy 13 or 18.</t>
  </si>
  <si>
    <t>OBJECTIVES: To evaluate parental decisions following a prenatal diagnosis of trisomy 13 (T13) or trisomy 18 (T18), prenatal counseling received, and pregnancy outcomes. STUDY DESIGN: Single-center, retrospective cohort study of families with a prenatal diagnosis of T13 or T18 from 2000 to 2016. RESULTS: Out of 152 pregnancies, 55% were terminated. Twenty percent chose induction with palliative care, 20% chose expectant management, 2% chose full interventions, and 3% were lost to follow-up. Counseling was based on initial parental goals, but most women were given options besides termination. Women who chose expectant management had a live birth in 50% of the cases. Women who chose neonatal interventions had a live birth in 100% of the cases, but there were no long-term survivors. CONCLUSIONS: The majority of women who continue their pregnancy after a fetal diagnosis of T13 or T18 desire expectant management with palliative care. A live birth can be expected at least half of the time.</t>
  </si>
  <si>
    <t>Comparative Study; Journal Article</t>
  </si>
  <si>
    <t>Desfechos por decisão parental após diagnóstico pré-natal.</t>
  </si>
  <si>
    <t>30237475</t>
  </si>
  <si>
    <t>Nguyen JE</t>
  </si>
  <si>
    <t>Survival and healthcare utilization of infants diagnosed with lethal congenital malformations.</t>
  </si>
  <si>
    <t>OBJECTIVE: We assessed survival, hospital length of stay (LOS), and costs of medical care for infants with lethal congenital malformations, and also examined the relationship between medical and surgical therapies and survival. STUDY DESIGN: Retrospective cohort study including infants born 1998-2009 with lethal congenital malformations, identified using a longitudinally linked maternal/infant database. RESULTS: The cohort included 786 infants: trisomy 18 (T18, n = 350), trisomy 13 (T13, n = 206), anencephaly (n = 125), bilateral renal agenesis (n = 53), thanatophoric dysplasia/achondrogenesis/lethal osteogenesis imperfecta (n = 38), and infants &gt; 1 of the birth defects (n = 14). Compared to infants without birth defects, infants with T18, T13, bilateral renal agenesis, and skeletal dysplasias had longer survival rates, higher inpatient medical costs, and longer LOS. CONCLUSION: Care practices and survival have changed over time for infants with T18, T13, bilateral renal agenesis, and skeletal dysplasias. This information will be useful for clinicians in counseling families and in shaping goals of care prenatally and postnatally.</t>
  </si>
  <si>
    <t>Destaque: compara a sobrevida da T18 com a da anencefalia na mesma coorte (distinção com a ADPF 54).</t>
  </si>
  <si>
    <t>27490773</t>
  </si>
  <si>
    <t>Dereddy NR</t>
  </si>
  <si>
    <t>Neonatal Hospital Course and Outcomes of Live-born Infants with Trisomy 18 at Two Tertiary Care Centers in the United States.</t>
  </si>
  <si>
    <t>Objectives Trisomy 18 is presumed to be a lethal chromosomal abnormality; medical management of infants with this aneuploidy is controversial. Our objective was to describe our approach and experience with trisomy 18 infants. Study Design We reviewed the initial hospital course, management, and factors predicting discharge from the hospital from two large tertiary care neonatal intensive care units in the southern United States over 26 years. Results Of the 29 infants with trisomy 18, 21 (72%) died in the hospital and 8 (28%) were discharged home. 19 (66%) infants received mechanical ventilation and 10 (34%) received inotropic medications. Eight infants had critical congenital heart defects; only one survived to discharge. Three infants underwent major surgeries; one cardiac surgery, one tracheoesophageal fistula repair, and one myelomeningocele repair. Median length of hospital stay was 14 days (range, 0-78) for all the infants and 31 days (range, 18-66) for those that were discharged home. Factors associated with discharge from the hospital were female sex, higher gestational age, and absence of critical congenital heart defects. Median survival time was 13 days and was significantly longer for females compared with males. Our 1-month and 1-year survival rates were 31% and 3.9% respectively. Conclusion A significant proportion of infants with trisomy 18 were discharged home. These data are helpful in counseling parents of infants with trisomy 18.</t>
  </si>
  <si>
    <t>27591300</t>
  </si>
  <si>
    <t>McDonnell R</t>
  </si>
  <si>
    <t>Epidemiology of chromosomal trisomies in the East of Ireland.</t>
  </si>
  <si>
    <t>BACKGROUND: Chromosomal trisomies are associated with advancing maternal age. In Ireland, information on the total prevalence and outcome of trisomy affected pregnancies is unavailable. This study aimed to ascertain more precise data on Trisomies 21, 18 and 13 in a large Irish region during the period 2011-2013. METHODS: Multiple information sources were used in case finding, including a regional congenital anomaly register, all maternity and paediatric hospitals in the region and the regional Department of Clinical Genetics. RESULTS: There were 394 trisomy cases from 80 894 total births, of which 289 were Trisomy 21, 75 were Trisomy 18 and 30 were Trisomy 13. The total prevalence rate was 48.9/10 000 births, 35.7, 9.3 and 3.7 for Trisomies 21, 18 and 13, respectively. Over 90% of Trisomies 18/13 and 47% of Trisomy 21 were diagnosed prenatally; 61% of Trisomy 21 cases and nearly 30% of Trisomies 18/13 were live births; 38% all trisomy affected pregnancies ended in a termination. CONCLUSIONS: This study provides precise data on the total prevalence and outcome of trisomy affected pregnancies in the East of Ireland. Total prevalence rates were higher than previously reported. Prenatal diagnosis had a significant impact on outcome. These data provide a better basis for planning of services for live-born children affected by trisomy.</t>
  </si>
  <si>
    <t>J Public Health (Oxf)</t>
  </si>
  <si>
    <t>Verificar no texto completo se há dado específico e separável da T18 Irlanda (aborto então não permitido): desfechos de gestações com trissomias.</t>
  </si>
  <si>
    <t>28056858</t>
  </si>
  <si>
    <t>Bouman K</t>
  </si>
  <si>
    <t>The impact of national prenatal screening on the time of diagnosis and outcome of pregnancies affected with common trisomies, a cohort study in the Northern Netherlands.</t>
  </si>
  <si>
    <t>BACKGROUND: To evaluate the impact of the introduction of prenatal screening on time of detection and pregnancy outcome for trisomy 21 (T21), trisomy 18 (T18) and trisomy 13 (T13). METHODS: We performed a retrospective, population-based cohort study in the Northern Netherlands including 503 trisomy cases born between 2005 and 2012. Screening tests and invasive procedures, timing of diagnosis and pregnancy outcome were compared between the period before (2005-2006) and after introduction (2007-2012) using X 2 tests. RESULTS: There was an increase in proportion of women who had a prenatal screening and/or invasive test, from 62% in 2005-2006 to 84% in 2010-2012 (p &lt; 0.01), while the proportion of prenatally diagnosed cases did not change (60% overall). In women &lt; =35 years 47% of the cases were diagnosed prenatally vs 73% in women &gt;35 years (p &lt; 0.01). More T13/T18 cases were diagnosed &lt;24 weeks after introduction (62% vs 84%; p &lt; 0.01). In T13/T18 intra-uterine death decreased (26% vs 15%), while terminations increased: 55% vs 72%. CONCLUSION: The introduction of prenatal screening had limited impact on the time of detection and outcome of the most common trisomies. The introduction of the 20-week anomaly scan has resulted in more trisomy cases diagnosed &lt;24 weeks and a shift from fetal death to terminations.</t>
  </si>
  <si>
    <t>BMC Pregnancy Childbirth</t>
  </si>
  <si>
    <t>28079873</t>
  </si>
  <si>
    <t>Major anomalies and birth-weight influence NICU interventions and mortality in infants with trisomy 13 or 18.</t>
  </si>
  <si>
    <t>OBJECTIVE: To describe neonatal intensive care unit (NICU) medical interventions and NICU mortality by birth weight and major anomaly types for infants with trisomy 13 (T13) or 18 (T18). STUDY DESIGN: Retrospective cohort analysis of infants with T13 or T18 from 2005 to 2012 in the Pediatrix Medical Group. We classified infants into three groups by associated anomaly type: neonatal surgical, non-neonatal surgical and minor. Outcomes were NICU medical interventions and mortality. RESULTS: 841 infants were included from 186 NICUs. NICU mortality varied widely by anomaly type and birth weight, from 70% of infants &lt;1500 g with neonatal surgical anomalies to 31% of infants ⩾2500 g with minor anomalies. Infants ⩾1500 g without a neonatal surgical anomaly comprised 66% of infants admitted to the NICU; they had the lowest rates of NICU medical interventions and NICU mortality. CONCLUSIONS: Risk stratification by anomaly type and birth weight may help provide more accurate family counseling for infants with T13 and T18.</t>
  </si>
  <si>
    <t>28328132</t>
  </si>
  <si>
    <t>Cavadino A</t>
  </si>
  <si>
    <t>Revised estimates of the risk of fetal loss following a prenatal diagnosis of trisomy 13 or trisomy 18.</t>
  </si>
  <si>
    <t>Edwards syndrome (trisomy 18) and Patau syndrome (trisomy 13) both have high natural fetal loss rates. The aim of this study was to provide estimates of these fetal loss rates by single gestational week of age using data from the National Down Syndrome Cytogenetic Register. Data from all pregnancies with Edwards or Patau syndrome that were prenatally detected in England and Wales from 2004 to 2014 was analyzed using Kaplan-Meier survival estimates. Pregnancies were entered into the analysis at the time of gestation at diagnosis, and were considered "under observation" until the gestation at outcome. There were 4088 prenatal diagnoses of trisomy 18 and 1471 of trisomy 13 in the analysis. For trisomy 18, 30% (95%CI: 25-34%) of viable fetuses at 12 weeks will result in a live birth and at 39 weeks gestation 67% (60-73%) will result in a live birth. For trisomy 13 the survival is 50% (41-58%) at 12 weeks and 84% (73-90%) at 39 weeks. There was no significant difference in survival between males and females when diagnosed at 12 weeks for trisomy 18 (P-value = 0.27) or trisomy 13 (P-value = 0.47). This paper provides the most precise gestational age-specific estimates currently available for the risk of fetal loss in trisomy 13 and trisomy 18 pregnancies in a general population.</t>
  </si>
  <si>
    <t>28456396</t>
  </si>
  <si>
    <t>Peterson JK</t>
  </si>
  <si>
    <t>Long-Term Outcomes of Children With Trisomy 13 and 18 After Congenital Heart Disease Interventions.</t>
  </si>
  <si>
    <t>BACKGROUND: The purpose of this study is to report short- and long-term outcomes after congenital heart defect (CHD) interventions in patients with trisomy 13 or 18. METHODS: A retrospective review of the Pediatric Cardiac Care Consortium (PCCC) identified children with trisomy 13 or 18 with interventions for CHD between 1982 and 2008. Long-term survival and cause of death were obtained through linkage with the National Death Index. RESULTS: A total of 50 patients with trisomy 13 and 121 patients with trisomy 18 were enrolled in PCCC between 1982 and 2008; among them 29 patients with trisomy 13 and 69 patients with trisomy 18 underwent intervention for CHD. In-hospital mortality rates for patients with trisomy 13 or trisomy 18 were 27.6% and 13%, respectively. Causes of in-hospital death were primarily cardiac (64.7%) or multiple organ system failure (17.6%). National Death Index linkage confirmed 23 deaths after discharge. Median survival (conditioned to hospital discharge) was 14.8 years (95% confidence interval [CI]: 12.3 to 25.6 years) for patients with trisomy 13 and 16.2 years (95% CI: 12 to 20.4 years) for patients with trisomy 18. Causes of late death included cardiac (43.5%), respiratory (26.1%), and pulmonary hypertension (13%). CONCLUSIONS: In-hospital mortality rate for all surgical risk categories was higher in patients with trisomy 13 or 18 than that reported for the general population. However, patients with trisomy 13 or 18, who were selected as acceptable candidates for cardiac intervention and who survived CHD intervention, demonstrated longer survival than previously reported. These findings can be used to counsel families and make program-level decisions on offering intervention to carefully selected patients.</t>
  </si>
  <si>
    <t>Ann Thorac Surg</t>
  </si>
  <si>
    <t>29046387</t>
  </si>
  <si>
    <t>Congenital Heart Surgery on In-Hospital Mortality in Trisomy 13 and 18.</t>
  </si>
  <si>
    <t>BACKGROUND AND OBJECTIVES: Congenital heart disease (CHD) is common in trisomy 13 (T13) and trisomy 18 (T18), but surgical repair has not been offered in most centers. Data on outcomes of congenital heart surgery (CHS) for T13 and T18 are lacking. We sought to determine the impact of CHS on in-hospital mortality in T13 and T18. METHODS: Data from the 2004 to 2015 Pediatric Health Information System database were used to identify inpatients with T13 or T18 and CHD. Data were restricted to newborns with T13 or T18 admitted at ≤14 days of age. Hospital readmissions were examined to analyze longer-term in-hospital mortality. In-hospital mortality and length of stay were compared between infants with and without CHD and with and without CHS. RESULTS: The study cohort included 1020 infants with T18 and 648 infants with T13. CHD was present in 91% of infants with T18 and 86% of infants with T13. CHS was performed in 7% of each group. In-hospital mortality was decreased in those who underwent CHS (64% lower in T18 [P &lt;.001]; 45% lower in T13 [P = .003]) and remained decreased throughout the 24 months of follow-up. In-hospital mortality was decreased in infants with higher weight, female sex, and older age at admission. CONCLUSIONS: CHS is associated with decreased in-hospital mortality in T18 and T13. These results suggest CHS may be beneficial in select cases.</t>
  </si>
  <si>
    <t>Pediatrics</t>
  </si>
  <si>
    <t>26104883</t>
  </si>
  <si>
    <t>Nagase H</t>
  </si>
  <si>
    <t>Fetal outcome of trisomy 18 diagnosed after 22 weeks of gestation: Experience of 123 cases at a single perinatal center.</t>
  </si>
  <si>
    <t>To investigate the pregnancy outcome of the fetuses with trisomy 18, we studied 123 cases of trisomy 18 who were born at our hospital from 1993 to 2009. Among them, 95.9% were diagnosed with trisomy 18 prenatally. Prenatal ultrasound findings showed fetal growth restriction in 77.2%, polyhydramnios in 63.4% and congenital heart defects in 95.1%. For 18 cases, cesarean section (C-section) was chosen, and for 75 cases, transvaginal delivery was chosen. Premature delivery occurred in 35.5%. Stillbirths occurred in 50 cases (40.7%). Fetal demise before onset of labor occurred in 30 cases and fetal demise during labor occurred in 20 cases which was 26.7% of vaginal deliveries. Among the 73 live-born infants, the survival rate for 24 h, 1 week, 1 month and 1 year were 63%, 43%, 33% and 3%. The median survival time was 3.5 days. There was no significant difference between the survival time of C-section and that of vaginal delivery. However, for the births involving breech presentation, the survival time of C-section was significantly longer than that of vaginal delivery. When the fetus is diagnosed with trisomy 18, the parents have to make many choices. These findings constitute critical information in prenatal counseling to the couples whose fetuses have been found to have trisomy 18, especially when they choose palliative approaches in the perinatal management.</t>
  </si>
  <si>
    <t>Congenit Anom (Kyoto)</t>
  </si>
  <si>
    <t>26453443</t>
  </si>
  <si>
    <t>Bruns DA</t>
  </si>
  <si>
    <t>An analysis of cardiac defects and surgical interventions in 84 cases with full trisomy 18.</t>
  </si>
  <si>
    <t>Trisomy 18 (Edwards syndrome) is the second most common autosomal trisomy after trisomy 21. Medical issues commonly include cardiac defects, such as ventricular septal defect (VSD) and atrial septal defect (ASD). If untreated, these conditions can contribute to the associated infant mortality. The objective of the study was review parent-reported information on 84 cases with full trisomy 18 focusing on prenatal and postnatal assessment and confirmation of cardiac defects and on subsequent treatment with cardiac surgery and post-surgery outcomes. At birth, 65 parent responses indicated the presence of VSD (77.4%), 38 ASD (45.2%), and 50 patent ductus arteriosus (PDA) (59.5%). The presence of multiple cardiac defects was also analyzed including 25 cases with VSD, ASD, and PDA at birth. The total reduced to 18 at survey completion. Twenty-four cases had one or more cardiac defects repaired for a total of 34 corrective surgeries. Age at surgery varied from 2 weeks to 41 months of age with most performed under 1 year of age. Twenty-one cases were still living at the time of survey completion (87.5%). From these date we provide recommendations and implications.</t>
  </si>
  <si>
    <t>26473304</t>
  </si>
  <si>
    <t>Russo FM</t>
  </si>
  <si>
    <t>Parental counseling in trisomy 18: Novel insights in prenatal features and postnatal survival.</t>
  </si>
  <si>
    <t>Data on the outcome of trisomy T18 (T18) when diagnosed during pregnancy are lacking. We performed a retrospective study of pregnancies complicated by T18 diagnosed at our center and a literature search for publications on the topic, with pooled estimates of survival rates at different gestational and post-natal ages. In our series, all the 60 patients included in the analysis had prenatally detected ultrasound anomalies, which were evidenced in the first trimester or at the second trimester scan in 73% of cases. In the continued pregnancies, ultrasound findings did not correlate with prenatal or post-natal outcome. A meta-analysis of available literature and our data showed that 48% [37-60%] of fetuses were live born, and among these 39% [11-72%] survived beyond 48 hr and 11% [3-21%] beyond 1 month. Our results confirm that prenatal ultrasound has high sensitivity in detection of T18 but is not predictive of the outcome of the continued pregnancies. The data on survival support that T18, even when antenatally diagnosed, cannot be considered as a uniformly lethal syndrome.</t>
  </si>
  <si>
    <t>Destaque: estimativas agrupadas após diagnóstico pré-natal (48% nascidos vivos; 11% além de 1 mês). Dado desfavorável que precisa ser enfrentado.</t>
  </si>
  <si>
    <t>26663415</t>
  </si>
  <si>
    <t>Meyer RE</t>
  </si>
  <si>
    <t>Survival of children with trisomy 13 and trisomy 18: A multi-state population-based study.</t>
  </si>
  <si>
    <t>Trisomy 13 (T13) and trisomy 18 (T18) are among the most prevalent autosomal trisomies. Both are associated with a very high risk of mortality. Numerous instances, however, of long-term survival of children with T13 or T18 have prompted some clinicians to pursue aggressive treatment instead of the traditional approach of palliative care. The purpose of this study is to assess current mortality data for these conditions. This multi-state, population-based study examined data obtained from birth defect surveillance programs in nine states on live-born infants delivered during 1999-2007 with T13 or T18. Information on children's vital status and selected maternal and infant risk factors were obtained using matched birth and death certificates and other data sources. The Kaplan-Meier method and Cox proportional hazards models were used to estimate age-specific survival probabilities and predictors of survival up to age five. There were 693 children with T13 and 1,113 children with T18 identified from the participating states. Among children with T13, 5-year survival was 9.7%; among children with T18, it was 12.3%. For both trisomies, gestational age was the strongest predictor of mortality. Females and children of non-Hispanic black mothers had the lowest mortality. Omphalocele and congenital heart defects were associated with an increased risk of death for children with T18 but not T13. This study found survival among children with T13 and T18 to be somewhat higher than those previously reported in the literature, consistent with recent studies reporting improved survival following more aggressive medical intervention for these children. © 2015 Wiley Periodicals, Inc.</t>
  </si>
  <si>
    <t>26728763</t>
  </si>
  <si>
    <t>Subramaniam A</t>
  </si>
  <si>
    <t>Trisomy 18: A single-center evaluation of management trends and experience with aggressive obstetric or neonatal intervention.</t>
  </si>
  <si>
    <t>We conducted a retrospective cohort study including all prenatal and postnatal diagnoses of trisomy 18 (T18) from 2004 to 2014 at a single tertiary referral center in the southern United States to evaluate the natural history and perinatal outcomes associated with T18 over the past decade. We analyzed pregnancy outcome, mode of delivery, and for live-births, the number and types of neonatal interventions, and characterized interventions as aggressive or non-aggressive. Survival analyses were conducted based on mode of delivery and aggressive compared to non-aggressive interventions. A total of 167 cases of T18 were identified, 150 with available records. There were 141 (94.0%) with full T18; the remainder had mosaicism (1.3%), a translocation (0.7%), or an isochromosome 18 (4.0%). Most diagnoses were prenatal (73.3%, n = 110). Of the 150 patients, there were 54 live births: 21 (38.9%) delivered vaginally, 32 (59.3%) delivered by cesarean, and mode of delivery could not be ascertained for one. Median duration of survival was 12 days (interquartile range 3-90 days). Over time, there were no changes toward increased intervention (obstetric or neonatal). For the 49 neonates who received some intervention, there was no significant difference in survival time between neonates receiving aggressive (n = 36, median survival 24 days, interquartile range 6-247) and non-aggressive (n = 13, median survival 30 days, interquartile range 8-148) intervention (P = 0.90). There was similarly no difference in neonatal survival based on mode of delivery (P = 0.79). Survival of infants with T18 is not improved with aggressive obstetric or neonatal care.</t>
  </si>
  <si>
    <t>26820816</t>
  </si>
  <si>
    <t>Imataka G</t>
  </si>
  <si>
    <t>Clinical features and survival in individuals with trisomy 18: A retrospective one-center study of 44 patients who received intensive care treatments.</t>
  </si>
  <si>
    <t>Trisomy 18 syndrome is a common autosomal aneuploidy chromosomal abnormality caused by the presence of extra chromosome 18 that leads to malformations of various parts of the body. In this study, we retrospectively investigated the effect of the medical progression and prognosis of 44 cases of trisomy 18, admitted to our neonatal intensive care unit between 1992 and 2013. The patients were divided into group A (n=20, 1992‑2002) and group B (n=24, 2003‑2012). Following delivery, karyotype, gender, gestational weeks, birth place, cesarean section, Apgar score and birth weight were analyzed using the Fisher's exact test, unpaired t‑test and Mann‑Whitney U test. Based on the statistical results, a comparison was made of the two groups and no significant differences were observed. Clinical data of major complications, mechanical ventilation, discharge from hospital and survival days were reviewed for the cases of trisomy 18. Of the 44 patients, 42 had cardiac anomaly, 16 had esophageal atresia, and 3 patients had brain anomaly. Ventilation treatment was performed in 29 cases (65.9%) and an increased percentage was identified in group B patients. The percentage survival was estimated using Kaplan‑Meier curves and the two groups were analyzed using the generalized Wilcoxon test. Improvement in life prognosis was observed in group B as compared to group A. The log‑rank test was used to assess survey periods of 180 days, 1 year, and the entire observation period. Although significant differences were observed for the prognosis of trisomy 18 at 180 days after birth, after 1 year and the entire survey period after birth, the significant differences were not confirmed. In conclusion, results of the present study provide information concerning genetic counseling for parents/guardians and life prognosis, prior to applying intensive management to newborns with trisomy 18.</t>
  </si>
  <si>
    <t>Mol Med Rep</t>
  </si>
  <si>
    <t>26821376</t>
  </si>
  <si>
    <t>Nakai Y</t>
  </si>
  <si>
    <t>Effectiveness of cardiac surgery in patients with trisomy 18: a single-institutional experience.</t>
  </si>
  <si>
    <t>BACKGROUND: Surgical repair for cardiac lesions has rarely been offered to patients with trisomy 18 because of their very short lifespans. We investigated the effectiveness of cardiac surgery in patients with trisomy 18. Patients and methods We performed a retrospective analysis of 20 consecutive patients with trisomy 18 and congenital cardiac anomalies who were evaluated between August, 2003 and July, 2013. All patients developed respiratory or cardiac failure due to excessive pulmonary blood flow. Patients were divided into two subgroups: one treated surgically (surgical group, n=10) and one treated without surgery (conservative group, n=10), primarily to compare the duration of survival between the groups. RESULTS: All the patients in the surgical group underwent cardiac surgery with pulmonary artery banding, including patent ductus arteriosus ligation in nine patients and coarctation repair in one. The duration of survival was significantly longer in the surgical group than in the conservative group (495.4±512.6 versus 93.1±76.2 days, respectively; p=0.03). A Cox proportional hazard model found cardiac surgery to be a significant predictor of survival time (risk ratio of 0.12, 95% confidence interval 0.016-0.63; p=0.01). CONCLUSIONS: Cardiac surgery was effective in prolonging survival by managing high pulmonary blood flow; however, the indication for surgery should be carefully considered on a case-by-case basis, because the risk of sudden death remains even after surgery. Patients' families should be provided with sufficient information to make decisions that will optimise the quality of life for both patients and their families.</t>
  </si>
  <si>
    <t>27167547</t>
  </si>
  <si>
    <t>Goulart VV</t>
  </si>
  <si>
    <t>Intrauterine death in singleton pregnancies with trisomy 21, 18, 13 and monosomy X.</t>
  </si>
  <si>
    <t>A retrospective study from November 2004 to May 2012, conducted at the Obstetric Clinic of Hospital das Clínicas, Faculdade de Medicina, Universidade de São Paulo (HC-FMUSP), which included 92 singleton pregnancies with prenatal diagnosis of trisomy of chromosome 21 (T21), 18, 13 (T13/18) and monosomy X (45X), with diagnosis performed until the 26th week of pregnancy. The aim of the study was to describe the frequency and to investigate predictors of spontaneous fetal death (FD). Diagnosis (T21, n=36; T13/18, n=25; 45X, n=31) was made at a mean gestational age of 18.3±3.7 weeks, through chorionic villus biopsy (n=22,24%), amniocentesis (n=66, 72%) and cordocentesis (n=4, 4%). Major malformations were present in 45 (49%); with hydrops in 32 (35%) fetuses, more frequently in 45X [n=24/31, 77% vs. T21 (n=6/36, 17%) and T13/18 (n=2/25, 8%), p&lt;0.001]. Specialized fetal echocardiography was performed in 60% (55/92). Of these, 60% (33/55) showed changes in heart morphology and/or function. Fetuses with T13/18 had a higher incidence of cardiac anomalies [60 vs. 25% (T21) and 29% (45X), p= 0.01]. FD occurred in 55 (60%) gestations, being more frequent in 45X [n=26/31, 84% vs. T21 (n=13/36, 36%) and T13/18 (n=16/25, 64%), p&lt;0.01]. Stepwise analysis showed a correlation between hydrops and death in fetuses with T21 (LR= 4.29; 95CI=1.9-8.0, p&lt;0.0001). In fetuses with 45X, the presence of echocardiographic abnormalities was associated with lower risk of FD (LR= 0.56; 95CI=0.27- 0.85, p=0.005). No predictive factors were identified in the T13/18 group. Intra- uterine lethality of aneuploid fetuses is high. Occurrence of hydrops increases risk of FD in pregnancies with T21. In pregnancies with 45X, the occurrence of echocardiographic changes reduces this risk.</t>
  </si>
  <si>
    <t>Rev Assoc Med Bras (1992)</t>
  </si>
  <si>
    <t>27437608</t>
  </si>
  <si>
    <t>Dotters-Katz SK</t>
  </si>
  <si>
    <t>Management of Pregnancy and Survival of Infants with Trisomy 13 or Trisomy 18.</t>
  </si>
  <si>
    <t>Objective The objective of this study was to describe antenatal/intrapartum management and survival of liveborn infants with known trisomy 13 (T13) or trisomy 18 (T18) based on planned neonatal care. Study Design This is a retrospective cohort study of singleton pregnancies complicated by T13/T18 at a tertiary center from 2004 to 2015. We included pregnancies with antenatal or neonatal cytogenetic T13/T18 diagnosis and excluded those which were terminated or had a fetal demise &lt; 20 weeks. We compared antenatal/intrapartum management and neonatal survival by planned neonatal care, defined as either neonatal intervention (INT), including neonatal cardiopulmonary resuscitative measures or comfort care (CC) without resuscitative measures. Results In this study, 32 women (10 with T13 and 22 with T18) met study criteria; 12 (38%) elected INT and 20 (62%) CC. Compared with those who elected INT, women who elected CC were more likely to undergo elective induction (40 vs. 0%, p = 0.01), have an intrapartum stillbirth (0 vs. 32%, p = 0.14), and deliver vaginally (25 vs. 63%, p &lt; 0.01). In neonatal survival analysis (n = 26), median survival was longer in the INT group compared with CC group (64 days [interquartile range, IQR: 2, 155) vs. 3 days [IQR]: 0.3, 42), p = 0.28), but survival to hospital discharge was similar (53 vs. 57%, p = 0.95). Conclusion Regardless of desired level of neonatal INT, many women who continue pregnancies complicated by T13/18 have infants who survive beyond hospital discharge.</t>
  </si>
  <si>
    <t>27458947</t>
  </si>
  <si>
    <t>Nelson KE</t>
  </si>
  <si>
    <t>Survival and Surgical Interventions for Children With Trisomy 13 and 18.</t>
  </si>
  <si>
    <t>IMPORTANCE: Trisomy 13 and 18 are genetic diagnoses with characteristic physical features, organ anomalies, and neurodevelopmental disability. Most children with these disorders die shortly after birth, although limited data suggest some children survive longer. Surgeries are controversial, and little evidence is available about outcomes. OBJECTIVE: To describe survival and utilization of any type of surgery among children with trisomy 13 and 18 born over a 21-year period in Ontario, Canada. DESIGN, SETTING, AND PARTICIPANTS: This retrospective cohort study used linked health administrative databases to identify children born in Ontario between April 1, 1991, and March 31, 2012, with a diagnosis code for trisomy 13 or 18 on a hospital record in the first year of life. Survival was calculated from birth and death dates; children living on March 31, 2013, were censored at their last clinical encounter. EXPOSURES: All procedures classified as occurring in an operating room through March 31, 2013, were categorized as major, intermediate, or minor surgeries. MAIN OUTCOMES AND MEASURES: Survival and surgical procedure utilization. RESULTS: The cohorts included 174 children with trisomy 13 (mean [SD] birth weight, 2.5 [0.7] kg; 98 [56.3%] female); and 254 children with trisomy 18 (mean birth weight, 1.8 [0.7] kg; 157 [61.8%] female), with follow-up times of 0 to more than 7000 days. Median (interquartile range [IQR]) survival times were 12.5 (2-195) days for trisomy 13 and 9 (2-92) days for trisomy 18. Mean 1-year survival for trisomy 13 was 19.8% (95% CI, 14.2%-26.1%) and 12.6% (95% CI, 8.9%-17.1%) for trisomy 18. Ten-year survival for trisomy 13 was 12.9% (95% CI, 8.4%-18.5%) and 9.8% (95% CI, 6.4%-14.0%) for trisomy 18. Survival did not change over the study period. Forty-one children (23.6%) with trisomy 13 and 35 children (13.8%) with trisomy 18 underwent surgeries, ranging from myringotomy to complex cardiac repair. Median age at first surgery for trisomy 13 was 92 (IQR, 30.5-384.5) days and for trisomy 18, it was 205.5 (IQR, 20.0-518.0) days. Kaplan-Meier curves showed 1-year survival after first surgery of 70.7% (95% CI, 54.3%-82.2%; n = 23) for trisomy 13 and 68.6% (95% CI, 50.5%-81.2%; n = 29) for trisomy 18. CONCLUSIONS AND RELEVANCE: Among children born with trisomy 13 or 18 in Ontario, early mortality was the most common outcome, but 10% to 13% survived for 10 years. Among children who underwent surgical interventions, 1-year survival was high.</t>
  </si>
  <si>
    <t>JAMA</t>
  </si>
  <si>
    <t>27530709</t>
  </si>
  <si>
    <t>Donovan JH</t>
  </si>
  <si>
    <t>Medical interventions and survival by gender of children with trisomy 18.</t>
  </si>
  <si>
    <t>Research has typically shown limited aggressive medical interventions and low survival rates for children with full trisomy 18. Recent studies provide more positive results. This study examined 82 children with full trisomy 18 drawn from the Tracking Rare Incidence Syndromes (TRIS) project database. Children were classified into three groups according to the highest intervention received: "hospice or no intervention" (n = 5, 6.1%), "necessary interventions (enteral feeding, ventilator use)" (n = 46, 56.1%), and "aggressive interventions (surgery)" (n = 31, 37.8%). Seven of 14 male children (50%) and 52 of 68 female children (76.5%) were living at the time of survey completion. Additionally, information about any interventions used during the care of these children was also provided. It was found that three males (37.5%) and 28 females (48.3%) had used hospice care at some point; 12 males (85.7%) and 61 females (89.7%) received enteral feeding at some point; 7 males (58.3%) and 25 females (38.5%) had ventilator; and 7 males (50%) and 33 females (48.5%) underwent some form of surgery. These results suggest improved outcomes when given necessary and aggressive medical interventions. Implications and recommendations for further research are provided. © 2016 Wiley Periodicals, Inc.</t>
  </si>
  <si>
    <t>Am J Med Genet C Semin Med Genet</t>
  </si>
  <si>
    <t>27550159</t>
  </si>
  <si>
    <t>Janvier A</t>
  </si>
  <si>
    <t>Parental hopes, interventions, and survival of neonates with trisomy 13 and trisomy 18.</t>
  </si>
  <si>
    <t>Trisomy 13 and 18 are life-limiting conditions for which a palliative approach is frequently recommended. The objective of this study was to examine parental goals/decisions, the length of life of their child and factors associated with survival. Parents of children who lived with trisomy 13 or 18 that were part of English-speaking social networks were invited to participate in a questionnaire study. Participants answered questions about their hopes/goals, decisions regarding neonatal interventions, and the duration of their children's lives. The participants were 332 parents who answered questions about their 272 children (87% response rate based on site visits; 67% on invitations sent). When parents were asked about their hope after the diagnosis, the main themes invoked by parents were the following: meet their child alive (80% of parents with a prenatal diagnosis), spend some time as a family (72%), bring their child home (52%), and give their child a good life (66%). Parents wanted to give them a chance, but also reported their fears were medical complexity, pain and/or life in the hospital (61%). Healthcare providers recommended comfort care at birth to all parents. Life-sustaining interventions "as for any other child" was chosen as a plan of care by 25% of parents. Of the 216 children with full trisomy, 69% were discharged home after birth and 40% lived &gt;1 y. The presence of a prenatal diagnosis was the strongest independent factor negatively associated with longevity: 36% of children with a prenatal diagnosis lived &lt;24 hr and 47% were discharged home compared to 1% and 87%, respectively for children with a postnatal diagnosis (P &lt; 0.01). Male gender, low-birth weight, and cardiac and/or cerebral anomaly were also associated with decreased survival (P &lt; 0.05). After a prenatal diagnosis, palliative care at birth consisted of limited interventions, whereas after a postnatal diagnosis (median age of 6 days) it consisted of various interventions, including oxygen, ventilation, tube feeding and intravenous fluids, complicating the analysis. In conclusion, the goals of parents of children with trisomy 13 or 18 were to meet their child, be discharged home and be a family. Having a postnatal diagnosis was the independent factor most associated with these goals. Children with a postnatal diagnosis were treated "as any other children" until the diagnosis, which may give them a survival advantage, independent of palliative care. Rigorous transparency regarding specific interventions and outcomes may help personalize care for these children. © 2016 Wiley Periodicals, Inc.</t>
  </si>
  <si>
    <t>25388684</t>
  </si>
  <si>
    <t>Denardin D</t>
  </si>
  <si>
    <t>Retrospective cohort of trisomy 18 (Edwards syndrome) in southern Brazil.</t>
  </si>
  <si>
    <t>CONTEXT AND OBJECTIVE: Trisomy 18 (T18), or Edwards syndrome, is a chromosomal disease characterized by a broad clinical picture and a poor prognosis. Our aim was to describe clinical, radiological and survival data of a cohort of patients prenatally diagnosed with T18. DESIGN AND SETTING: Retrospective single cohort in the Fetal Medicine Service of Hospital Materno Infantil Presidente Vargas (HMIPV). METHODS: All sequential patients with T18 registered at the Fetal Medicine Service of HMIPV between January 2005 and September 2013 were considered. We gathered their clinical, radiological and survival data and used the Kaplan-Meier test for survival analysis. RESULTS: Ten patients were diagnosed with T18, of whom seven (70%) were female. The majority (90%) were referred due to malformations seen on ultrasound. The mean gestational age at the first evaluation was 25.5 weeks. At karyotyping, the defects were considered multiple in only four patients (40%). All the fetuses presented full trisomy of chromosome 18. The main abnormality observed was congenital heart disease (n = 7). Intrauterine death occurred in half of the patients (50%). All live patients (n = 5) were born through cesarean section presenting low weight and low Apgar scores. The median length of survival after birth was 18 days. CONCLUSIONS: T18 is associated with a high risk of fetal and neonatal death. The majority of the patients present major malformations identified through ultrasound, such as congenital heart defects, which could help in identifying such cases prenatally.</t>
  </si>
  <si>
    <t>Sao Paulo Med J</t>
  </si>
  <si>
    <t>Dados brasileiros.</t>
  </si>
  <si>
    <t>25612784</t>
  </si>
  <si>
    <t>Costello JP</t>
  </si>
  <si>
    <t>A contemporary, single-institutional experience of surgical versus expectant management of congenital heart disease in trisomy 13 and 18 patients.</t>
  </si>
  <si>
    <t>The objective of this study was to examine a large institutional experience of patients with trisomy 13 and trisomy 18 in the setting of comorbid congenital heart disease and present the outcomes of surgical versus expectant management. It is a retrospective single-institution cohort study. Institutional review board approved this study. Thirteen consecutive trisomy 18 patients and three consecutive trisomy 13 patients (sixteen patients in total) with comorbid congenital heart disease who were evaluated by our institution's Division of Cardiovascular Surgery between January 2008 and December 2013 were included in the study. The primary outcome measures evaluated were operative mortality (for patients who received surgical management), overall mortality (for patients who received expectant management), and total length of survival during follow-up. Of the thirteen trisomy 18 patients, seven underwent surgical management and six received expectant management. With surgical management, operative mortality was 29 %, and 80 % of patients were alive after a median follow-up of 116 days. With expectant management, 50 % of patients died before hospital discharge. Of the three patients with trisomy 13, one patient underwent surgical management and two received expectant management. The patient who received surgical management with complete repair was alive at last follow-up over 2 years after surgery; both patients managed expectantly died before hospital discharge. Trisomy 13 and trisomy 18 patients with comorbid congenital heart disease can undergo successful cardiac surgical intervention. In this population, we advocate that nearly all patients with cardiovascular indications for operative congenital heart disease intervention should be offered complete surgical repair over palliative approaches for moderately complex congenital cardiac anomalies.</t>
  </si>
  <si>
    <t>25847518</t>
  </si>
  <si>
    <t>Ishitsuka K</t>
  </si>
  <si>
    <t>Medical procedures and outcomes of Japanese patients with trisomy 18 or trisomy 13: analysis of a nationwide administrative database of hospitalized patients.</t>
  </si>
  <si>
    <t>The choices of aggressive treatment for trisomy 18 (T18) and trisomy 13 (T13) remain controversial. Here, we describe the current medical procedures and outcomes of patients with T18 and T13 from a nationwide administrative database of hospitalized patients in Japan. We used the database to identify eligible patients with T18 (n = 438) and T13 (n = 133) who were first admitted to one of 200 hospitals between July 2010 and March 2013. Patients were divided into admission at day &lt;7 (early neonatal) and admission at day ≥7 (late neonatal and post neonatal) groups, and we described the medical intervention and status at discharge for each group. In the day &lt;7 groups, surgical interventions were performed for 56 (19.9%) T18 patients and 22 (34.4%) T13 patients, including pulmonary artery banding, and procedures for esophageal atresia and omphalocele. None received intracardiac surgery. The rate of patients discharged to home was higher in the day ≥7 groups than the day &lt;7 groups (T18: 72.6 vs. 38.8%; T13: 73.9 vs. 21.9%, respectively). Our data show that a substantial number of patients with trisomy received surgery and were then discharged home, but, of these, a considerable number required home medical care. This included home oxygen therapy, home mechanical ventilation, and tube feeding. These findings will be useful to clinicians or families who care for patients with T18 and T13.</t>
  </si>
  <si>
    <t>26307940</t>
  </si>
  <si>
    <t>Imai K</t>
  </si>
  <si>
    <t>Differences in mortality and morbidity according to gestational ages and birth weights in infants with trisomy 18.</t>
  </si>
  <si>
    <t>The aim of this study was to clarify the effects of gestational age and birth weight on outcomes of the infants. Medical records of 36 infants with trisomy 18 admitted to Tokyo Women's Medical University Hospital from 1991 to 2012 were reviewed retrospectively. We compared clinical characteristics between term infants (n = 15) and preterm infants (n = 21). There were one very-low-birth-weight (VLBW) term infant (5%) and 12 VLBW preterm infants (80%). Although there were no significant differences in clinical characteristics and provided management between the two groups, none of the preterm infants achieved survival to discharge. On the other hand, 6 of 21 term infants (29%) achieved survival to discharge (P &lt; 0.05). Similar results were obtained for comparisons between the VLBW infants and non-VLBW infants. Multiple logistic regression analysis revealed that shorter gestational age had a more negative impact than lower birth weight to survival to discharge in infants with trisomy 18. In both preterm and term groups, the infants who died before 30 days commonly died of respiratory failure or apnea. Whereas, the infants who survived more than 30 days mostly died of heart failure.</t>
  </si>
  <si>
    <t>24311518</t>
  </si>
  <si>
    <t>Nishi E</t>
  </si>
  <si>
    <t>Surgical intervention for esophageal atresia in patients with trisomy 18.</t>
  </si>
  <si>
    <t>Trisomy 18 is a common chromosomal aberration syndrome involving growth impairment, various malformations, poor prognosis, and severe developmental delay in survivors. Although esophageal atresia (EA) with tracheoesophageal fistula (TEF) is a potentially fatal complication that can only be rescued through surgical correction, no reports have addressed the efficacy of surgical intervention for EA in patients with trisomy 18. We reviewed detailed clinical information of 24 patients with trisomy 18 and EA who were admitted to two neonatal intensive care units in Japan and underwent intensive treatment including surgical interventions from 1982 to 2009. Nine patients underwent only palliative surgery, including six who underwent only gastrostomy or both gastrostomy and jejunostomy (Group 1) and three who underwent gastrostomy and TEF division (Group 2). The other 15 patients underwent radical surgery, including 10 who underwent single-stage esophago-esophagostomy with TEF division (Group 3) and five who underwent two-stage operation (gastrostomy followed by esophago-esophagostomy with TEF division) (Group 4). No intraoperative death or anesthetic complications were noted. Enteral feeding was accomplished in 17 patients, three of whom were fed orally. Three patients could be discharged home. The 1-year survival rate was 17%: 27% in those receiving radical surgery (Groups 3 and 4); 0% in those receiving palliative surgery (Groups 1 and 2). Most causes of death were related to cardiac complications. EA is not an absolute poor prognostic factor in patients with trisomy 18 undergoing radical surgery for EA and intensive cardiac management.</t>
  </si>
  <si>
    <t>24446439</t>
  </si>
  <si>
    <t>Boghossian NS</t>
  </si>
  <si>
    <t>Mortality and morbidity of VLBW infants with trisomy 13 or trisomy 18.</t>
  </si>
  <si>
    <t>OBJECTIVE: Little is known about how very low birth weight (VLBW) affects survival and morbidities among infants with trisomy 13 (T13) or trisomy 18 (T18). We examined the care plans for VLBW infants with T13 or T18 and compared their risks of mortality and neonatal morbidities with VLBW infants with trisomy 21 and VLBW infants without birth defects. METHODS: Infants with birth weight 401 to 1500 g born or cared for at a participating center of the Eunice Kennedy Shriver National Institute of Child Health and Human Development Neonatal Research Network during the period 1994-2009 were studied. Poisson regression models were used to examine risk of death and neonatal morbidities among infants with T13 or T18. RESULTS: Of 52,262 VLBW infants, 38 (0.07%) had T13 and 128 (0.24%) had T18. Intensity of care in the delivery room varied depending on whether the trisomy was diagnosed before or after birth. The plan for subsequent care for the majority of the infants was to withdraw care or to provide comfort care. Eleven percent of infants with T13 and 9% of infants with T18 survived to hospital discharge. Survivors with T13 or T18 had significantly increased risk of patent ductus arteriosus and respiratory distress syndrome compared with infants without birth defects. No infant with T13 or T18 developed necrotizing enterocolitis. CONCLUSIONS: In this cohort of liveborn VLBW infants with T13 or T18, the timing of trisomy diagnosis affected the plan for care, survival was poor, and death usually occurred early.</t>
  </si>
  <si>
    <t>Comparative Study; Journal Article; Research Support, N.I.H., Extramural</t>
  </si>
  <si>
    <t>24993362</t>
  </si>
  <si>
    <t>Springett AL</t>
  </si>
  <si>
    <t>Antenatal detection of Edwards (Trisomy 18) and Patau (Trisomy 13) syndrome: England and Wales 2005-2012.</t>
  </si>
  <si>
    <t>OBJECTIVES: Pregnancies with Edwards or Patau syndrome are often detected through screening for Down's syndrome. We aimed to evaluate the impact of screening for Down's syndrome on the prevalence of live births and antenatal diagnoses of Edwards and Patau syndrome. SETTING: England and Wales, 2005 to 2012. METHODS: Data from the National Down Syndrome Cytogenetic Register, which contains information on nearly all ante- or postnatally diagnosed cases of Edwards or Patau syndrome in which a karyotype was confirmed, were analysed. RESULTS: From 2005 to 2012, 3,941 diagnoses of Edwards syndrome and 1,567 diagnoses of Patau syndrome were recorded (prevalence of 7.0 and 2.8 per 10,000 births respectively). Only 11% (95% confidence interval [CI]: 10-12) of diagnoses of Edwards syndrome and 13% (95% CI: 11-14) of Patau syndrome were live births, resulting in live birth prevalences of 0.8 (95% CI: 0.7-0.8) and 0.4 (95% CI: 0.3-0.4) per 10,000 live births respectively. About 90% of pregnancies with Edwards or Patau syndrome were diagnosed antenatally, and this proportion remained constant over time. The proportion of diagnoses detected before 15 weeks increased from 50% in 2005 to 53% in 2012 for Edwards syndrome, and from 41% in 2005 to 63% in 2012 for Patau syndrome. CONCLUSIONS: Almost 700 women per year had a pregnancy with Edwards or Patau syndrome. Over 90% of these pregnancies were detected antenatally, with the increased use of first trimester screening for Down's syndrome resulting in the reduction in the mean gestational age at diagnosis of these syndromes.</t>
  </si>
  <si>
    <t>J Med Screen</t>
  </si>
  <si>
    <t>22562870</t>
  </si>
  <si>
    <t>Burke AL</t>
  </si>
  <si>
    <t>Natural history of fetal trisomy 18 after prenatal diagnosis.</t>
  </si>
  <si>
    <t>OBJECTIVE: To evaluate the natural fetal and neonatal outcome for pregnancies with an established prenatal diagnosis of fetal trisomy 18, and a parental decision for continuation of the pregnancy. METHODS: The obstetric and neonatal outcome data for 23 such pregnancies, diagnosed at a single referral Fetal Medicine Centre, were retrospectively obtained. RESULTS: The overall intrauterine fetal death rate was 61%, with a progressive decline in live fetuses up to 39 weeks gestation. For fetuses diagnosed before 20 weeks gestation, there was a trend towards a higher intrauterine fetal death rate (88%), in comparison to those diagnosed after this period (44%) (p=0.06). For live births, the preterm delivery rate was 44%. All infants born alive died within 48 h of birth. CONCLUSION: These data provide reliable information for parental counselling pertaining to risk of intrauterine death when trisomy 18 is diagnosed prenatally. These findings suggest that long-term survival implications for trisomy 18 are different when it is diagnosed prenatally.</t>
  </si>
  <si>
    <t>23720410</t>
  </si>
  <si>
    <t>Kosho T</t>
  </si>
  <si>
    <t>Natural history and parental experience of children with trisomy 18 based on a questionnaire given to a Japanese trisomy 18 parental support group.</t>
  </si>
  <si>
    <t>We conducted a questionnaire-based study in collaboration with a Japanese trisomy 18 parental support group. Sixty-five children (female, 68%) with full trisomy 18 were evaluated. Diagnosis was made prenatally in 17% (11/65) and 57% (37/65) were born following a cesarean. The mean gestational age at delivery was 38 weeks and 6 days, and the mean birth weight was 1,920 g (-2.6SD). A total of 51% (24/47) of children had apneic episodes. Thirteen children experienced generalized seizures, and a minority was seizure-free with medication. Parents of 36% (18/50) of children were offered intensive treatment. A total of 45% (27/60) of children received intermittent mandatory ventilation, which was weaned off in half of them. Nine had surgeries, including esophageal atresia/omphalocele correction, cardiac surgery, and tracheostomy. A total of 15% (8/55) were fed fully orally, and 45% (29/64) were discharged home. Slow but constant psychomotor development was observed, and in four long-term survivors over 10 years, two walked unassisted. Factors significantly associated with survival over 1 year included diagnosis after birth, absence of prematurity, heavier birth weight, absence of esophageal atresia, extubation, ability to feed orally without medical assistance, and home discharge. Parents appeared to be positive about caring for their children, and the children seemed to interact with parents and siblings as long as they lived, resulting in quality family time. The family point of view, as well as knowledge of natural history, should be considered when policy statements about the care of children with trisomy 18 are made.</t>
  </si>
  <si>
    <t>23949924</t>
  </si>
  <si>
    <t>Wu J</t>
  </si>
  <si>
    <t>Survival of trisomy 18 (Edwards syndrome) and trisomy 13 (Patau Syndrome) in England and Wales: 2004-2011.</t>
  </si>
  <si>
    <t>The aim of this study is to determine the survival of live births with trisomy 18 and trisomy 13 and their variants. Information on live births with trisomy 18 or trisomy 13 recorded in the National Down Syndrome Cytogenetic Register (NDSCR) was linked by the NHS Information Centre to obtain information about survival. Survival was known for 326 (88%) of live births with trisomy 18 and 142 (82%) of live births with trisomy 13 born in England and Wales between 2004 and 2011. The median survival time for live births with full trisomy 18 was 14 days and with full trisomy 13 was 10 days, the 3-month survival was 20% and 18%, respectively, and the 1-year survival for both syndromes was 8%. The 1-year survival for live births with trisomy 18 mosaicism (n = 17) was 70%, for those with trisomy 13 mosaicism (n = 5) was 80% and for those with partial trisomy 13 (Robertsonian translocations) (n = 17) was 29%. This study is based on the largest data set on survival for live births with trisomy 18 and trisomy 13. Although median survival for these children is 2 weeks or less, about one in five survive for 3 months or more and about 1 in 12 survive for 1 year or more. We suggest that these survival rates are used in counselling as well as the median survival time.</t>
  </si>
  <si>
    <t>24237681</t>
  </si>
  <si>
    <t>Houlihan OA</t>
  </si>
  <si>
    <t>The natural history of pregnancies with a diagnosis of trisomy 18 or trisomy 13; a retrospective case series.</t>
  </si>
  <si>
    <t>BACKGROUND: Trisomy 18 (T18) and trisomy 13 (T13) are the second and third commonest autosomal aneuploidy syndromes respectively. While specific aspects of affected pregnancies have been documented in the literature, few studies document the overall natural history of the trisomies. This study aimed to examine the natural history (including diagnosis, pregnancy outcome, complications and survival) of T18 and T13 pregnancies in a setting where termination of pregnancy for fetal abnormality is not available. METHODS: Cases were identified using birth registers, labour ward records, annual reports, medical records, ultrasound reports and reports from prenatal genetic testing. All identified T18 and T13 pregnancies in the study region from 2001 to 2012 were included. Individual chart reviews were performed for each case. Data were analysed using SPSS Version 20. RESULTS: Forty-six T18 and twenty-four T13 pregnancies were identified. Most T18 cases (65%) were diagnosed prenatally, while only one third (33%) of T13 cases were prenatally diagnosed. Only three T18 pregnancies and one T13 pregnancy were electively terminated. A proportion of undiagnosed infants were delivered by emergency caesarean section. 48% (T18) and 46% (T13) infants survived following birth, for a median of 1.5 days (T18) and 7 days (T13). One T13 infant is currently alive over one year of age. CONCLUSIONS: This large series provides information for professionals and women regarding the natural histories of trisomies 18 and 13. These pregnancies can go undiagnosed antenatally without routine anomaly scanning. While many fetuses die in-utero, postnatal survival is possible.</t>
  </si>
  <si>
    <t>22177989</t>
  </si>
  <si>
    <t>Major chromosomal anomalies among very low birth weight infants in the Vermont Oxford Network.</t>
  </si>
  <si>
    <t>OBJECTIVE: To examine prevalence, characteristics, interventions, and mortality of very low birth weight (VLBW) infants with trisomy 21 (T21), trisomy 18 (T18), trisomy 13 (T13), or triploidy. STUDY DESIGN: Infants with birth weight 401-1500 g admitted to centers of the Vermont Oxford Network during 1994-2009 were studied. A majority of the analyses are presented as descriptive data. Median survival times and their 95% CIs were estimated using the Kaplan-Meier approach. RESULTS: Of 539 509 VLBW infants, 1681 (0.31%) were diagnosed with T21, 1416 (0.26%) with T18, 435 (0.08%) with T13, and 116 (0.02%) with triploidy. Infants with T18 were the most likely to be growth restricted (79.7%). Major surgery was reported for 30.4% of infants with T21, 9.2% with T18, 6.4% with T13, and 4.8% with triploidy. Hospital mortality occurred among 33.1% of infants with T21, 89.0% with T18, 92.4% with T13, and 90.5% with triploidy. Median survival time was 4 days (95% CI, 3-4) among infants with T18 and 3 days (95% CI, 2-4) among both infants with T13 and infants with triploidy. CONCLUSION: In this cohort of VLBW infants, survival among infants with T18, T13, or triploidy was very poor. This information can be used to counsel families.</t>
  </si>
  <si>
    <t>22492767</t>
  </si>
  <si>
    <t>Inpatient hospital care of children with trisomy 13 and trisomy 18 in the United States.</t>
  </si>
  <si>
    <t>BACKGROUND AND OBJECTIVE: Trisomy 13 and trisomy 18 are generally considered fatal anomalies, with a majority of infants dying in the first year after birth. The inpatient hospital care that these patients receive has not been adequately described. This study characterized inpatient hospitalizations of children with trisomy 13 and trisomy 18 in the United States, including number and types of procedures performed. METHODS: Retrospective repeated cross-sectional assessment of hospitalization data from the nationally representative US Kids' Inpatient Database, for the years 1997, 2000, 2003, 2006, and 2009. Included hospitalizations were of patients aged 0 to 20 years with a diagnosis of trisomy 13 or trisomy 18. RESULTS: The number of hospitalizations for each trisomy type ranged from 846 to 907 per year for trisomy 13 (P = .77 for temporal trend) and 1036 to 1616 per year for trisomy 18 (P &lt; .001 for temporal trend). Over one-third (36%) of the hospitalizations were of patients older than 1 year of age. Patients underwent a total of 2765 major therapeutic procedures, including creation of esophageal sphincter (6% of hospitalizations; mean age 23 months), repair of atrial and ventricular septal defects (4%; mean age 9 months), and procedures on tendons (4%; mean age 8 years). CONCLUSIONS: Children with trisomy 13 and trisomy 18 receive significant inpatient hospital care. Despite the conventional understanding of these syndromes as lethal, a substantial number of children are living longer than 1 year and undergoing medical and surgical procedures as part of their treatment.</t>
  </si>
  <si>
    <t>20384468</t>
  </si>
  <si>
    <t>Irving C</t>
  </si>
  <si>
    <t>Changes in fetal prevalence and outcome for trisomies 13 and 18: a population-based study over 23 years.</t>
  </si>
  <si>
    <t>OBJECTIVE: Changes in prenatal diagnosis and maternal age are likely to have an impact on live born prevalence of trisomies 13 and 18. We investigated trends in diagnosis, prevalence, and survival in these conditions. METHODS: A population-based study of one UK health region in 1985-2007 using a well-established congenital abnormality register. Individual records were reviewed and live birth and maternal age data obtained. RESULTS: Pregnancies with trisomies 13 and 18 increased from 0.08 to 0.23 per 1000 registered births and 0.20 to 0.65 per 1000 registered births, respectively. Prenatal diagnosis increased and was associated with high termination rates. Live born prevalence with trisomy 13 decreased from 0.05 to 0.03 per 1000 live births and with trisomy 18 from 0.16 to 0.10 per 1000 live births. Postnatal survival remains poor: one baby (3%) with trisomy 13 and four (6%) with trisomy 18 survived the first year. The percentage of mothers over 35 years increased from 6 to 15%. CONCLUSIONS: Changes in prenatal screening and maternal age have had dramatic effects on the live born prevalence of trisomies 13 and 18. Infant survival remains largely unchanged with the majority dying in the neonatal period.</t>
  </si>
  <si>
    <t>J Matern Fetal Neonatal Med</t>
  </si>
  <si>
    <t>21205409</t>
  </si>
  <si>
    <t>Muneuchi J</t>
  </si>
  <si>
    <t>Outcomes of cardiac surgery in trisomy 18 patients.</t>
  </si>
  <si>
    <t>OBJECTIVE: The objective was to clarify the outcomes of cardiac surgery in trisomy 18 patients. PATIENTS AND METHODS: We analysed 34 consecutive trisomy 18 patients, of whom 21 were males, with cardiac complications. They were divided into patients who underwent cardiac surgery and those who were conservatively treated. We compared rates of survival and discharge alive between two groups. RESULTS: The surgery group included nine patients, with six males, who underwent cardiac surgery - intracardiac repair in three patients, pulmonary arterial banding in five patients, and ligation of the ductus in one patient - at median age of 2.2 months, ranging from 0.5 to 9.8, and with median weight of 2.6 kilograms, ranging from 1.5 to 3.2. Cardiac surgery and pre-operative assisted ventilation were hazardous factors leading to death. In the surgery group, cumulative survival rates at 1 month, 6 months, 12 months, and 24 months were 63%, 38%, 25%, and 22%, respectively, compared with 51%, 26%, 9%, and 9% in the conservative group. There was a significant difference (p = 0.002). The cumulative rates of discharge alive at 1 month, 3 months, and 6 months were 0%, 12%, and 65% in the surgery group, which did not differ from the conservative group (p = 0.80). CONCLUSIONS: Cardiac surgery contributed to increased survival rate but not the rate of discharge alive in trisomy 18 patients. Cardiac surgery could not prevent all the trisomy 18 patients from death. The indication of cardiac surgery should be carefully individualised to improve the quality of life in trisomy 18 patients and concerned surrounding people.</t>
  </si>
  <si>
    <t>21671399</t>
  </si>
  <si>
    <t>Rosa RF</t>
  </si>
  <si>
    <t>Trisomy 18: experience of a reference hospital from the south of Brazil.</t>
  </si>
  <si>
    <t>Trisomy 18 is a chromosomal syndrome characterized by a broad clinical picture, as well as a very reserved prognosis. The aim of our study was to verify the clinical characteristics and survival of patients diagnosed in a referral hospital in southern Brazil. Our sample consisted of 31 patients, 22 were female (71%), ages ranging from 1 to 1,395 days (median 14 days). The majority had a single cell lineage with full trisomy of chromosome 18 (94%). Concerning pregnancy complications, pre-eclampsia was the main abnormality described (17%). Fetal ultrasound was performed in 23 cases, and the most frequent abnormalities were polyhydramnios (41%) and intrauterine growth retardation (27%). There were no reports of prenatal identification of the syndrome. Most patients were born by cesarean due to pregnancy and fetal complications and about half of the cases were premature. Congenital heart defects represented the main major malformation observed (94%). Thirty patients (97%) progressed to death (survival ranged from 2 to 780 days, and 87% died within the first 6 months of life). Trisomy 18 is a serious chromosomal disorder with limited survival. Abnormalities of pregnancy appear to be frequent, which can lead to complications for both fetus and mother. The prenatal identification of these patients in our country is still inadequate, resulting in important implications for genetic counseling and management of these patients and their families. And this makes the possibility of interruption of pregnancy, regardless of ethical factors involved, an unlikely option.</t>
  </si>
  <si>
    <t>21990236</t>
  </si>
  <si>
    <t>Lakovschek IC</t>
  </si>
  <si>
    <t>Natural outcome of trisomy 13, trisomy 18, and triploidy after prenatal diagnosis.</t>
  </si>
  <si>
    <t>Trisomy 13, trisomy 18, and triploidy belong to the chromosomal abnormalities which are compatible with life, but which are also associated with a high rate of spontaneous abortion, intrauterine death, and a short life span. This study was conducted to analyze natural outcome after prenatal diagnosis of these disorders. Between January 1, 1999 and December 31, 2009, we investigated all amniocenteses and chorionic villus biopsies carried out at our department. All cases with fetal diagnosis of triploidy, trisomy 13, and 18 were analyzed, with a focus on cases with natural outcome. Overall, 83 (78%) cases of pregnancy termination and 24 (22%) patients with natural outcome (NO) were identified. The NO group included 15 cases of trisomy 18, six cases of triploidy, and three cases of trisomy 13. No case of triploidy was born alive. The live birth rate was 13% for trisomy 18 and 33% for trisomy 13. The three live-born infants with trisomy 13 and 18 died early after a maximum of 87 hr postpartum. Our data are consistent with the literature concerning outcome of triploidy, with none or only a few live births. Analyzes of trisomy 13 and 18 indicate a very short postnatal life span. Different study designs and diverse treatment strategies greatly affect the fetal and neonatal outcome of fetuses with triploidy, trisomy 13, and 18. More studies analyzing natural outcome after prenatal diagnosis of these chromosomal abnormalities are needed. Non-termination of these pregnancies remains an option, and specialists advising parents need accurate data for counseling.</t>
  </si>
  <si>
    <t>21990245</t>
  </si>
  <si>
    <t>Maeda J</t>
  </si>
  <si>
    <t>The impact of cardiac surgery in patients with trisomy 18 and trisomy 13 in Japan.</t>
  </si>
  <si>
    <t>Congenital heart defects (CHD) are very common in patients with trisomy 18 (T18) and trisomy 13 (T13). The surgical indication of CHD remains controversial since the natural history of these trisomies is documented to be poor. To investigate the outcome of CHD in patients with T18 and T13, we collected and evaluated clinical data from 134 patients with T18 and 27 patients with T13 through nationwide network of Japanese Society of Pediatric Cardiology and Cardiac Surgery. In patients with T18, 23 (17%) of 134 were alive at this survey. One hundred twenty-six (94%) of 134 patients had CHDs. The most common CHD was ventricular septal defect (VSD, 59%). Sixty-five (52%) of 126 patients with CHD developed pulmonary hypertension (PH). Thirty-two (25%) of 126 patients with CHD underwent cardiac surgery and 18 patients (56%) have survived beyond postoperative period. While palliative surgery was performed in most patients, six cases (19%) underwent intracardiac repair for VSD. Operated patients survived longer than those who did not have surgery (P &lt; 0.01). In patients with T13, 5 (19%) of 27 patients were alive during study period. Twenty-three (85%) of 27 patients had CHD and 13 (57%) of 27 patients had PH. Atrial septal defect was the most common form of CHD (22%). Cardiac surgery was done in 6 (26%) of 23 patients. In this study, approximately a quarter of patients underwent surgery for CHD in both trisomies. Cardiac surgery may improve survival in selected patients with T18.</t>
  </si>
  <si>
    <t>19911411</t>
  </si>
  <si>
    <t>Savva GM</t>
  </si>
  <si>
    <t>The maternal age-specific live birth prevalence of trisomies 13 and 18 compared to trisomy 21 (Down syndrome).</t>
  </si>
  <si>
    <t>OBJECTIVE: To estimate the maternal age-specific live birth prevalence (in the absence of prenatal diagnosis and selective termination) of trisomy 13 (Patau syndrome) and trisomy 18 (Edwards syndrome) and compare it with that of trisomy 21 (Down syndrome). METHODS: Records of prenatal and postnatal diagnoses from seven UK regional congenital anomaly registers and two Australian registers covering 4.5 million births included 975 diagnoses of trisomy 13 and 2254 of trisomy 18. Prevalence at birth in the absence of prenatal diagnosis and selective termination was calculated by adjusting for prenatally diagnosed pregnancies that were terminated according to their likelihood of surviving to term. RESULTS: The live birth prevalence in the absence of prenatal screening and selective termination in England and Wales from 1997 to 2004 was 1.4 (95% CI: 1.2-1.6) per 10 000 births for trisomy 13 and 2.3 (95% CI: 2.1-2.5) for trisomy 18. It has increased since 1989-1996, by 13% for trisomy 13 and 25% for trisomy 18. These increases are consistent with those predicted due to increases in maternal age. CONCLUSION: This study provides the first estimates of maternal age-specific prevalence of trisomies 13 and 18 for women aged 16-45.</t>
  </si>
  <si>
    <t>Comparative Study; Journal Article; Research Support, Non-U.S. Gov't</t>
  </si>
  <si>
    <t>20082470</t>
  </si>
  <si>
    <t>Vendola C</t>
  </si>
  <si>
    <t>Survival of Texas infants born with trisomies 21, 18, and 13.</t>
  </si>
  <si>
    <t>Trisomies 21, 18, and 13 are the three most common trisomies among infants who survive to 20 weeks gestation or more. Overall information about birth prevalence, natural history, and mortality for all three trisomies is well defined, but information about ethnic-specific rates is limited. Only a few studies have examined mortality rates of trisomies 18 and 13 because so few cases are liveborn and most have very short life spans. This study assessed ethnic-specific population-based survival probabilities among infants for each trisomy. All cases of trisomies 21, 18, and 13 born in Texas between 1999 and 2003 were obtained from the Texas Birth Defects Registry and included 2,260 cases of trisomy 21, 398 cases of trisomy 18, and 213 cases of trisomy 13. Date and cause of death were obtained from the Texas vital statistics records and the National Death Index. Overall, birth prevalence rates (per 10,000 adjusted live births) for the three trisomies were 11.74 (95% CI: 11.25-12.25), 1.34 (95% CI: 1.18-1.52), 0.92 (95% CI: 0.79-1.07), respectively, and are consistent with previously reported rates. There were no differences in survival rates by ethnicity and the median survival for each trisomy was consistent with previous reports. The results of this study provide comprehensive population-based information for survival of infants with trisomies 21, 18, and 13.</t>
  </si>
  <si>
    <t>Registro populacional (Texas).</t>
  </si>
  <si>
    <t>20449712</t>
  </si>
  <si>
    <t>Kobayashi J</t>
  </si>
  <si>
    <t>Radical surgery for a ventricular septal defect associated with trisomy 18.</t>
  </si>
  <si>
    <t>PURPOSE: Congestive heart failure is one of the major causes of early death of patients with trisomy 18. Ventricular septal defect (VSD) is the most common heart defect in patients with trisomy 18, and closure of the VSD may elongate the lifespan of the patient. Morphological characteristics of these patients, such as thoracic deformity, prominent right ventricular hypertrophy, and dysplastic tricuspid valve may complicate closure of the VSD. We report our initial experience of VSD closure in patients with trisomy 18 and estimate the feasibility of the surgical procedure. METHODS: Between June 2005 and September 2007, five female patients with trisomy 18 and VSD underwent radical operations. Four of them had undergone previous palliative surgery entailing pulmonary artery banding. RESULTS: All patients survived surgery. The average cardiac arrest time during surgery was 74 +/- 22 min. No early death occurred within 30 days of surgery. One patient with hydrocephalus treated by a previous ventriculoperitoneal shunt died in hospital owing to postoperative intracranial hypertension. Four of five patients were discharged from the hospital. Of the four discharged patients, a girl who underwent primary radical operation died of pneumonia. Another patient died of sudden cardiopulmonary arrest. The average survival of the patients in this study was 815 +/- 389 days at data acquisition, with two patients still alive. CONCLUSION: Closure of VSDs in patients with trisomy 18 was found feasible and was associated with extended survival.</t>
  </si>
  <si>
    <t>Gen Thorac Cardiovasc Surg</t>
  </si>
  <si>
    <t>20683907</t>
  </si>
  <si>
    <t>Wang Y</t>
  </si>
  <si>
    <t>A retrospective cohort study of mortality among children with birth defects in New York State, 1983-2006.</t>
  </si>
  <si>
    <t>BACKGROUND: Birth defects, which occur in about 3% of live births in the United States each year, have remained the leading cause of infant mortality, although the infant mortality rate in the United States has decreased significantly over the past decades. The objective of this study was to conduct a retrospective cohort study with long-term follow-up of the children in New York State Congenital Malformations Registry (CMR) for up to 24 years on their mortality status to evaluate the mortality risk of children with birth defects by age at death, birth defect category and other possible contributing factors. METHODS: Children born in 1983-2006 with reportable birth defects were included in the study cohort. A sub-cohort was also constructed containing children born in 1983-2006 with selected major birth defects that are relatively severe congenital conditions identified at birth. New York State live births in 1983-2006 were used as the comparison population. The deaths among the study cohort were identified through linking CMR cases to the death certificate files. A Poisson regression model was used to calculate mortality rate ratios (mortality risk) adjusting for selected infant and maternal risk factors. RESULTS: Compared to children without birth defects, the overall mortality risk was 6.7 times higher for children with any of the reportable birth defects and 23.6 times higher for children with selected major birth defects. The mortality risk decreased with increasing age of children. The top 5 most significantly high mortality risks were found among infants in neonatal period with anencephaly (RR = 200.5, 95% CI:180.6-222.5) and renal agenesis/dysgenesis (RR = 69.5, 95% CI:64.2-75.2), and among children aged 1-2 years with Trisomy 18 (RR = 206.4, 95% CI:28.5-331.6), Trisomy 13 (RR = 157.3, 95% CI:83.5-296.4), and hypoplastic left heart (RR = 161.5, 95% CI:20.1-217.2). Low birth weight and gestational age, multiple malformations and high lethality of anomalies involved were the major contributors to the high risk of mortality among children with selected major birth defects compared to those without birth defects. CONCLUSIONS: Using the state-wide, population-based birth defects surveillance data to conduct a long-term follow-up of a large cohort of New York children, we were able to examine mortality and survival experience of the affected children during infancy and childhood period by individual birth defects of interest. As expected, children born with birth defects had a higher risk of mortality compared to children without birth defects. The magnitude of the risk varied by children's age, birth and maternal characteristics and the lethality of the specific birth defects involved.</t>
  </si>
  <si>
    <t>Birth Defects Res A Clin Mol Teratol</t>
  </si>
  <si>
    <t>19340475</t>
  </si>
  <si>
    <t>Kaneko Y</t>
  </si>
  <si>
    <t>Cardiac surgery in patients with trisomy 18.</t>
  </si>
  <si>
    <t>Cardiac surgery is infrequently but increasingly being used to repair congenital heart defects associated with trisomy 18. The clinical details of trisomy 18 patients undergoing cardiac surgery have rarely been reported. Seventeen patients with trisomy 18 and serious cardiac symptoms underwent cardiac surgery in our institution. Age at surgery ranged from 7 to 258 days (median, 66 days). One patient had an atrioventricular septal defect and coarctation of the aorta. The remaining patients had ventricular septal defects, including four patients with coarctation of the aorta. Fourteen patients had associated patent ductus arteriosus. Fourteen patients underwent palliative surgery without cardiopulmonary bypass, and four of these underwent a second-stage intracardiac repair. The other three patients underwent primary intracardiac repair. Postoperatively, 14 patients (82%) were discharged home with improved symptoms. Survival from birth ranged from 12 to 1384 days (median, 324 days). Eight patients survived longer than 1 year. Median postoperative survival was 179 days. Postoperative survival was significantly better after palliative surgery (0 to 1239 days; median, 257 days) than after primary intracardiac repair (1 to 179 days; median, 48 days). Only one patient died of heart failure, suggesting that cardiac surgery was effective in preventing heart failure-related death.</t>
  </si>
  <si>
    <t>19750888</t>
  </si>
  <si>
    <t>Hsiao CC</t>
  </si>
  <si>
    <t>Changing clinical presentations and survival pattern in trisomy 18.</t>
  </si>
  <si>
    <t>BACKGROUND: The clinical presentations and survival patterns of infants with trisomy 18 have changed with increasing utilization of prenatal ultrasound and amniocentesis, and improvements in neonatal intensive care. METHODS: We obtained data on duration of survival, male to female ratio, and clinical details for patients with trisomy 18, and calculated the prevalence rate. RESULTS: We studied 31 consecutive trisomy 18 infants. The estimated prevalence was 1/4, 144. Eleven (35%) were premature infants, and 20 (65%) were full term. Mean birth weight was 1896 g. Median life expectancy was 12 days; 11 days for males and 14 days for females (p = 0.87). The short-term survival rates of 1 week, 4 weeks, and 6 months were 58%, 32%, and 10%, respectively. The long-term survival rates of 1 year, 2 years, and 3 years were 6%, 6%, and 3%, respectively. Families signed do-not-resuscitate consent forms for five male (50%) and 19 female infants (90%) (p = 0.043). CONCLUSION: All trisomy 18 infants in this study were preterm or full-term deliveries. Mean birth weight was lower than previously reported, and a high percentage of families signed do-not-resuscitate consent forms. Females did not survive longer than males, due to more females not being resuscitated. Most infants died in the first few weeks of life, but 3-6% of infants lived for 21 year. The possibility of long-term survival should be considered when counseling parents regarding trisomy 18.</t>
  </si>
  <si>
    <t>18348276</t>
  </si>
  <si>
    <t>Crider KS</t>
  </si>
  <si>
    <t>Trisomies 13 and 18: population prevalences, characteristics, and prenatal diagnosis, metropolitan Atlanta, 1994-2003.</t>
  </si>
  <si>
    <t>In recent years, prenatal diagnosis and elective pregnancy termination have affected the reported birth prevalence of trisomies 13 and 18. We examined the prevalence and characteristics of these conditions using 1994-2003 data from a population-based surveillance system, the Metropolitan Atlanta Congenital Defects Program. Including fetal deaths and elective terminations increased the number of affected pregnancies by 58.7% for trisomy 13 and 72.2% for trisomy 18. Prenatal cytogenetic testing was reported in 70.8% of trisomy 13 cases and 76.1% of trisomy 18 cases. Among those with prenatal cytogenetic tests, 60.8% of trisomy 13 and 59.7% of trisomy 18 cases were electively terminated. Compared with non-Hispanic whites, non-Hispanic black race was associated with a decreased frequency of prenatal cytogenetic testing for both trisomy 13 and trisomy 18 (OR 0.24, 95% CI: 0.08-0.78 and OR 0.32, 95% CI: 0.14-0.69, respectively). The reported rates of prenatal cytogenetic testing remained stable throughout the period. As expected, maternal age &gt; or =35 years was a risk factor for both conditions. However, while 67.1% (n = 55) of the trisomy 18 case mothers were &gt; or =35 years, only 46.9% (n = 15) of the trisomy 13 case mothers were &gt; or =35 years. Among live-born infants, the sex ratio among trisomy 18 infants showed an increased proportion of females: 60.4% female versus 39.6% male. However, the proportion was 48.3% female and 51.7% male among fetuses that were electively terminated in the second trimester. Inclusion of pregnancies that are prenatally diagnosed is critical for accurate surveillance and population-based analyses of these conditions.</t>
  </si>
  <si>
    <t>18361449</t>
  </si>
  <si>
    <t>Morris JK</t>
  </si>
  <si>
    <t>The risk of fetal loss following a prenatal diagnosis of trisomy 13 or trisomy 18.</t>
  </si>
  <si>
    <t>The objective of this study is to determine the risk of fetal loss (spontaneous abortion or stillbirth) following a prenatal diagnosis of trisomy 13 (T13; Patau syndrome) or trisomy 18 (T18; Edwards syndrome). Five regional congenital anomaly registers in England and Wales provided details on the outcomes of 198 pregnancies prenatally diagnosed with T13 and 538 prenatally diagnosed with T18. For each pregnancy the time from prenatal diagnosis until birth, miscarriage or termination occurred was calculated and these times were analyzed using Kaplan-Meier survival functions. Our results showed that between 12 weeks gestation and term an estimated 49% (95% CI: 29-73%) of pregnancies diagnosed with T13 and 72% (61-81%) of pregnancies diagnosed with T18 ended in a miscarriage or stillbirth. Between 18 weeks and term the proportions were 42% (18-72%) for T13 and 65% (57-79%) for T18 and between 24 weeks and term the proportions were 35% (5-70%) for T13 and 59% (49-77%) for T18. Male fetuses with T18 appeared to be more likely to be lost than female fetuses. These are the most precise estimates currently available for the risk of loss in a general population. These estimates should be useful in counseling women who are carrying an affected fetus and knowing the risk of fetal loss is essential to compare the performance of prenatal screening programs occurring in the first and second trimester.</t>
  </si>
  <si>
    <t>18412275</t>
  </si>
  <si>
    <t>Intensive cardiac management in patients with trisomy 13 or trisomy 18.</t>
  </si>
  <si>
    <t>Intensive cardiac management such as pharmacological intervention for ductal patency (indomethacin and/or mefenamic acid for closure and prostaglandin E1 for maintenance) and palliative or corrective surgery is a standard treatment for congenital heart defects. However, whether it would be a treatment option for children with trisomy 13 or trisomy 18 syndrome is controversial because the efficacy on survival in patients with these trisomies has not been evaluated. We retrospectively reviewed 31 consecutive neonates with trisomy 13 or trisomy 18 admitted to our neonatal ward within 6 hr of birth between 2000 and 2005. The institutional management policies differed during three distinct periods. In the first period, both pharmacological ductal intervention and cardiac surgery were withheld. In the second, pharmacological ductal intervention was offered as an option, but cardiac surgery was withheld. Both strategies were available during the third period. The median survival times of 13, 9, and 9 neonates from the first, second, and third periods were 7, 24, and 243 days, respectively. Univariate and multivariate analyses confirmed that the patients in the third period survived significantly longer than the others. Intensive cardiac management consisting of pharmacological intervention for ductal patency and cardiac surgery was demonstrated to improve survival in patients with trisomy 13 or trisomy 18 in this series. Therefore, we suggest that this approach is a treatment option for cardiac lesions associated with these trisomies. These data are helpful for clinicians and families to consider in the optimal treatment of patients with these trisomies.</t>
  </si>
  <si>
    <t>17230142</t>
  </si>
  <si>
    <t>Centers for Disease Control and Prevention (CDC)</t>
  </si>
  <si>
    <t>Hospital stays, hospital charges, and in-hospital deaths among infants with selected birth defects--United States, 2003.</t>
  </si>
  <si>
    <t>Birth defects (BDs) are conditions that 1) result from a malformation, deformation, or disruption in one or more parts of the body; 2) are present at birth; and 3) have a serious, adverse effect on health, development, or functional ability. BDs are leading causes of pediatric hospitalizations, medical expenditures, and infant mortality. To estimate national hospital charges and rates of in-hospital deaths for a greater number of specific BDs than estimated in previous reports, investigators at the University of Arkansas for Medical Sciences and CDC used the Healthcare Cost and Utilization Project 2003 Kids' Inpatient Database (KID), developed and distributed by the Agency for Healthcare Research and Quality. KID is a 10% sample of hospital discharges after uncomplicated births and an 80% sample of all other pediatric discharges from 36 participating states. Data are weighted to represent all pediatric hospitalizations in the United States. The investigators analyzed hospital stays during 2003 for newborn infants with any of 35 BDs. This report describes the results of that analysis, which indicated substantial variation among BDs regarding average length of stay, average hospital charge, and the incidence of in-hospital deaths. Average length of stay was greatest for infants with surgically repaired gastroschisis or omphalocele. Average hospital charges were highest for infants with hypoplastic left heart syndrome and common truncus arteriosus. Although anencephaly, trisomy 13, and trisomy 18 were associated with the highest rates of in-hospital death, the largest total numbers of deaths associated with neonatal hospitalizations occurred in infants with diaphragmatic hernia and renal agenesis. Further studies are needed to distinguish outcomes for infants with isolated and multiple defects and to assess longer-term outcomes.</t>
  </si>
  <si>
    <t>MMWR Morb Mortal Wkly Rep</t>
  </si>
  <si>
    <t>17721866</t>
  </si>
  <si>
    <t>Tanigawa T</t>
  </si>
  <si>
    <t>Prenatal ultrasonographic findings may be useful in predicting the prognosis of trisomy 18.</t>
  </si>
  <si>
    <t>OBJECTIVE: This study was conducted to determine whether specific ultrasonographic findings in the prenatal period were associated with survival of children affected with trisomy 18. METHOD: Between October 1987 and July 2004, we collected 24 cases with trisomy 18. We investigated the relationship of prenatal ultrasonographic findings, gestational age at delivery, the Apgar score, the mode of delivery, and the neonatal treatment strategies, with survival time. RESULTS: 17 of the 24 neonates died within 1 month after birth (Group 1), 5 died within 12 months (Group 2), and 2 survived for more than 1 year (Group 3). Severe polyhydramnios was more frequent in group 1. In groups 2 and 3, the fluid in fetal stomach was visible in all cases. Severe cardiac anomalies were more frequent in group 1. In groups 2 and 3, all neonates were girl. CONCLUSION: Prenatal ultrasonographic findings associated with survival less than 1 month included severe polyhydramnios, absence of the fluid in the stomach, severe cardiac anomaly and male sex.</t>
  </si>
  <si>
    <t>18019371</t>
  </si>
  <si>
    <t>Survival of trisomy 18 cases in Japan.</t>
  </si>
  <si>
    <t>The prognosis of trisomy 18 is lethal, but recently some long-term survival cases have been recognized. We report here the mortality rate of trisomy 18 based on our hospital data and sporadically published reports in Japan. We collected the 7 previously published reports of mortality and 31 cases from our hospital data with trisomy 18. Our data pool comprised a total of 179 cases of trisomy 18 from 8 institutions. The mortality rates within 24 hours, 7, 28, 60, 180, and 365 days from birth were 14.84% (19/128), 31.01% (40/129), 56.25% (72/128), 64.08% (66/103), 82.17% (106/129), and 90.90% (140/154), respectively. Fourteen of the 154 patients (9.09%) survived for more than 1 year. The Kaplan-Meier survival curves from 78 patients of 5 institutes suggest that trisomy 18 children who have survived over 7 months after birth may have a high probability of long-term survival. We should recognize not only that about 50% of infants with trisomy 18 die within 1 month after birth, but also that about 10% of patients survive over 1 year in Japan. These findings comprise Asia's first clinical statistics concerning trisomy 18, in which the data were collected from multiple institutions. This evidence is valuable in order to perform genetic counseling concerning the natural history of trisomy 18 not only in Japan but also in other countries.</t>
  </si>
  <si>
    <t>Genet Couns</t>
  </si>
  <si>
    <t>Journal Article; Multicenter Study; Research Support, Non-U.S. Gov't</t>
  </si>
  <si>
    <t>16528741</t>
  </si>
  <si>
    <t>Niedrist D</t>
  </si>
  <si>
    <t>Survival with trisomy 18--data from Switzerland.</t>
  </si>
  <si>
    <t>We collected records of 352 cases of trisomy 18 karyotyped between 1964 and May 2003 from the two major cytogenetic laboratories in Northeastern Switzerland. For more detailed information about the cases we contacted the referring physicians and/or the families of the patients. In this way we collected data about survival and malformations of 161 live births, 136 induced abortions and 29 stillborns or spontaneous abortions. In 26 cases of trisomy 18, only incomplete records were available. We observed that each year more cases of trisomy 18 were cytogenetically diagnosed in the two laboratories. Before 1984 almost no prenatal diagnoses were made; however, after this date the number of prenatal diagnoses increased and in the last 10 years, accounted for 75% of all cases. A decrease in the number of postnatally diagnosed cases was also observed over the same period of time. One third of the live-born children with trisomy 18 died during the first day of life. After 1 week, 1 month and 1 year of life the survival rates were 40, 22 and 6%, respectively. The median survival was 4 days, and only 1% of the children survived until their 10th birthday. Females were more likely to survive long term. In 63 cases autopsy reports were available for review. In 97% of these cases three or more malformations were found: 67% had VSD, 32% had horseshoe kidneys, 21% had esophageal atresia, 14% had omphalocele, 14% had facial clefts, and 11% had diaphragmatic hernias. In more than 50% genital hypoplasia was also described. We further analyzed survival of live-borns in relation to the length of gestation and to VSD and esophageal atresia.</t>
  </si>
  <si>
    <t>16528742</t>
  </si>
  <si>
    <t>Lin HY</t>
  </si>
  <si>
    <t>Clinical characteristics and survival of trisomy 18 in a medical center in Taipei, 1988-2004.</t>
  </si>
  <si>
    <t>Trisomy 18 is the second most common autosomal trisomy in newborns. The birth prevalence of this disorder is approximately 1 in 3,000 to 1 in 8,000, and the life span of the majority of patients is less than 1 year. As information regarding outcome in trisomy 18 is rather fragmentary in the literature, this study is aimed at investigating the survival and natural history of trisomy 18. We also evaluated the survival age and management of trisomy 18 in two different periods, before and after the implementation of National Health Insurance (NHI) program. Thirty-nine cases of trisomy 18 were collected in Mackay Memorial Hospital in a 17-year period, from 1988 to 2004. Delivery data, survival age, management before and after the implementation of NHI program, structural defects, image findings and cytogenetic results were analyzed by medical and nurse's records. The diagnosis of trisomy 18 was based on the prenatal amniocentesis or postnatal chromosome analysis. Three patients had trisomy 18 mosaicism. Since cardiovascular and central nervous systems are the most common organ systems involved in this disorder, 31 patients received brain ultrasonography and heart ultrasonography for evaluation of their multiple anomalies after admission. All patients except one died in their first year due to severe malformations of the cardiovascular or central nervous systems. The median survival age was 6 days. We found a longer survival with female patients than with male patients (P &lt; 0.05). Implementation of NHI program in the more recent decade of this study period was associated with longer survival of trisomy 18 (P &lt; 0.05). The three most common structural defects were clenched hands (95%), rocker bottom feet (90%), and low set or malformed ears (90%). Low birth weight was present in 90%. By cardiac ultrasonography, the top four heart defects were ventricular septal defect (94%), patent ductus arteriosus (77%) and atrial septal defect (68%). However, ten cases (32%) had complex congenital heart defects. By brain ultrasonography, the most common brain lesion was cerebellar hypoplasia (32%), followed by brain edema (29%), enlarged cisterna magna (26%) and choroid plexus cysts (19%). Although most patients with trisomy 18 die within the first few weeks after birth, it is important to recognize that a small but notable percentage of these patients will survive the first year. When prenatal or postnatal decisions need to be made, the possibility of long-term survival should be included in any discussion to enable families to make the most appropriate decision.</t>
  </si>
  <si>
    <t>16528744</t>
  </si>
  <si>
    <t>Neonatal management of trisomy 18: clinical details of 24 patients receiving intensive treatment.</t>
  </si>
  <si>
    <t>Management of neonates with trisomy 18 is controversial, supposedly due to the prognosis and the lack of precise clinical information concerning efficacy of treatment. To delineate the natural history of trisomy 18 managed under intensive treatment, we reviewed detailed clinical data of 24 patients with full trisomy 18 admitted to the neonatal intensive care unit of Nagano Children's Hospital, providing intensive treatment to those with trisomy 18, from 1994 to 2003. Cesarean, resuscitation by intubation, and surgical operations were performed on 16 (67%), 15 (63%), and 10 (42%) of the patients, respectively. Mechanical ventilation was required by 21 (88%), and 6 (29%) of them were extubated. Survival rate at age 1 week, 1 month, and 1 year was 88%, 83%, and 25%, respectively. Median survival time was 152.5 days. Respiration was not stabilized in two patients with left diaphragmatic eventration and hypoplasia accompanied by lung hypoplasia, even with maximal ventilation. The common underlying factors associated with death were congenital heart defects and heart failure (96%), followed by pulmonary hypertension (78%). The common final modes of death were sudden cardiac or cardiopulmonary arrest (26%) and possible progressive pulmonary hypertension-related events (26%). These data of improved survival, through neonatal intensive treatment, are helpful for clinicians to offer the best information on treatment options to families of patients with trisomy 18.</t>
  </si>
  <si>
    <t>16652360</t>
  </si>
  <si>
    <t>Yamanaka M</t>
  </si>
  <si>
    <t>Pregnancy outcome of fetuses with trisomy 18 identified by prenatal sonography and chromosomal analysis in a perinatal center.</t>
  </si>
  <si>
    <t>To investigate the pregnancy outcome of fetuses affected with trisomy 18, we analyzed 63 cases diagnosed at our hospital from January 1993 to December 2004. Twenty-nine were males and 34 were females. Fifty-eight were prenatally diagnosed, and in 16 (27.6%) of them intrauterine fetal death (IUFD) occurred between 28 weeks and 41 weeks gestation (34.6 +/- 3.9 weeks, Mean +/- SD). Ten (17.2%) fetuses died during labor and their age ranged from 30 weeks to 40 weeks of gestation. The total number of cases ending in fetal demise was 26 (44.8%) and the mean gestational age at the time of fetal demise was 35.0 +/- 3.6 weeks (Mean +/- SD). All liveborn infants (n = 36) were born after 31 weeks gestation. In our study the preterm birth ratio for trisomy 18 is 34.8%, which is much higher than the ratio for the general population. Females are more likely than males to be long-term survivors. These data are helpful in the counseling of parents faced with the difficult decision of whether or not to continue a pregnancy with a fetus affected with trisomy 18.</t>
  </si>
  <si>
    <t>16682759</t>
  </si>
  <si>
    <t>Goc B</t>
  </si>
  <si>
    <t>Trisomy 18 in neonates: prenatal diagnosis, clinical features, therapeutic dilemmas and outcome.</t>
  </si>
  <si>
    <t>The study aimed to analyse the clinical courses of aggressively treated neonates with cytogenetically confirmed trisomy 18, with special attention focused on the efficiency of prenatal diagnostics, associated malformations, therapeutic dilemmas and outcomes. We investigated retrospectively the data concerning 20 neonates with trisomy 18, admitted to the Neonatal Intensive Care Unit (NICU) in Katowice between January 2000 and February 2005. Their birth weights ranged from 650 g to 2400 g, mean 1812 g; gestational age ranged from 27 to 42 weeks, median 38 weeks. Intrauterine growth retardation was noticed in 90% of neonates. Trisomy 18 was suspected prenatally in 40% of cases. Most (80%) of newborns were delivered by caesarean section (92% of neonates with prenatally unrecognized chromosomal defects, 62% of neonates with trisomy 18 suspicion) and 70% of infants needed respiratory support immediately after birth. Cardiac defects were present in 95%, central nervous system malformations in 65%, severe anomalies of digestive system or abdominal wall in 25% of patients. Nine surgical operations were performed during hospitalization (4 were palliative cardiac surgeries). Six patients (30%) survived the neonatal period and were discharged from the NICU. The median survival of the neonates who died was 20 days. In 4 cases cardiac problems implicated their death; in others, deaths were attributed to multiorgan failure, prematurity and/or infection. Further improvement of efficiency of prenatal ultrasound screening for diagnosis of trisomy 18 in the fetus is necessary. A lack of prenatal diagnosis of trisomy 18 in the fetus results in a high rate of unnecessary caesarean sections in these pregnancies. Despite the aggressive treatment most neonates with trisomy 18 died during the neonatal period. The majority of deaths were attributed to cardiorespiratory and multiorgan failure. Concerning the poor prognosis, prompt karyotyping (using FISH) of clinically suspected trisomy 18 is very important, because many invasive procedures and surgeries may then be avoided.</t>
  </si>
  <si>
    <t>J Appl Genet</t>
  </si>
  <si>
    <t>16032775</t>
  </si>
  <si>
    <t>Won RH</t>
  </si>
  <si>
    <t>The timing of demise in fetuses with trisomy 21 and trisomy 18.</t>
  </si>
  <si>
    <t>OBJECTIVE: Women with chromosomally abnormal fetuses often choose to continue their pregnancy. However, though they may search for specific details whether their fetus will survive, not much information is available. We sought to determine if there was a pattern for timing of demise and to determine if demise was more likely to occur before viability in fetuses with amniocentesis confirmed trisomy 18 or 21. METHODS: From the California Expanded AFP screening program, 1813 women were identified to have a fetus with trisomy 18 or 21. Of these, 392 women with trisomy 21 and 106 with trisomy 18 continued the pregnancy. Pregnancies ending in fetal demise were analyzed for gestational age at demise. RESULTS: Of the trisomy 21 fetuses, 40 (10.2%) demised and of the trisomy 18 fetuses, 34 (32.1%) demised. The mean gestational age at time of fetal demise was 28.9+/-1.3 weeks SE for trisomy 21 and 32.1+/-1.2 weeks SE for trisomy 18 (p=0.09). There was no clustering of losses as losses were uniformly distributed throughout gestation after 24 weeks. A slightly larger proportion of T-21 (37.1%) losses occurred before viability (24 weeks) compared to those with T-18 (14.8%) (p=0.05). CONCLUSION: It appears that after 24 weeks' gestation, there is no specific time for fetal demise in fetuses affected by trisomy 21 or 18. There may be an association between trisomy 21 and stillbirth prior to viability. This information may be helpful in counseling those patients found to have a chromosomally abnormal fetus who choose to continue their pregnancy.</t>
  </si>
  <si>
    <t>12671111</t>
  </si>
  <si>
    <t>Rasmussen SA</t>
  </si>
  <si>
    <t>Population-based analyses of mortality in trisomy 13 and trisomy 18.</t>
  </si>
  <si>
    <t>OBJECTIVE: Although trisomy 13 and trisomy 18 are generally considered to be lethal, long-term survival of patients has been reported. We sought to evaluate mortality in people with trisomy 13 or 18 using 2 population-based strategies. METHODS: In the first analysis, infants who had trisomy 13 or 18 and were born during 1968-1999 were identified using the Metropolitan Atlanta Congenital Defects Program, a population-based birth defects surveillance system. Dates of death were documented using hospital records, Georgia vital records, and the National Death Index. In the second analysis, we used the Multiple-Cause Mortality Files compiled from US death certificates from 1979 through 1997. Using these 2 analyses, we examined median survival time or median age at death, survival beyond 1 year of age, and factors associated with longer survival. RESULTS: Using Metropolitan Atlanta Congenital Defects Program, we identified 70 liveborn infants with trisomy 13 and 114 liveborn infants with trisomy 18. Median survival time was 7 days (95% confidence interval [CI]: 3-15) for people with trisomy 13 and 14.5 days (95% CI: 8-28) for people with trisomy 18. For each condition, 91% of infants died within the first year. Neither race nor gender affected survival for trisomy 13, but for trisomy 18, girls and infants of races other than white seemed to survive longer. The presence of a heart defect did not seem to affect survival for either condition. Using MCMF, we identified 5515 people with trisomy 13 and 8750 people with trisomy 18 listed on their death certificates. Median ages at death for people with trisomy 13 and trisomy 18 both were 10 days; 5.6% of people with trisomy 13 and 5.6% of people with trisomy 18 died at age 1 year or greater. Race and gender seemed to affect survival in both conditions, with girls and blacks showing higher median ages at death. CONCLUSIONS: Although survival is greatly affected by trisomy 13 and trisomy 18, 5% to 10% of people with these conditions survive beyond the first year of life. These population-based data are useful to clinicians who care for patients with these trisomies or counsel families with infants or fetuses who have a diagnosis of trisomy 13 or 18.</t>
  </si>
  <si>
    <t>12784299</t>
  </si>
  <si>
    <t>Forrester MB</t>
  </si>
  <si>
    <t>First-year mortality rates for selected birth defects, Hawaii, 1986-1999.</t>
  </si>
  <si>
    <t>Birth defects have been the leading cause of infant death in the United States for over the last decade. However, there is little population-based data on the first-year mortality rates for many specific birth defects and the factors that may affect these mortality rates. This investigation examined the first-year mortality rates for 54 selected birth defects of various organ systems in Hawaii during 1986-1999 using data from a population-based birth defects registry and evaluated the impact of the presence of chromosomal abnormalities and other structural birth defects and the year of delivery on the mortality rates. Mortality rates varied widely by defect, being highest for anencephaly (100%), trisomy 13 (82%), and trisomy 18 (74%), while no first-year deaths were reported for glaucoma, bladder exstrophy, and persistent cloaca. The majority (36 of 54 or 67%) of the birth defects had a mortality rate of less than 25%. Among the 51 structural birth defects, 38 (75%) had higher first-year mortality rate for cases with chromosomal abnormalities and 42 (82%) had higher first-year mortality rates for cases with other major structural birth defects. The mortality rate among 1986-1992 deliveries was higher than the mortality rate among 1993-1999 deliveries for 37 (69%) of the 54 birth defects. This study indicates that first-year mortality rates vary widely by type of birth defect, although the mortality rate for the majority of birth defects is relatively low. The presence of a chromosomal abnormality or other structural birth defect increases the mortality rate, and mortality rates for the majority of birth defects have declined in Hawaii during the study period.</t>
  </si>
  <si>
    <t>Journal Article; Research Support, Non-U.S. Gov't; Research Support, U.S. Gov't, Non-P.H.S.</t>
  </si>
  <si>
    <t>Registro populacional (Havaí).</t>
  </si>
  <si>
    <t>12423486</t>
  </si>
  <si>
    <t>Moran CJ</t>
  </si>
  <si>
    <t>Ultrasound detection and perinatal outcome of fetal trisomies 21, 18 and 13 in the absence of a routine fetal anomaly scan or biochemical screening.</t>
  </si>
  <si>
    <t>OBJECTIVES: To determine the prenatal detection rate of abnormality (fetal anomaly or growth restriction) in pregnancies complicated by fetal trisomies 21, 18 and 13 in an obstetric population managed without routine biochemical or sonographic screening tests and to assess the perinatal outcome of these pregnancies. SUBJECTS AND METHODS: This was a retrospective analysis of obstetric and neonatal data pertaining to infants born with trisomy 21, 18 or 13 (n = 82) diagnosed between 1989 and 1997 (23 762 deliveries). RESULTS: Antenatal suspicion of aneuploidy, based on the detection of growth restriction or fetal anomaly, was present in 18.3% (11 of 60) of fetuses with trisomy 21, in 81.2% (13 of 16) of fetuses with trisomy 18, and in 83.3% (five of six) of fetuses with trisomy 13. The antenatal detection rates for growth restriction were accurate whereas the antenatal detection rates for fetal anomalies were poor. Intrauterine fetal death occurred in 18.8% of fetuses with trisomy 18 (three of 16) and in 50% (three of six) of cases of trisomy 13. For babies born alive with trisomy 18 or 13 the neonatal mortality was 93.8% (15 of 16). All cases of trisomy 21 fetuses survived beyond the perinatal period and the antepartum and intrapartum details of these pregnancies were unremarkable. CONCLUSION: In obstetric practice without routine biochemical or sonographic screening tests the detection of findings suggestive of aneuploidy is low for trisomy 21, but is high for trisomies 18 and 13. These findings provide information for counseling about the antenatal, intrapartum, and neonatal course of these trisomies.</t>
  </si>
  <si>
    <t>Ultrasound Obstet Gynecol</t>
  </si>
  <si>
    <t>11745833</t>
  </si>
  <si>
    <t>Nembhard WN</t>
  </si>
  <si>
    <t>Patterns of first-year survival among infants with selected congenital anomalies in Texas, 1995-1997.</t>
  </si>
  <si>
    <t>BACKGROUND: Few registry-based studies have investigated survival among infants with congenital anomalies. We conducted a registry-based study to examine patterns and probability of survival during the first year of life among infants with selected congenital anomalies. METHODS: Data from the Texas Birth Defects Monitoring Division were merged with linked birth-infant death files for 2,774 infants born January 1, 1995 to December 31, 1997, with at least 1 of 23 common anomalies. Deaths before the first birthday were assessed from infant death files. Kaplan-Meier was used to estimate first-year survival; first-year survival was assessed for specific anomalies and by the number of life-threatening anomalies. RESULTS: Overall, 80.8% of infants with these 23 anomalies survived the first year of life. We observed the highest survival rates for infants with gastroschisis (92.9%, 95% CI = 86.8, 96.3), trisomy 21 (92.3%, 95% CI = 89.5, 94.4) or cleft lip with or without cleft palate (87.6%, 95% CI = 84.0, 90.5). Infants with intermediate survival rates included those with microcephaly (79.7%; 95% CI = 73.6, 84.6), tetralogy of Fallot (75.0%; 95% CI = 65.5, 82.2), or with diaphragmatic hernia (72.8%; 95% CI = 61.8, 81.2). As expected, all infants with anencephaly and almost all infants with trisomy 13 or trisomy 18 died during the first year of life. First-year survival declined as the number of co-occurring life-threatening anomalies increased. CONCLUSIONS: Overall, first-year survival for infants with congenital anomalies was high. Additional population-based studies are needed to quantify improvements in first-year survival.</t>
  </si>
  <si>
    <t>Teratology</t>
  </si>
  <si>
    <t>Journal Article; Research Support, Non-U.S. Gov't; Research Support, U.S. Gov't, P.H.S.</t>
  </si>
  <si>
    <t>40968138</t>
  </si>
  <si>
    <t>Current prenatal counseling of congenital heart disease in trisomy 18, pediatric cardiologists' perspective: a Fetal Heart Society Research Collaborative Study.</t>
  </si>
  <si>
    <t>OBJECTIVE: Survival outcomes are shifting in trisomy 18 as cardiac disease is being repaired in infancy reminiscent of trisomy 21. The landscape of prenatal counseling related to cardiac disease and trisomy 18 is unknown. STUDY DESIGN: A survey was distributed to pediatric cardiologists presenting two scenarios of cardiac disease varying by genetic diagnosis: trisomy 18 vs 21. Respondents were asked if cardiac surgery would be offered and ranked the importance of various factors in decision-making. RESULT: Sixty three percent described surgery as an option in trisomy 18 compared to 97% in trisomy 21. Genetic diagnosis was most important in trisomy 18 compared to neonatal survival in trisomy 21. Quality of life and survival to discharge were least important in trisomy 18 compared to genetic diagnosis in trisomy 21. CONCLUSION: Significant variability in prenatal counseling exists for trisomy 18. Indecision may be influenced by the genetic diagnosis, survival, and quality of life.</t>
  </si>
  <si>
    <t>Apoio</t>
  </si>
  <si>
    <t>Survey de cardiologistas pediátricos sobre aconselhamento pré-natal</t>
  </si>
  <si>
    <t>39961659</t>
  </si>
  <si>
    <t>Parental perspectives of trisomy 18: common threads of a life-limiting diagnosis.</t>
  </si>
  <si>
    <t>There is a narrative told among healthcare providers that the public stories of trisomy 18 do not reflect the experiences of the many families navigating this diagnosis. This is in the context of a recognised paradigm shift occurring in the treatment of children born with trisomy 18 from one focused solely on comfort to one that considers the potential of medical-surgical interventions to afford survival. This study aims to elicit and explore phenomenologically parents' narratives of trisomy 18. The focus is on the full spectrum of trisomy 18: whether it was diagnosed before or after birth, whether the child's life was of short or long duration and whether invasive or palliative care was sought. While trisomy 18 was not univocal of the children's stories, as a focus of this qualitative inquiry unified them. Healthcare providers may benefit from understanding how trisomy 18 may affect a particular diagnosis experience, whether made during pregnancy or the days after birth when parents are still getting to know their child. As parents live with this diagnosis, pregnancy and the life of their child may be shaped by an uncertainty of a life-limiting condition, whereby care is bounded by what is and is not possible. And, we may appreciate how trisomy 18 imparts meanings on ordinary and extraordinary moments for children and their families in a recognisable form. The understandings gained from this research may support healthcare professionals' reflective clinical practices as they care for children and their families affected by this diagnosis.</t>
  </si>
  <si>
    <t>Med Humanit</t>
  </si>
  <si>
    <t>Perspectivas parentais</t>
  </si>
  <si>
    <t>40685149</t>
  </si>
  <si>
    <t>Pyle AK</t>
  </si>
  <si>
    <t>Guidance for Caring for Infants and Children With Trisomy 13 and Trisomy 18: Clinical Report.</t>
  </si>
  <si>
    <t>Over the last several decades, there has been a steady increase in medical and surgical interventions provided for infants and children with trisomy 13 or trisomy 18 (chromosomal syndromes associated with a range of congenital anomalies and universally severe neurodevelopmental impairment). Despite previous characterizations of these disorders as being uniformly lethal, multiple studies have demonstrated improved morbidity and mortality when indicated interventions, such as cardiac surgery, are performed, and these interventions and their potential risks and benefits can be carefully explored with parents who may wish to pursue them. Although the presence of trisomy 13 or trisomy 18 impacts prognosis for survival and long-term outcomes and cannot be disregarded in complex decision making, there are no ethical justifications for universal, principle-based differential treatment based solely on these genetic diagnoses. Thus, which medical and surgical interventions are offered, denied, or required for patients should be based on the best available evidence and appropriately tailored to the individual's clinical context, should respect the same moral principles as are applied to other children, and should not vary widely between institutions. Pediatric and obstetric clinicians participating in the care of these patients should maintain current knowledge of the literature to provide adequate counseling through a shared decision-making process and offer the broad range of support that is needed for families throughout the continuum of care from the prenatal to postnatal time period and extending throughout the child's life.</t>
  </si>
  <si>
    <t>Journal Article; Practice Guideline; Review</t>
  </si>
  <si>
    <t>Relatório clínico da Academia Americana de Pediatria (2025)</t>
  </si>
  <si>
    <t>41319979</t>
  </si>
  <si>
    <t>Srinivasan K</t>
  </si>
  <si>
    <t>Updates in Trisomy 18.</t>
  </si>
  <si>
    <t>Aneuploidies represent some of the most common genetic abnormalities within the pediatric population. Among them, trisomies 13, 18, and 21 constitute the most prevalent syndromes. Unlike trisomy 21, trisomies 13 and 18 have historically been regarded as having significant morbidity and mortality leading to being labeled "lethal" conditions. However, within the last few decades there is a growing body of evidence that the long-term outcomes of newborns specifically affected by trisomy 18 are exceeding these preconceived, historical notions. This shift results from increased postnatal intervention due to shared decision-making with families and medical teams. This review summarizes the clinical manifestations of trisomy 18 syndrome but also explores the updated long-term outcomes and subsequent guidance for future medical surveillance in a population of newborns previously expected to die before their first birthday.</t>
  </si>
  <si>
    <t>Neoreviews</t>
  </si>
  <si>
    <t>Journal Article; Review; Research Support, Non-U.S. Gov't</t>
  </si>
  <si>
    <t>Revisão atualizada sobre T18</t>
  </si>
  <si>
    <t>41321028</t>
  </si>
  <si>
    <t>Türkçapar AF</t>
  </si>
  <si>
    <t>An ethical issue in the prenatal and postnatal management of trisomy 18: a survey of obstetricians.</t>
  </si>
  <si>
    <t>BACKGROUND: This study aimed to determine how obstetricians' knowledge of T18 influences their attitudes toward the antepartum, intrapartum, and postpartum management of T18 cases and to compare these attitudes with their approaches to trisomy 21 (T21) cases. These attitudes were analysed within the framework of the medical ethics principles of beneficence and autonomy. METHODS: This cross-sectional descriptive survey study was conducted between 1 February and 31 July 2021. Data from 194 of 388 participants who completed all questionnaire items were analysed. RESULTS: The study included specialists in obstetrics and gynecology (mean age: 47.8 ± 8.9 years; 56.2% female). 40.2% defined "lethal congenital malformation" as anomalies inevitably causing intrauterine death; 91.2% considered T18 "lethal" and 77.6% "incompatible with life." For T18, 82.8% always recommended termination. When pregnancy continued, most acted in line with maternal wishes; 56.8% would prefer cesarean in fetal distress and 60.5% supported perinatal palliative care. For T21, 89.0% did not define it as lethal, 94.8% did not consider it incompatible with life, and only 57.1% always recommended termination. Multivariate analysis showed older age and religious beliefs predicted lower termination recommendation for T21; only religious beliefs predicted this for T18. Female obstetricians more often provided palliative care and fetal monitoring for T21. CONCLUSIONS: This study reveals significant gaps and variability in knowledge, attitudes, and management strategies for prenatally diagnosed T18 among obstetricians in Turkey. Such variability may result in some women not being offered appropriate care options during pregnancy or delivery. More practical training and ethical guidance are needed for consistent, patient-centred care in fetal anomaly management.</t>
  </si>
  <si>
    <t>Ann Med</t>
  </si>
  <si>
    <t>Survey de obstetras: questão ética no manejo</t>
  </si>
  <si>
    <t>37619598</t>
  </si>
  <si>
    <t>Kim AJH</t>
  </si>
  <si>
    <t>Structured Framework for Multidisciplinary Parent Counseling and Medical Interventions for Fetuses and Infants with Trisomy 13 or Trisomy 18.</t>
  </si>
  <si>
    <t>OBJECTIVE: Trisomy 13 (T13) and 18 (T18) are aneuploidies associated with multiple structural congenital anomalies and high rates of fetal demise and neonatal mortality. Historically, patients with either one of these diagnoses have been treated similarly with exclusive comfort care rather than invasive interventions or intensive care, despite a wide phenotypic variation and substantial variations in survival length. However, surgical interventions have been on the rise in this population in recent years without clearly elucidated selection criterion. Our objective was to create a standardized approach to counseling expectant persons and parents of newborns with T13/T18 in order to provide collaborative and consistent counseling and thoughtful approach to interventions such as surgery. STUDY DESIGN: This article describes our process and presents our resulting clinical care guideline. RESULTS: We formed a multi- and interdisciplinary committee. We used published literature when available and otherwise expert opinion to develop an approach to care featuring individualized assessment of the patient to estimate qualitative mortality risk and potential to benefit from intensive care and/or surgeries centered within an ethical framework. CONCLUSION: Through multidisciplinary collaboration, we successfully created a patient-centered approach for counseling families facing a diagnosis of T13/T18. Other institutions may use our approach as a model for developing their own standardized approach. KEY POINTS: · Trisomy 13 and trisomy 18 are associated with high but variable morbidity and mortality.. · Research on which patients are most likely to benefit from surgery is lacking.. · We present our institution's framework to counsel families with fetal/neonatal T13/T18..</t>
  </si>
  <si>
    <t>Protocolo estruturado de aconselhamento multidisciplinar</t>
  </si>
  <si>
    <t>38284966</t>
  </si>
  <si>
    <t>St Louis JD</t>
  </si>
  <si>
    <t>The American Association for Thoracic Surgery (AATS) 2023 Expert Consensus Document: Recommendation for the care of children with trisomy 13 or trisomy 18 and a congenital heart defect.</t>
  </si>
  <si>
    <t>OBJECTIVES: Recommendations for surgical repair of a congenital heart defect in children with trisomy 13 or trisomy 18 remain controversial, are subject to biases, and are largely unsupported with limited empirical data. This has created significant distrust and uncertainty among parents and could potentially lead to suboptimal care for patients. A working group, representing several clinical specialties involved with the care of these children, developed recommendations to assist in the decision-making process for congenital heart defect care in this population. The goal of these recommendations is to provide families and their health care teams with a framework for clinical decision making based on the literature and expert opinions. METHODS: This project was performed under the auspices of the AATS Congenital Heart Surgery Evidence-Based Medicine Taskforce. A Patient/Population, Intervention, Comparison/Control, Outcome process was used to generate preliminary statements and recommendations to address various aspects related to cardiac surgery in children with trisomy 13 or trisomy 18. Delphi methodology was then used iteratively to generate consensus among the group using a structured communication process. RESULTS: Nine recommendations were developed from a set of initial statements that arose from the Patient/Population, Intervention, Comparison/Control, Outcome process methodology following the groups' review of more than 500 articles. These recommendations were adjudicated by this group of experts using a modified Delphi process in a reproducible fashion and make up the current publication. The Class (strength) of recommendations was usually Class IIa (moderate benefit), and the overall level (quality) of evidence was level C-limited data. CONCLUSIONS: This is the first set of recommendations collated by an expert multidisciplinary group to address specific issues around indications for surgical intervention in children with trisomy 13 or trisomy 18 with congenital heart defect. Based on our analysis of recent data, we recommend that decisions should not be based solely on the presence of trisomy but, instead, should be made on a case-by-case basis, considering both the severity of the baby's heart disease as well as the presence of other anomalies. These recommendations offer a framework to assist parents and clinicians in surgical decision making for children who have trisomy 13 or trisomy 18 with congenital heart defect.</t>
  </si>
  <si>
    <t>J Thorac Cardiovasc Surg</t>
  </si>
  <si>
    <t>Practice Guideline; Journal Article; Consensus Statement</t>
  </si>
  <si>
    <t>Consenso de especialistas (AATS 2023)</t>
  </si>
  <si>
    <t>39257320</t>
  </si>
  <si>
    <t>Bierer R</t>
  </si>
  <si>
    <t>Parent Narratives Provide Perspectives on the Experience of Care in Trisomy 18.</t>
  </si>
  <si>
    <t>Trisomy 18 syndrome, also known as Edwards syndrome, is the second most common autosomal chromosome syndrome after Down syndrome. Trisomy 18 is a serious medical disorder due to the increased occurrence of structural defects, the high neonatal and infant mortality, and the disabilities observed in older children. Interventions, including cardiac surgery, remain controversial, and the traditional approach is to pursue pure comfort care. While the medical challenges have been well-characterized, there are scant data on the parental views and perspective of the lived experience of rearing a child with trisomy 18. Knowledge of the parental viewpoints can help clinicians guide families through decision-making. Our aim was to identify parents' perspectives by analyzing a series of narratives. In this qualitative study, we collected 46 parent narratives at the 2015 and 2016 conferences of the Support Organization for Trisomy 18 &amp; 13 (SOFT). The participants were asked to "Tell us a story about your experience." Inductive content analysis and close reading were used to identify themes from the stories. Dedoose, a web-based application to analyze qualitative data, was used to code themes more systematically. Of the identified themes, the most common included Impact of trisomy 18 diagnosis and Surpassing expectations. Other themes included Support from professionals, A child, not a diagnosis, and Trust/lack of trust. We examined the voice and the perspectives of the parents in their challenges in caring for their children with this life-limiting condition. The exploration of the themes can ideally guide clinicians in their approach to the counseling and care of the child in a shared decision-making approach.</t>
  </si>
  <si>
    <t>Narrativas de pais sobre o cuidado</t>
  </si>
  <si>
    <t>37551160</t>
  </si>
  <si>
    <t>The common trisomy syndromes, their cardiac implications, and ethical considerations in care.</t>
  </si>
  <si>
    <t>PURPOSE OF REVIEW: To review the incidence of congenital heart disease in the trisomies, highlight the history of cardiac surgery in trisomy 21 comparing it to the increase in cardiac surgery in trisomies 13 and 18, discuss ethical issues specific to trisomies 13 and 18, and suggest a pathway of shared decision-making in the management of congenital heart disease in trisomy 13 and 18, specifically congenital heart surgery. RECENT FINDINGS: Congenital heart disease is prevalent in the trisomies and the management of these defects, especially surgical intervention, has changed. In the late 20th century, survival after cardiac surgery in trisomy 21 vastly improved, significantly decreasing morbidity and mortality secondary to pulmonary hypertension. Similarly, procedures and surgeries have been performed with increasing frequency in trisomy 13 and 18 patients and concomitantly, survival in this patient population is increasing. Yet across the United States, the willingness to perform cardiac surgery in trisomy 13 and 18 is variable, and there is ethical controversy about the correct action to take. To address this concern, a shared decision-making approach with an informed parent(s) is advised. SUMMARY: As the care and management of congenital heart disease changed in trisomy 21, so too it has with trisomy 13 and 18. Physicians and parents should develop goal-directed treatment plans balancing the risk versus benefit and consider cardiac surgical repair if feasible and beneficial.</t>
  </si>
  <si>
    <t>Curr Opin Pediatr</t>
  </si>
  <si>
    <t>Review; Journal Article</t>
  </si>
  <si>
    <t>Revisão: trissomias, coração e ética</t>
  </si>
  <si>
    <t>34919485</t>
  </si>
  <si>
    <t>Cleary JP</t>
  </si>
  <si>
    <t>Cardiac Interventions for Patients With Trisomy 13 and Trisomy 18: Experience, Ethical Issues, Communication, and the Case for Individualized Family-Centered Care.</t>
  </si>
  <si>
    <t>This report is informed by the themes of the session Trisomy 13/18, Exploring the Changing Landscape of Interventions at NeoHeart 2020-The Fifth International Conference of the Neonatal Heart Society. The faculty reviewed the present evidence in the management of patients and the support of families in the setting of trisomy 13 and trisomy 18 with congenital heart disease. Until recently medical professionals were taught that T13 and 18 were "lethal conditions" that were "incompatible with life" for which measures to prolong life are therefore ethically questionable and likely futile. While the medical literature painted one picture, family support groups shared stories of the long-term survival of children who displayed happiness and brought joy along with challenges to families. Data generated from such care shows that surgery can, in some cases, prolong survival and increase the likelihood of time at home. The authors caution against a change from never performing heart surgery to always-we suggest that the pendulum of intervention find a balanced position where all therapies including comfort care and surgery can be reviewed. Families and clinicians should typically be supported and empowered to define the best care for their children and patients. Key concepts in communication and case vignettes are reviewed including the importance of supportive relationships and the fact that palliative care may serve as an additional layer of support for decision-making and quality of life interventions. While cardiac surgery may be beneficial in some cases, surgery should not be the primary focus of initial family education and support.</t>
  </si>
  <si>
    <t>World J Pediatr Congenit Heart Surg</t>
  </si>
  <si>
    <t>Ética e comunicação em intervenções cardíacas</t>
  </si>
  <si>
    <t>33527722</t>
  </si>
  <si>
    <t>Kepple JW</t>
  </si>
  <si>
    <t>Surveillance guidelines for children with trisomy 18.</t>
  </si>
  <si>
    <t>Trisomy 18 is the second most common aneuploidy syndromes in live born infants. It is associated with high mortality rates, estimated to be 75%-95% in the first year of life, as well as significant morbidity in survivors. The low survival is largely due to the high prevalence of severe congenital anomalies in infants with this diagnosis. However, interventions to repair or palliate those life-threatening anomalies are being performed at a higher rate for these infants, resulting in increased rates of survival beyond the first year of life. While it is well documented that trisomy 18 is associated with several cardiac malformations, these patients also have respiratory, neurological, neoplastic, genitourinary, abdominal, otolaryngologic, and orthopedic complications that can impact their quality of life. The goal of this review is to present a comprehensive description of complications in children with trisomy 18 to aid in the development of monitoring and treatment guidelines for the increasing number of providers who will be caring for these patients throughout their lives. Where the evidence is available, this review presents screening recommendations to allow for more rapid detection and documentation of these complications.</t>
  </si>
  <si>
    <t>Diretriz de acompanhamento clínico</t>
  </si>
  <si>
    <t>31814050</t>
  </si>
  <si>
    <t>Silberberg A</t>
  </si>
  <si>
    <t>Ethical issues about the paradigm shift in the treatment of children with trisomy 18.</t>
  </si>
  <si>
    <t>Until recently, trisomy 18 was considered a disease incompatible with life, with a high percentage of electively terminated pregnancies. The usual behavior was denial of treatment. But some medical interventions have changed the survival of children. A search for articles published in the PubMed database on the latest medical decisions in newborns with trisomy 18 was done. Two main subjects were examined: (1) the chances of survival and (2) the perception of quality of life. Trisomy 18 is no longer considered a disease incompatible with life, and the discussion has shifted towards the type of treatment that is appropriate to initiate at birth. There are two medical attitudes towards these children: either palliative care or life-prolonging interventions. With medical intervention, the survival is as high as 23% at 5 years of age. Regarding the quality of life, all decision-makers emphasize the possibility of taking the child home. The physicians' perception is more pessimistic than that of the parents. Only a few children benefit from medical interventions.Conclusion: There is a rethinking of treatment behavior in children with trisomy 18. The possible quality of life achieved should be further investigated. It seems inappropriate to simply dismiss medical interventions.What is Known• Until recently, trisomy 18 was considered a disease incompatible with life. The most common behavior was abortion and denial of treatment.What is New• It is no longer considered a lethal disease. The type of medical intervention that is appropriate to perform is now being discussed. Selected children benefit from an interventionist approach.</t>
  </si>
  <si>
    <t>Ética da mudança de paradigma</t>
  </si>
  <si>
    <t>31964456</t>
  </si>
  <si>
    <t>Weaver MS</t>
  </si>
  <si>
    <t>Mixed method study of quality of life for children with trisomy 18 and 13 after cardiac surgery.</t>
  </si>
  <si>
    <t>BACKGROUND AND OBJECTIVES: Cardiac surgical interventions for children with trisomy 18 and trisomy 13 remain controversial, despite growing evidence that definitive cardiac repair prolongs survival. Understanding quality of life for survivors and their families therefore becomes crucial. Study objective was to generate a descriptive summary of parental perspectives on quality of life, family impact, functional status, and hopes for children with trisomy 18 and trisomy 13 who have undergone heart surgery. METHODS: A concurrent mixed method approach utilising PedsQL™ 4.0 Generic Core Parent Report for Toddlers or the PedsQL™ Infant Scale, PedsQL™ 2.0 Family Impact Module, Functional Status Scale, quality of life visual analogue scale, and narrative responses for 10 children whose families travelled out of state to access cardiac surgery denied to them in their home state due to genetic diagnoses. RESULTS: Parents rated their child's quality of life as 80/100, and their own quality of life as 78/100 using validated scales. Functional status was rated 11 by parents and 11.6 by providers (correlation 0.89). On quality of life visual analogue scale, all parents rated their child's quality of life as "high" with mean response 92.7/100. Parental hopes were informed by realistic perspective on prognosis while striving to ensure their children had access to reaching their full potential. Qualitative analysis revealed a profound sense of the child's relationality and valued life meaning. CONCLUSION: Understanding parental motivations and perceptions on the child's quality of life has potential to inform care teams in considering cardiac interventions for children with trisomy 18 and trisomy 13.</t>
  </si>
  <si>
    <t>Qualidade de vida após cirurgia cardíaca; famílias com acesso negado</t>
  </si>
  <si>
    <t>32737226</t>
  </si>
  <si>
    <t>Kett JC</t>
  </si>
  <si>
    <t>Who Is the Next "Baby Doe?" From Trisomy 21 to Trisomy 13 and 18 and Beyond.</t>
  </si>
  <si>
    <t>The "Baby Doe" case of the early 1980s was marked by considerable controversy, primarily regarding the legal response of the federal government to the case at the time. In the decades that followed, the decision-making for children with trisomy 21, like Baby Doe, has been substantially reevaluated. The data, the assumptions about quality of life that were based on those data, and the ethical principles underpinning the decision-making in the Baby Doe case have all evolved significantly over time. The present strategies for decision-making for children with trisomy 13 and 18 appear to be following a similar pattern. The data, quality-of-life assumptions based on those data, and even the ethical principles underlying the decision-making for these children are currently being reexamined. Children with trisomy 13 and 18 are, in this regard, the next Baby Doe(s).</t>
  </si>
  <si>
    <t>Ensaio ético ("Baby Doe"): da T21 à T13/T18</t>
  </si>
  <si>
    <t>32924070</t>
  </si>
  <si>
    <t>Carvajal HG</t>
  </si>
  <si>
    <t>Cardiac Surgery in Trisomy 13 and 18: A Guide to Clinical Decision-Making.</t>
  </si>
  <si>
    <t>There has been substantial controversy regarding treatment of congenital heart defects in infants with trisomies 13 and 18. Most reports have focused on surgical outcomes versus expectant treatment, and rarely there has been an effort to consolidate existing evidence into a more coherent way to help clinicians with decision-making and counseling families. An extensive review of the existing literature on cardiac surgery in patients with these trisomies was conducted from 2004 to 2020. The effects of preoperative and perioperative factors on in-hospital and long-term mortality were analyzed, as well as possible predictors for postoperative chronic care needs such as tracheostomy and gastrostomy. Patients with minimal or no preoperative pulmonary hypertension and mechanical ventilation undergoing corrective surgery at a weight greater than 2.5 kg suffer from lower postoperative mortality. Infants with lower-complexity cardiac defects are likely to benefit the most from surgery, although their expected mortality is higher than that of infants without trisomy. Omphalocele confers an increased mortality risk regardless of cardiac surgery. Gastrointestinal comorbidities increased the risk of gastrostomy tube placement, while those with prolonged mechanical ventilation and respiratory comorbidities are more likely to require tracheostomy. Cardiac surgery is feasible in children with trisomies 13 and 18 and can provide improved long-term results. However, this is a clinically complex population, and both physicians and caretakers should be aware of the long-term challenges these patients face following surgery when discussing treatment options.</t>
  </si>
  <si>
    <t>Guia de decisão para cirurgia cardíaca</t>
  </si>
  <si>
    <t>30688390</t>
  </si>
  <si>
    <t>Kaulfus ME</t>
  </si>
  <si>
    <t>Attitudes of clinicians toward cardiac surgery and trisomy 18.</t>
  </si>
  <si>
    <t>Trisomy 18 is an autosomal trisomy condition characterized by minor to major birth defects, severe disabilities, and high rates of pre- and postnatal mortality. Interventions for these infants have traditionally been withheld with focus instead on palliative support. The issues and attitudes surrounding corrective surgery of congenital heart defects, which is a birth defect that occurs in approximately 90% of infants with trisomy 18, is of our study's interest as recent literature has indicated that cardiac surgery is being performed and may lead to improved survival compared to palliative care. Thus, our study aimed to describe clinician attitudes toward cardiac surgery and trisomy 18. We surveyed 378 clinicians from multiple specialties, including genetic counselors, involved in the pre- and postnatal care of infants with trisomy 18. Descriptive statistics were performed to describe all clinicians' responses, and a secondary analysis with stratifications by clinician type was also performed. Forty-eight percent (n = 378) of clinicians felt it was appropriate to discuss the option of cardiac surgery. Ethical concerns and insufficient outcome data were the most agreed upon reasons for not offering cardiac surgery. Trisomy 18 not being uniformly lethal and expressed parental wishes were the most agreed upon justifications for offering surgery. Clinicians felt the discussion of the option of cardiac surgery is appropriate, however are hesitant due to ethical concerns and insufficient outcome data. Results from this study aim to promote discussion and collaboration among clinicians to improve consistency in patient care.</t>
  </si>
  <si>
    <t>J Genet Couns</t>
  </si>
  <si>
    <t>Atitudes de clínicos sobre cirurgia cardíaca</t>
  </si>
  <si>
    <t>31693566</t>
  </si>
  <si>
    <t>Quaresima P</t>
  </si>
  <si>
    <t>Obstetric complications in pregnancies with life-limiting malformations.</t>
  </si>
  <si>
    <t>PURPOSE OF REVIEW: The implementation of palliative care at birth has led to a significant rise in the number of couples who choose to continue with pregnancies complicated by life-limiting malformations (LLMs). Prenatal counselling and appropriate antenatal/perinatal management in these cases are poorly studied and may pose significant challenges. The purpose of this review is to outline specific obstetric risks and to suggest management for mothers who choose to continue with pregnancies with the most common LLMs. RECENT FINDINGS: In pregnancies complicated by LLMs where parents opt for expectant management, clinicians should respect parental wishes, whilst openly sharing potential serious maternal medical risks specific for the identified abnormalities. The focus of both antenatal and perinatal care should be maternal wellbeing rather than foetal survival. Follow-up ultrasound examinations and maternal surveillance should be aimed at achieving timely diagnosis and effective management of obstetric complications. A clear perinatal plan, agreed with the couples by a multi-disciplinary team including a foetal medicine specialist, a neonatologist and a geneticist, is crucial to reduce maternal morbidity. SUMMARY: This review provides a useful framework for clinicians who face the challenges of counselling and managing cases complicated by LLMs where parents opt for pregnancy continuation.</t>
  </si>
  <si>
    <t>Curr Opin Obstet Gynecol</t>
  </si>
  <si>
    <t>Revisão: complicações obstétricas maternas (art. 128, I)</t>
  </si>
  <si>
    <t>28185147</t>
  </si>
  <si>
    <t>Thorvilson MJ</t>
  </si>
  <si>
    <t>Incompatible with Care: Examining Trisomy 18 Medical Discourse and Families' Counter-discourse for Recuperative Ethos.</t>
  </si>
  <si>
    <t>Parents whose child is diagnosed with a serious disease such as trisomy 18 first rely on the medical community for an accurate description and prognosis. In the case of trisomy 18, however, many families are told the disease is "incompatible with life" even though some children with the condition live for several years. This paper considers parents' response to current medical discourse concerning trisomy 18 by examining blogs written by the parents of those diagnosed. Using interpretive humanistic reading and foregrounding Cathryn Molloy's recuperative ethos theory (2015), we find that parents demonstrate recuperative ethos in response to physicians' descriptions of trisomy 18, particularly in rhetoric addressing survival, medicalized language, and religious and/or spiritual rhetoric. We argue that, by using language such as "incompatible with life," physicians distance themselves from families, creating not care, but the very gulf that requires recuperation. We conclude that medical professionals would do well to engage with the trisomy 18 community-including learning from blogs and online forums- employ palliative care practices, and seek more accurate, descriptive language that is compatible with care.</t>
  </si>
  <si>
    <t>J Med Humanit</t>
  </si>
  <si>
    <t>"Incompatible with care": análise do discurso médico (terminologia)</t>
  </si>
  <si>
    <t>28365826</t>
  </si>
  <si>
    <t>Pallotto I</t>
  </si>
  <si>
    <t>Treatment Decisions for Babies with Trisomy 13 and 18.</t>
  </si>
  <si>
    <t>Many babies with trisomy 13 and 18 die in the first year of life. Survivors all have severe cognitive impairment. There has been a debate among both professionals and parents about whether it is appropriate to provide life-sustaining interventions to babies with these serious conditions. On one side of the debate are those who argue that there is no point in providing invasive, painful, and expensive procedures when the only outcomes are either early death or survival with severe cognitive impairment. Others suggest that, although mortality is high and cognitive impairment universal, babies with these conditions have an acceptable quality of life. In this paper, we will discuss both points of view. We will review the ways in which these conditions are portrayed in pediatrics textbooks and on social media sites that offer support to parents. We will then suggest an appropriate way to deal with clinical decisions for babies with these trisomies.</t>
  </si>
  <si>
    <t>HEC Forum</t>
  </si>
  <si>
    <t>Ética: decisões de tratamento (Pallotto e Lantos)</t>
  </si>
  <si>
    <t>28550383</t>
  </si>
  <si>
    <t>Arthur JD</t>
  </si>
  <si>
    <t>"You Can Carry the Torch Now:" A Qualitative Analysis of Parents' Experiences Caring for a Child with Trisomy 13 or 18.</t>
  </si>
  <si>
    <t>Trisomy 13 and 18 (T 13/18) are rare chromosomal abnormalities associated with high morbidity and mortality. Improved survival rates and increased prevalence of aggressive medical intervention have resulted in families and physicians holding different perspectives regarding the appropriate management of children with T 13/18. Families were invited for open-ended interviews regarding their experiences with the medical care of a child with T 13/18 over the past 5 years. Seven of 33 invited families were surveyed; those who had spent more than 40 days in the hospital were most likely to accept the invitation (OR 8.8, p = 0.02). Grounded theory technique was used to analyze the interviews. This method elicited four key themes regarding family perspectives on children with T 13/18: (1) they are unique and significant, (2) they transform the lives of others, (3) their families can feel overwhelmed and powerless in the medical setting, (4) their families are motivated to "carry the torch" and tell their story. Families also emphasized ways in which Internet support groups can provide both positive and negative perspectives. The ensuing discussion explores the difficulties of parents and physicians in forecasting the impact that T 13/18 will have on families and emphasizes a narrative approach to elicit a map of the things that matter to them. The paper concludes that while over-reliance on dire prognostic data can alienate families, examining the voice, character and plot of patient stories can be a powerful way for physicians to foster shared decision-making with families.</t>
  </si>
  <si>
    <t>Estudo qualitativo com pais</t>
  </si>
  <si>
    <t>26847083</t>
  </si>
  <si>
    <t>Cardiac surgery for children with trisomies 13 and 18: Where are we now?</t>
  </si>
  <si>
    <t>The objective is to examine whether cardiac surgery should be considered for children with trisomy 13 or 18 (T13 or 18).T13 or 18 were previously referred to as "lethal" conditions due to high mortality rates and severe disability among survivors. In the last decade, investigations have revealed these conditions are heterogeneous, with increasing numbers of studies describing interventions for these children. A number of factors makes the interpretation of reported outcomes after cardiac surgery challenging: (1) dissimilarities in practice lead to a wide variation in reported outcomes after cardiac surgery; (2) cardiac surgery is generally offered to older, healthier children; (3) cardiac surgeries of widely varying risks are often lumped together in individual studies, and (4) cases where cardiac surgery has been withheld are generally not included in publications. It is unclear whether withholding cardiac surgery for some children with a ventricular septal defect will lead to death, or the development of pulmonary hypertension, or if death will occur from other causes. In this article, we describe two children with different clinical situations and examine whether cardiac surgery would benefit them and how to communicate with their families. Cardiac surgery may be beneficial to some children with trisomy 13 or 18, but may harm others. Every child should be approached in an individual fashion and the goals of each family should be addressed. Children who are more likely to benefit from surgery may be older, healthier children without respiratory support. Rigorous and transparent research is needed to identify factors that affect survival in trisomy 13 or 18.</t>
  </si>
  <si>
    <t>Semin Perinatol</t>
  </si>
  <si>
    <t>Revisão sobre cirurgia cardíaca (Janvier)</t>
  </si>
  <si>
    <t>27182826</t>
  </si>
  <si>
    <t>Management Considerations for Ongoing Pregnancies Complicated by Trisomy 13 and 18.</t>
  </si>
  <si>
    <t>Pregnancies complicated by trisomy 13 (T13) or trisomy 18 (T18) present unique challenges for obstetric management. From the initial diagnosis, the task of counseling these women and families is difficult because fetal and neonatal outcomes vary depending on the phenotype and degree of intervention chosen by the family. A literature review was performed using PubMed to gather information regarding obstetric management and outcomes of pregnancies complicated by T13 and T18. Spontaneous abortion and in uterofetal demise occur at rates well above those seen in chromosomally normal pregnancies. In addition, infants with T13 or T18 frequently have structural anomalies, which lead to worse prognoses and long-term survival. In cases in which a woman and her family desire to continue the pregnancy, multidisciplinary consultation with obstetrics, social work, genetics, and pediatrics can optimize care of both the fetus and the mother. Most commonly, prenatal care does not differ from routine. A detailed delivery plan should be generated, specifically discussing interventions for the patient and her fetus. When managing pregnancies complicated by T13 and T18, active, open, and frequent communication between the patient, her family, and a multidisciplinary health care team throughout the pregnancy is crucial.</t>
  </si>
  <si>
    <t>Obstet Gynecol Surv</t>
  </si>
  <si>
    <t>Revisão: manejo de gestações em curso com T13/T18</t>
  </si>
  <si>
    <t>27234469</t>
  </si>
  <si>
    <t>Pardo Vargas RA</t>
  </si>
  <si>
    <t>[Congenital anomalies of poor prognosis. Genetics Consensus Committee].</t>
  </si>
  <si>
    <t>INTRODUCTION: The Genetic Branch of the Chilean Society of Paediatrics, given the draft Law governing the decriminalisation of abortion on three grounds, focusing on the second ground, which considers the "embryo or foetus suffering from a congenital structural anomaly or a genetic disorder incompatible with life outside the womb", met to discuss the scientific evidence according to which congenital anomalies (CA) may be included in this draft law. METHODOLOGY: Experts in clinical genetics focused on 10 CA, reviewed the literature evidence, and met to discuss it. RESULTS: It was agreed not to use the term "incompatible with life outside the womb", as there are exceptions and longer survivals, and change to "congenital anomaly of poor prognosis (CAPP)". Ten CA were evaluated: serious defects of neural tube closure: anencephaly, iniencephaly and craniorachischisis, pulmonary hypoplasia, acardiac foetus, ectopia cordis, non-mosaic triploidy, "limb body wall" complex, "body stalk" anomaly, trisomy 13, trisomy 18, and bilateral renal agenesis. Findings on the prevalence, natural history, prenatal diagnostic methods, survival, and reported cases of prolonged survival were analysed. Post-natal survival, existence of treatments, and outcomes, as well as natural history without intervention, were taken into account in classifying a CA as a CAPP. CONCLUSION: A CAPP would be: anencephaly, severe pulmonary hypoplasia, acardiac foetus, cervical ectopia cordis, non-mosaic triploidy, limb body wall complex, body stalk anomaly, non-mosaic trisomy 13, non-mosaic trisomy 18, and bilateral renal agenesis. For their diagnosis, it is required that all pregnant women have access to assessments by foetal anatomy ultrasound and occasionally MRI, and cytogenetic and molecular testing.</t>
  </si>
  <si>
    <t>Rev Chil Pediatr</t>
  </si>
  <si>
    <t>Journal Article; Consensus Statement</t>
  </si>
  <si>
    <t>Consenso chileno: abandono do termo "incompatível com a vida extrauterina" no contexto da lei de aborto</t>
  </si>
  <si>
    <t>27312333</t>
  </si>
  <si>
    <t>Jacobs AP</t>
  </si>
  <si>
    <t>Trisomy 18: A survey of opinions, attitudes, and practices of neonatologists.</t>
  </si>
  <si>
    <t>We conducted a survey-based study of the opinions, attitudes, and management practices of neonatologists across the United States regarding prenatally diagnosed Trisomy 18. The survey was designed based on previously validated surveys of severe fetal anomalies and collected demographic information on participants, as well as their attitudes, and management choices given a series of vignettes beginning in the prenatal period. The survey was sent to 3,143 American Academy of Pediatrics Section on Neonatal-Perinatal Medicine members of which 409 (13%) completed the survey. While the response rate was rather low, our respondent pool was representative of the national neonatologist population. Respondents were predominately white (81%), married (88%), Christian (54%), had children (86%), and were pro-choice in terms of abortion (68%). Eighty-three percent (83%) of respondents thought that trisomy 18 is a lethal condition and 60% thought that treatment is futile. Seventy-five percent (75%) expected that the best neurodevelopmental outcome in the case of infant survival would be profound intellectual disability. Regarding neonatal care, 95% stated that they would recommend palliative care only. Ninety-five percent (95%) would never recommend or recommend only if asked full code resuscitation for a neonate with full trisomy 18, yet, 44% would comply partially or in full with a full code request for resuscitation measures. The demographic features that correlated most significantly with these responses were clinician race and years in practice. The attitudes toward and management of infants affected with trisomy 18 seem to be largely driven by parental attitudes and wishes. © 2016 Wiley Periodicals, Inc.</t>
  </si>
  <si>
    <t>Survey de neonatologistas</t>
  </si>
  <si>
    <t>27338604</t>
  </si>
  <si>
    <t>Graham EM</t>
  </si>
  <si>
    <t>Infants with Trisomy 18 and Complex Congenital Heart Defects Should Not Undergo Open Heart Surgery.</t>
  </si>
  <si>
    <t>Aggressive medical and surgical interventions have not been clearly demonstrated to improve survival in neonates with trisomy 18; there are no data that demonstrates improved quality of life for these children after these interventions; and these interventions are clearly associated with significant morbidity, resource allocation, and cost.</t>
  </si>
  <si>
    <t>J Law Med Ethics</t>
  </si>
  <si>
    <t>Opinião contrária à cirurgia cardíaca aberta (contraponto)</t>
  </si>
  <si>
    <t>27557275</t>
  </si>
  <si>
    <t>Andrews SE</t>
  </si>
  <si>
    <t>Shared decision making and the pathways approach in the prenatal and postnatal management of the trisomy 13 and trisomy 18 syndromes.</t>
  </si>
  <si>
    <t>The medical management of infants with the trisomy 13 and trisomy 18 syndromes is challenging and controversial. Both conditions have high neonatal and infant mortality, and surviving children display significant cognitive and motor disabilities. Currently, there exists a tension in the neonatal and perinatal communities regarding care. One view holds that management should consist solely of comfort care, while another opinion recommends offering medical and surgical intervention in appropriate situations. The purpose of this manuscript is to present a model for the care of fetuses and infants with trisomy 13 and 18 during the prenatal, perinatal, and postnatal periods. Adopting the pathways approach as a framework, we have identified several pertinent decision points, characterizing the goals of care and the resources needed for the decision points at various times. Additionally, we identified themes surrounding parental and professional experiences. The authors propose a care model for trisomy 13 and 18 that uses shared decision making as its foundational principle and the pathways approach as the method. Our model requires further investigation as a strategy for care in order to render it useful in other complex medical situations. © 2016 Wiley Periodicals, Inc.</t>
  </si>
  <si>
    <t>Decisão compartilhada (Andrews)</t>
  </si>
  <si>
    <t>27643592</t>
  </si>
  <si>
    <t>Carey JC</t>
  </si>
  <si>
    <t>Perspectives on the care and advances in the management of children with trisomy 13 and 18.</t>
  </si>
  <si>
    <t>The trisomy 13 and trisomy 18 syndromes are important and relatively common chromosome conditions each consisting of a recognizable pattern of multiple congenital anomalies, an increased neonatal and infant mortality, and a marked cognitive and motor disability in older children. Because of the medically serious nature of the outcomes, the traditional approach to management in the newborn and early infancy periods has been to withhold technological support and surgery. In the last decade a rich dialogue has emerged in the literature; one view makes the case for pure comfort care for the benefit of the child while the other view supports full intervention in appropriate situations. The principal aim of the series of articles in this issue of the Seminars in Medical Genetics is to enrich and continue this emerging dialogue. The papers include review articles, original research, and commentaries that discuss perspectives on the care and advances in the management of children with the trisomy 13 and 18 syndromes. © 2016 Wiley Periodicals, Inc.</t>
  </si>
  <si>
    <t>Revisão: avanços no cuidado</t>
  </si>
  <si>
    <t>27760457</t>
  </si>
  <si>
    <t>Nishiyama M</t>
  </si>
  <si>
    <t>Factors affecting parental decisions to terminate pregnancy in the presence of chromosome abnormalities: a Japanese multicenter study.</t>
  </si>
  <si>
    <t>OBJECTIVE: To investigate the rates of termination of pregnancy (TOP) for fetal chromosomal abnormalities and factors related to such parental decision in Japan. METHODS: A multicenter retrospective cohort study of chromosomal abnormalities diagnosed before 22 weeks of gestation between April 2008 and March 2015. The pregnancy outcomes and parental decisions were investigated. RESULTS: Among 931 fetuses with chromosome abnormalities, the total TOP rate was 75.1% (699/931). TOP rates were 89.3% (585/655) in autosomal aneuploidies and 40.8% (51/125) in sex chromosome aneuploidies. Trisomy 21 showed the highest TOP rate (93.8% [390/416]) followed by trisomy 18 (84.5% [163/193]) and trisomy 13 (71.9% [23/32]). Indications for karyotyping were related to a parental decision for TOP (p &lt; 0.01): in cases of autosomal aneuploidy, with fetal abnormal ultrasound findings as the reference value, diagnoses made following positive results at non-invasive prenatal testing (adjusted odds ratio [OR]: 13.7, 95% confidence interval [CI] 4.07-45.9) and those because of advanced maternal age (adj. OR 2.91, 95% CI 1.15-7.35) were significantly more frequent. CONCLUSIONS: In Japan, pregnancies with fetal trisomy 21 are more likely to result in TOP when diagnosed in utero than any other chromosome anomaly. The indications for prenatal karyotyping strongly affect the decision to TOP. © 2016 John Wiley &amp; Sons, Ltd.</t>
  </si>
  <si>
    <t>Fatores das decisões parentais de interrupção (Japão)</t>
  </si>
  <si>
    <t>26740293</t>
  </si>
  <si>
    <t>Is a prenatal diagnosis detrimental to the survival of a fetus with trisomy 18?</t>
  </si>
  <si>
    <t>As trisomy 18 is so rare any individual study is unlikely to have a sufficient number of cases to examine whether a prenatal diagnosis is advantageous or detrimental to the survival of these infants. Estimates of survival in prenatally diagnosed live births have been obtained by combining data from individual hospitals, whereas estimates of survival in postnatally diagnosed live births have been obtained from large population studies linking cytogenetic registers to national mortality registers. The estimates of survival are often lower in the prenatally diagnosed series. However, comparing estimates from these two different sources is not valid; both sources are subject to different biases. At present, there is insufficient information available to indicate that receiving a prenatal diagnosis of trisomy 18 is detrimental to the survival of a foetus with trisomy 18. A prenatal diagnosis does enable the parents and clinicians time to reach a consensus on how best to care for the baby.</t>
  </si>
  <si>
    <t>Comment</t>
  </si>
  <si>
    <t>Outras fontes</t>
  </si>
  <si>
    <t>Contraponto: não há evidência suficiente de que o diagnóstico pré-natal prejudique a sobrevida; comparar séries hospitalares (pré-natal) e populacionais (pós-natal) é enviesado.</t>
  </si>
  <si>
    <t>Fora das buscas (tipo "Comment", excluído pelo filtro). Identificado no teste de validação.</t>
  </si>
  <si>
    <t>25847310</t>
  </si>
  <si>
    <t>Developmental status of 22 children with trisomy 18 and eight children with trisomy 13: implications and recommendations.</t>
  </si>
  <si>
    <t>Trisomy 18 and trisomy 13 are conditions often referred to as "incompatible with life" or "lethal anomalies." If there is long-term survival, the outlook is considered "grim." Developmental status is presumed to be minimal. Yet, Baty et al. [1994; 49:189-194] described a variety of developmental skills in their sample. An additional 22 children with trisomy 18 and eight with trisomy 13 are described here. A range of developmental skills is noted with strengths in the language and communication, gross and fine motor and social-emotional domains including indicating preferences, exploration of objects and a range of voluntary mobility. These results serve to expand the knowledge base on developmental status for these groups and advance the need to further explore developmental abilities rather than focus on deficits. Avenues for future research, implications, and recommendations are provided.</t>
  </si>
  <si>
    <t>Desenvolvimento de crianças com T18 (Bruns)</t>
  </si>
  <si>
    <t>26347425</t>
  </si>
  <si>
    <t>Springett A</t>
  </si>
  <si>
    <t>Congenital anomalies associated with trisomy 18 or trisomy 13: A registry-based study in 16 European countries, 2000-2011.</t>
  </si>
  <si>
    <t>The aim of this study was to examine the prevalence of trisomies 18 and 13 in Europe and the prevalence of associated anomalies. Twenty-five population-based registries in 16 European countries provided data from 2000-2011. Cases included live births, fetal deaths (20+ weeks' gestation), and terminations of pregnancy for fetal anomaly (TOPFAs). The prevalence of associated anomalies was reported in live births. The prevalence of trisomy 18 and trisomy 13 were 4.8 (95%CI: 4.7-5.0) and 1.9 (95%CI: 1.8-2.0) per 10,000 total births. Seventy three percent of cases with trisomy 18 or trisomy 13 resulted in a TOPFA. Amongst 468 live born babies with trisomy 18, 80% (76-83%) had a cardiac anomaly, 21% (17-25%) had a nervous system anomaly, 8% (6-11%) had esophageal atresia and 10% (8-13%) had an orofacial cleft. Amongst 240 Live born babies with trisomy 13, 57% (51-64%) had a cardiac anomaly, 39% (33-46%) had a nervous system anomaly, 30% (24-36%) had an eye anomaly, 44% (37-50%) had polydactyly and 45% (39-52%) had an orofacial cleft. For babies with trisomy 18 boys were less likely to have a cardiac anomaly compared with girls (OR = 0.48 (0.30-0.77) and with trisomy 13 were less likely to have a nervous system anomaly [OR = 0.46 (0.27-0.77)]. Babies with trisomy 18 or trisomy 13 do have a high proportion of associated anomalies with the distribution of anomalies being different in boys and girls.</t>
  </si>
  <si>
    <t>Anomalias associadas à T18 em registros de 16 países europeus – relevante para anencefalia</t>
  </si>
  <si>
    <t>24122837</t>
  </si>
  <si>
    <t>Wilkinson DJ</t>
  </si>
  <si>
    <t>Perinatal management of trisomy 18: a survey of obstetricians in Australia, New Zealand and the UK.</t>
  </si>
  <si>
    <t>OBJECTIVE: The objective of this study was to explore the attitudes of obstetricians in Australia, New Zealand and the UK towards prenatally diagnosed trisomy 18 (T18). METHOD: Obstetricians were contacted by email and invited to participate in an anonymous electronic survey. RESULTS: Survey responses were obtained from 1018/3717 (27%) practicing obstetricians/gynaecologists. Most (60%) had managed a case of T18 in the last 2 years. Eighty-five per cent believed that T18 was a 'lethal malformation', although 38% expected at least half of liveborn infants to survive for more than 1 week. Twenty-one per cent indicated that a vegetative existence was the best developmental outcome for surviving children. In a case of antenatally diagnosed T18, 95% of obstetricians would provide a mother with the option of termination. If requested, 99% would provide maternal-focused obstetric care (aimed at maternal wellbeing rather than fetal survival), whereas 80% would provide fetal-oriented obstetric care (to maximise fetal survival). Twenty-eight per cent would never discuss the option of caesarean; 21% would always discuss this option. Management options, attitudes and knowledge of T18 were associated with location, practice type, gender and religion of obstetricians. CONCLUSION: There is variability in obstetricians' attitudes towards T18, with significant implications for management of affected pregnancies.</t>
  </si>
  <si>
    <t>Survey de obstetras sobre manejo</t>
  </si>
  <si>
    <t>25200733</t>
  </si>
  <si>
    <t>Wilkinson D</t>
  </si>
  <si>
    <t>Ethical language and decision-making for prenatally diagnosed lethal malformations.</t>
  </si>
  <si>
    <t>In clinical practice, and in the medical literature, severe congenital malformations such as trisomy 18, anencephaly, and renal agenesis are frequently referred to as 'lethal' or as 'incompatible with life'. However, there is no agreement about a definition of lethal malformations, nor which conditions should be included in this category. Review of outcomes for malformations commonly designated 'lethal' reveals that prolonged survival is possible, even if rare. This article analyses the concept of lethal malformations and compares it to the problematic concept of 'futility'. We recommend avoiding the term 'lethal' and suggest that counseling should focus on salient prognostic features instead. For conditions with a high chance of early death or profound impairment in survivors despite treatment, perinatal and neonatal palliative care would be ethical. However, active obstetric and neonatal management, if desired, may also sometimes be appropriate.</t>
  </si>
  <si>
    <t>Semin Fetal Neonatal Med</t>
  </si>
  <si>
    <t>Journal Article; Research Support, Non-U.S. Gov't; Review</t>
  </si>
  <si>
    <t>Ética da linguagem em malformações "letais" (terminologia)</t>
  </si>
  <si>
    <t>23703053</t>
  </si>
  <si>
    <t>Trisomy 18: review of the clinical, etiologic, prognostic, and ethical aspects.</t>
  </si>
  <si>
    <t>OBJECTIVE: To review the clinical, etiological, diagnostic, and prognostic characteristics of trisomy 18 (Edwards syndrome). DATA SOURCES: Scientific articles in the MedLine, Lilacs, and SciELO databases were searched using the descriptors 'trisomy 18' and 'Edwards syndrome'. The research was not limited to a specific time period and included all articles in such databases. DATA SYNTHESIS: Edwards syndrome is a disease characterized by a broad clinical picture and a very reserved prognosis. There are descriptions of more than 130 different anomalies, which can involve virtually all organs and systems. Its findings are the result of the presence of three copies of chromosome 18. The main chromosomal constitution observed among these patients is a free trisomy of chromosome 18, which is associated with the phenomenon of nondisjunction, especially in maternal gametogenesis. Most fetuses with Edwards syndrome die during the embryonic and fetal life. The median of survival among live births has usually varied between 2.5 and 14.5 days. CONCLUSIONS: Knowledge on the clinical picture and on the prognosis of Edwards syndrome patients is of great importance regarding the neonatal care and the decisions about invasive treatments. The speed to have a confirmed diagnosis is important for making decisions about medical procedures. Often, interventions are performed under emergency conditions, without many opportunities for discussion, and they involve difficult medical and ethical issues.</t>
  </si>
  <si>
    <t>Revisão brasileira: aspectos clínicos, prognósticos e éticos</t>
  </si>
  <si>
    <t>23831245</t>
  </si>
  <si>
    <t>Trisomy 18 and neural tube defects.</t>
  </si>
  <si>
    <t>BACKGROUND: Trisomy 18 or Edwards syndrome is a chromosomal abnormality characterized by a broad clinical picture and a limited survival. More than 130 different abnormalities have been described in these patients-among them are neural tube defects. METHODS: We verified the frequency and types of major neural tube defects observed among patients with trisomy 18. Our sample consisted of consecutive patients evaluated by a clinical genetics service of a referral hospital in southern Brazil between 1975 and 2008. Fisher's exact test (two-tailed) and chi-square test with Yates' correction were used to compare frequencies (P &lt; 0.05 values were considered as significant). RESULTS: During the period of evaluation, we identified 50 patients with trisomy 18; 33 (66%) were female and age at the first evaluation ranged from 1 day to 16 years (median 14 days). One cell line with full trisomy 18 was the predominant cytogenetic finding (90%). Three patients (6%) had major neural tube defects, all females. These were two patients (4%) with encephaloceles and one (2%) with myelomeningocele. This last patient undergo to correction surgery on her first day of life. CONCLUSIONS: Our data, in accordance with the literature, support the idea that the presence of neural tube defects among patients with trisomy 18 is not coincidental (i.e., these defects are actually part of the spectrum of abnormalities presented in trisomy 18). Thus, the diagnosis of trisomy 18 should be considered in children with major neural tube defects, especially in the presence of other abnormalities or dysmorphisms.</t>
  </si>
  <si>
    <t>Pediatr Neurol</t>
  </si>
  <si>
    <t>Frequência de defeitos de tubo neural na T18 (Brasil) – relevante para anencefalia</t>
  </si>
  <si>
    <t>24112219</t>
  </si>
  <si>
    <t>Medical interventions for children with trisomy 13 and trisomy 18: what is the value of a short disabled life?</t>
  </si>
  <si>
    <t>UNLABELLED: Children with trisomy 13 and trisomy 18 (T13 or T18) have low survival rates, and survivors have significant disabilities. Life saving interventions (LSIs) are generally not recommended by many healthcare providers (HCPs). After a diagnosis of T13 or T18, many parents chose termination of pregnancy or comfort care at birth, but others consider treatment to prolong the lives of their children. While LSIs may be effective at prolonging the life of some children, the quality of life of survivors and the possible burden on the family may be considered negatively by HCP, which may lead to conflicts with families. Resource allocation considerations are often invoked to withhold LSI for T13 or T18 even though they are seldom mentioned for older patients with comparable outcomes. CONCLUSION: We should strive to improve communication with parents by 1. Investigating these conditions further to be able to better inform parents and 2. Providing balanced information for families and personalised care for each child.</t>
  </si>
  <si>
    <t>Acta Paediatr</t>
  </si>
  <si>
    <t>Ética: valor de uma vida curta com deficiência (Janvier)</t>
  </si>
  <si>
    <t>22826570</t>
  </si>
  <si>
    <t>The experience of families with children with trisomy 13 and 18 in social networks.</t>
  </si>
  <si>
    <t>BACKGROUND: Children with trisomy 13 and trisomy 18 (T13-18) have low survival rates and survivors have significant disabilities. For these reasons, interventions are generally not recommended by providers. After a diagnosis, parents may turn to support groups for additional information. METHODS: We surveyed parents of children with T13-18 who belong to support groups to describe their experiences and perspectives. RESULTS: A total of 503 invitations to participate were sent and 332 questionnaires were completed (87% response rate based on site visits, 67% on invitations sent) by parents about 272 children. Parents reported being told that their child was incompatible with life (87%), would live a life of suffering (57%), would be a vegetable (50%), or would ruin their family (23%). They were also told by some providers that their child might have a short meaningful life (60%), however. Thirty percent of parents requested "full" intervention as a plan of treatment. Seventy-nine of these children with full T13-18 are still living, with a median age of 4 years. Half reported that taking care of a disabled child is/was harder than they expected. Despite their severe disabilities, 97% of parents described their child as a happy child. Parents reported these children enriched their family and their couple irrespective of the length of their lives. CONCLUSIONS: Parents who engage with parental support groups may discover an alternative positive description about children with T13-18. Disagreements about interventions may be the result of different interpretations between families and providers about the experiences of disabled children and their quality of life.</t>
  </si>
  <si>
    <t>Pais relatam ter ouvido "incompatível com a vida" (87%)</t>
  </si>
  <si>
    <t>23044555</t>
  </si>
  <si>
    <t>Perspectives on the care and management of infants with trisomy 18 and trisomy 13: striving for balance.</t>
  </si>
  <si>
    <t>PURPOSE OF REVIEW: At the time of diagnosis of the trisomy 18 and trisomy 13, parents and care providers face difficult and challenging decisions regarding management. Because of the increased infant mortality and developmental outcome associated with both conditions, the conventional approach to management has been to withhold technological support. In recent years, an active dialogue on this topic has emerged. The purpose of this review is to summarize the literature on the outcome of infants with trisomy 18 and 13 and to discuss the key themes in this emerging dialogue. RECENT FINDINGS: In recent years, several important studies have appeared that have analyzed the issues relevant to this topic, including parental autonomy, best interest of the child standard, and quality of life. Some authorities state that in areas of ambiguity it is best to defer to parents' views, whereas others indicate concern that the best interest standard has given way to parental autonomy. Information on the actual experience of parents of children with trisomy 18 and 13 has been limited until recently. SUMMARY: The author recommends a balanced approach to counseling families of the newborn with trisomy 18 and 13 at the time of diagnosis. The counseling process should include presentation of accurate survival figures, avoidance of language that assumes outcome, communication of developmental outcome that does not presuppose perception of quality of life, and respect for the family's choice, whether it be comfort care or intervention.</t>
  </si>
  <si>
    <t>Revisão (Carey): perspectivas de cuidado</t>
  </si>
  <si>
    <t>23088440</t>
  </si>
  <si>
    <t>Cereda A</t>
  </si>
  <si>
    <t>The trisomy 18 syndrome.</t>
  </si>
  <si>
    <t>The trisomy 18 syndrome, also known as Edwards syndrome, is a common chromosomal disorder due to the presence of an extra chromosome 18, either full, mosaic trisomy, or partial trisomy 18q. The condition is the second most common autosomal trisomy syndrome after trisomy 21. The live born prevalence is estimated as 1/6,000-1/8,000, but the overall prevalence is higher (1/2500-1/2600) due to the high frequency of fetal loss and pregnancy termination after prenatal diagnosis. The prevalence of trisomy 18 rises with the increasing maternal age. The recurrence risk for a family with a child with full trisomy 18 is about 1%. Currently most cases of trisomy 18 are prenatally diagnosed, based on screening by maternal age, maternal serum marker screening, or detection of sonographic abnormalities (e.g., increased nuchal translucency thickness, growth retardation, choroid plexus cyst, overlapping of fingers, and congenital heart defects ). The recognizable syndrome pattern consists of major and minor anomalies, prenatal and postnatal growth deficiency, an increased risk of neonatal and infant mortality, and marked psychomotor and cognitive disability. Typical minor anomalies include characteristic craniofacial features, clenched fist with overriding fingers, small fingernails, underdeveloped thumbs, and short sternum. The presence of major malformations is common, and the most frequent are heart and kidney anomalies. Feeding problems occur consistently and may require enteral nutrition. Despite the well known infant mortality, approximately 50% of babies with trisomy 18 live longer than 1 week and about 5-10% of children beyond the first year. The major causes of death include central apnea, cardiac failure due to cardiac malformations, respiratory insufficiency due to hypoventilation, aspiration, or upper airway obstruction and, likely, the combination of these and other factors (including decisions regarding aggressive care). Upper airway obstruction is likely more common than previously realized and should be investigated when full care is opted by the family and medical team. The complexity and the severity of the clinical presentation at birth and the high neonatal and infant mortality make the perinatal and neonatal management of babies with trisomy 18 particularly challenging, controversial, and unique among multiple congenital anomaly syndromes. Health supervision should be diligent, especially in the first 12 months of life, and can require multiple pediatric and specialist evaluations.</t>
  </si>
  <si>
    <t>Orphanet J Rare Dis</t>
  </si>
  <si>
    <t>Revisão de referência (Cereda e Carey)</t>
  </si>
  <si>
    <t>40974038</t>
  </si>
  <si>
    <t>Kato N</t>
  </si>
  <si>
    <t>Mortality Patterns and Phenotypic Clusters in Trisomy 13: A Population-Based Study From Japan.</t>
  </si>
  <si>
    <t>Trisomy 13, the third most common autosomal trisomy after trisomy 21 and trisomy 18, is associated with a significantly high infant mortality rate. However, large-scale studies examining causes of death in trisomy 13 remain scarce. Therefore, we aimed to better understand the mortality patterns. To this end, a population-based study was conducted using Japanese population-based mortality data from the Vital Statistics Database (n = 4,230,092 death records); we examined early mortality and identified phenotypic subgroups based on combinations of co-occurring causes of death. We identified 150 individuals with trisomy 13 who died between 2019 and 2021. Cardiovascular disease was significantly associated with early mortality. Using K-means clustering based on principal components of cause-of-death categories, we identified three distinct subgroups: respiratory-dominant (19%), cardiovascular-dominant (64%), and multi-organ involvement (17%). The cardiovascular-dominant cluster showed the highest rate of death before age 1 (83%; p = 0.001), while surgical intervention rates did not significantly differ across clusters. These findings highlight phenotypic heterogeneity and may support individualized care planning for trisomy 13 and provide insights that may support future care and decision-making.</t>
  </si>
  <si>
    <t>Excluir</t>
  </si>
  <si>
    <t>E1</t>
  </si>
  <si>
    <t>Fora do tema (não trata da síndrome de Edwards como objeto)</t>
  </si>
  <si>
    <t>38418651</t>
  </si>
  <si>
    <t>Iwamuro M</t>
  </si>
  <si>
    <t>Long-term monitoring of gastric mucosa-associated lymphoid tissue lymphoma in patients with extra copies of the MALT1 gene.</t>
  </si>
  <si>
    <t>The objective of this study was to clarify the long-term prognosis of patients with gastric mucosa-associated lymphoid tissue (MALT) lymphoma with additional copies of MALT1. In this multicenter retrospective study, we enrolled 145 patients with gastric MALT lymphoma who underwent fluorescence in situ hybridization (FISH) analysis to detect t(11;18) translocation. The patient cohort was divided into three groups: Group A (n = 87), comprising individuals devoid of the t(11;18) translocation or extra MALT1 copies; Group B (n = 27), encompassing patients characterized by the presence of the t(11;18) translocation; and Group C (n = 31), including patients with extra MALT1 copies. The clinical outcomes in each cohort were collected. Over the course of a mean follow-up of 8.5 ± 4.2 years, one patient died of progressive MALT lymphoma, while 15 patients died due to etiologies unrelated to lymphoma. The progression or relapse of MALT lymphoma was observed in 11 patients: three in Group A, two in Group B, and six in Group C. In Groups A, B, and C, the 10-year overall survival rates were 82.5%, 93.8%, and 86.4%, respectively, and the 10-year event-free survival rates were 96.1%, 96.0%, and 82.9%, respectively. The event-free survival rate in Group C was significantly lower than that in Group A. However, no differences were observed in the 10-year event-free survival rates among individuals limited to stage I or II1 disease (equivalent to excluding patients with stage IV disease in this study, as there were no patients with stage II2), with rates of 98.6%, 95.8%, and 92.3% for Groups A, B, and C, respectively. In conclusion, the presence of extra copies of MALT1 was identified as an inferior prognostic determinant of event-free survival. Consequently, trisomy/tetrasomy 18 may serve as an indicator of progression and refractoriness to therapeutic intervention in patients with gastric MALT lymphoma, particularly stage IV gastric MALT lymphoma.</t>
  </si>
  <si>
    <t>Sci Rep</t>
  </si>
  <si>
    <t>Multicenter Study; Journal Article</t>
  </si>
  <si>
    <t>33730431</t>
  </si>
  <si>
    <t>Zhang C</t>
  </si>
  <si>
    <t>Clinicopathological aspects of primary mucosa-associated lymphoid tissue lymphoma of the salivary gland: A retrospective single-center analysis of 72 cases.</t>
  </si>
  <si>
    <t>BACKGROUND: Salivary gland extranodal marginal zone lymphoma of mucosa-associated lymphoid tissue lymphoma (MALT lymphoma) is uncommon and has not been studied extensively. We aimed to investigate the features of clinicopathological and molecular changes of salivary MALT lymphoma. METHODS: Seventy-two cases of primary salivary MALT lymphoma that had clinicopathological information available were utilized in this study. MALT1 gene translocation, trisomy 3, and trisomy 18 were detected by interphase fluorescence in situ hybridization (FISH). The data were analyzed using SPSS 17.0 software package. RESULTS: The ratio of male to female was 1:2.8, and the median age was 57.0 years. 12.5% (9/72) of the patients presented with multiple swellings. Among the others with solitary mass, the parotid gland was involved most frequently (47/63,74.6%), followed by the palate (7/63, 11.1%). 34.7% of patients had an autoimmune disease, with Sjögren syndrome (SS) being the most common. Among the 70 cases successfully performed, it was identified that trisomy 3 was the most frequent molecular change (41/70, 58.6%), followed by trisomy 18 (7/70, 10%) and MALT1 translocation (5/70, 7.1%). The tumor tissue tended to exhibit trisomy 3 in patients without SS (p = 0.038). The 5-year overall survival was 94.1%, and the 5-year disease-free survival was 85.3% (mean follow-up time: 104.7 months). The patients without SS and trisomy 18 had a prolonged recurrence-free survival (p = 0.015, p = 0.001 respectively). CONCLUSION: Salivary gland MALT lymphoma is associated with autoimmune diseases, and trisomy 3 is the most common genetic change. Trisomy 18 can be used to predict the possibility of tumor relapse.</t>
  </si>
  <si>
    <t>J Oral Pathol Med</t>
  </si>
  <si>
    <t>30820311</t>
  </si>
  <si>
    <t>Shirazi M</t>
  </si>
  <si>
    <t>Does Chorionic Villus Sampling Increase the Risk of Preeclampsia or Gestational Hypertension?</t>
  </si>
  <si>
    <t>BACKGROUND: Chorionic villus sampling (CVS) and amniocentesis are two methods for prenatal diagnosis. The goal of this study was to compare amniocentesis and CVS-related complications in a large sample of Iranian women. METHODS: Medical records of 1624 women who underwent amniocentesis or CVS due to medical indications between 2008 and 2016 were reviewed. Data regarding age, gravidity, parity, gestational age, type of procedure, neonatal weight (and percentile), trisomia, abortion, intrauterine growth restriction (IUGR), severe IUGR, preeclampsia, and gestational hypertension were recorded. RESULTS: Finally, 1215 cases were evaluated. Mean maternal age, gravidity, and gestational age were significantly different between two groups. Preeclampsia, gestational hypertension, IUGR, severe IUGR, and intrauterine fetal death were not significantly different between two groups. Trisomy 18 and 21 were common in cases underwent amniocentesis. CONCLUSIONS: Women who underwent CVS are not at higher risk for developing hypertensive disorders than women underwent amniocentesis.</t>
  </si>
  <si>
    <t>Int J Prev Med</t>
  </si>
  <si>
    <t>30220946</t>
  </si>
  <si>
    <t>Vick EJ</t>
  </si>
  <si>
    <t>Age-Related Chromosomal Aberrations in Patients with Diffuse Large B-Cell Lymphoma: An In Silico Approach.</t>
  </si>
  <si>
    <t>BACKGROUND: In diffuse large B-cell lymphoma (DLBCL), chromosomal aberrations are known to increase with advancing age. Our study aims to determine if there are other genetic aberrations associated with DLBCL based on age. METHODS: Using the Mitelman Database of Genetic Aberrations, we were able to find 749 cases of DLBCL with genomic aberrations with a median age of 62 years. Patients with DLBCL chromosomal aberration analysis results were divided into four groups based on age (0 - 30, 31 - 50, 51 - 70, &gt; 71 years) and examined by chi-square analysis and Mantel-Cox for survival analysis. RESULTS: Ten aberrations were found to be significant with a particular age range: t(2;3), trisomy 19p13, trisomy 18q21, trisomy 3, trisomy 7, trisomy 14, trisomy 16, trisomy 18, monosomy 3 and monosomy 11, and survival ranged from 7 to 25 months. CONCLUSION: This suggests that patients with DLBCL are likely to accumulate specific translocations depending on their age at the onset of DLBCL.</t>
  </si>
  <si>
    <t>World J Oncol</t>
  </si>
  <si>
    <t>28817202</t>
  </si>
  <si>
    <t>Morikawa M</t>
  </si>
  <si>
    <t>Perinatal mortality in Japanese women diagnosed with gestational diabetes mellitus and diabetes mellitus.</t>
  </si>
  <si>
    <t>AIMS: The objective of this study was to determine how many pregnant Japanese women with diabetes mellitus (DM)/gestational diabetes mellitus (GDM) experience perinatal mortality in the presence of fetal anomalies. METHODS: Our investigation included data from 205 secondary/tertiary obstetric facilities located widely in Japan. The Japan Ministry of Health, Labour and Welfare Vital Statistics of Japan was used for comparison. RESULTS: Of 237 941 women giving birth at 205 hospitals, 1796 (0.8%) and 13 037 (5.5%) had DM and GDM, respectively. The perinatal mortality rates (per 1000 births) were 10.6 (19/1796) for women with DM, 5.2 (68/13037) for women with GDM, and 3.7 (7612/2039504) for the general Japanese population. Detailed information was available for 63 (72%) of the 87 perinatal deaths occurring in women with diabetes including DM and GDM; fetal anomalies were associated with 40% (25/63) of perinatal deaths, exceeding 16% (1211/7612) in the general Japanese population (P &lt; 0.0001). The leading four fetal anomalies associated with perinatal mortality in women with diabetes were fetal trisomy (6 cases: 1 of trisomy-13 and 5 of trisomy-18), non-immune hydrops fetalis (5 cases), cardiac deformities (3 cases) and holoprosencephaly (2 cases). CONCLUSIONS: Perinatal mortality was more likely to occur in women with glucose intolerance. In the Japanese infants that succumbed to perinatal mortality, fetal anomaly was more prevalent in those born to women with a glucose intolerance than in those born to the general population.</t>
  </si>
  <si>
    <t>J Obstet Gynaecol Res</t>
  </si>
  <si>
    <t>28970731</t>
  </si>
  <si>
    <t>Management of gastric mucosa-associated lymphoid tissue lymphoma in patients with extra copies of the MALT1 gene.</t>
  </si>
  <si>
    <t>AIM: To identify the clinical features of gastric mucosa-associated lymphoid tissue (MALT) lymphoma with extra copies of MALT1. METHODS: This is a multi-centered, retrospective study. We reviewed 146 patients with MALT lymphoma in the stomach who underwent fluorescence in situ hybridization analysis for t(11;18) translocation. Patients were subdivided into patients without t(11;18) translocation or extra copies of MALT1 (Group A, n = 88), patients with t(11;18) translocation (Group B, n = 27), and patients with extra copies of MALT1 (Group C, n = 31). The clinical background, treatment, and outcomes of each group were investigated. RESULTS: Groups A and C showed slight female predominance, whereas Group B showed slight male predominance. Mean ages and clinical stages at lymphoma diagnosis were not different between groups. Complete response was obtained in 61 patients in Group A (69.3%), 22 in Group B (81.5%), and 21 in Group C (67.7%). Helicobacter pylori (H. pylori) eradication alone resulted in complete remission in 44 patients in Group A and 13 in Group C. In Group B, 14 patients underwent radiotherapy alone, which resulted in lymphoma disappearance. Although the difference was not statistically significant, event-free survival in Group C tended to be inferior to that in Group A (P = 0.10). CONCLUSION: Patients with t(11;18) translocation should be treated differently from others. Patients with extra copies of MALT1 could be initially treated with H. pylori eradication, similar to patients without t(11;18) translocation or extra copies of MALT1.</t>
  </si>
  <si>
    <t>World J Gastroenterol</t>
  </si>
  <si>
    <t>26097020</t>
  </si>
  <si>
    <t>Nair DB</t>
  </si>
  <si>
    <t>Unusual trend in the prevalence of trisomy 13 in mothers aged 35 and older: A population based study of national congenital anomaly data.</t>
  </si>
  <si>
    <t>BACKGROUND: Trisomy 13 is one of the three autosomal trisomies compatible with viability. It is associated with structural anomalies, learning disability and poor survival. Advanced maternal age is the most frequently suggested risk factor. This is a population based register study to investigate the temporal trends of trisomy 13. METHODS: Chromosomal trisomies were reviewed by the Welsh Congenital Anomaly Register using data from 1998-2012. All pregnancy outcomes were included. Prevalence rates and trends for all cases and for cases with mothers aged below 35 years and those aged 35 years and older were plotted for trisomy 13, 18 and 21. Possible risk factors contributing to the trend in older mothers were compared in the early and late period of the study. RESULTS: There were 124 cases of trisomy 13 over the 15 year period with 55 mothers aged 35 years and older. Overall prevalence was 2.5 per 10,000 total births. A significant declining trend in the prevalence of trisomy 13 in mothers aged 35 and older (χ(2) trend = 4.98, p=0.026) was noted. Rates for younger mothers were lower and remained stable. Prevalence of trisomy 18 and 21 in older mothers remained stable. CONCLUSION: The unexpected declining trend in trisomy 13 in older mothers could not be explained by the risk factors examined in this study. There have been no other reports of trends in the prevalence of trisomy 13 in older mothers in recent years. There is further need for surveillance of trends in future and in other populations.</t>
  </si>
  <si>
    <t>26452269</t>
  </si>
  <si>
    <t>Diogo R</t>
  </si>
  <si>
    <t>Anatomical Network Comparison of Human Upper and Lower, Newborn and Adult, and Normal and Abnormal Limbs, with Notes on Development, Pathology and Limb Serial Homology vs. Homoplasy.</t>
  </si>
  <si>
    <t>How do the various anatomical parts (modules) of the animal body evolve into very different integrated forms (integration) yet still function properly without decreasing the individual's survival? This long-standing question remains unanswered for multiple reasons, including lack of consensus about conceptual definitions and approaches, as well as a reasonable bias toward the study of hard tissues over soft tissues. A major difficulty concerns the non-trivial technical hurdles of addressing this problem, specifically the lack of quantitative tools to quantify and compare variation across multiple disparate anatomical parts and tissue types. In this paper we apply for the first time a powerful new quantitative tool, Anatomical Network Analysis (AnNA), to examine and compare in detail the musculoskeletal modularity and integration of normal and abnormal human upper and lower limbs. In contrast to other morphological methods, the strength of AnNA is that it allows efficient and direct empirical comparisons among body parts with even vastly different architectures (e.g. upper and lower limbs) and diverse or complex tissue composition (e.g. bones, cartilages and muscles), by quantifying the spatial organization of these parts-their topological patterns relative to each other-using tools borrowed from network theory. Our results reveal similarities between the skeletal networks of the normal newborn/adult upper limb vs. lower limb, with exception to the shoulder vs. pelvis. However, when muscles are included, the overall musculoskeletal network organization of the upper limb is strikingly different from that of the lower limb, particularly that of the more proximal structures of each limb. Importantly, the obtained data provide further evidence to be added to the vast amount of paleontological, gross anatomical, developmental, molecular and embryological data recently obtained that contradicts the long-standing dogma that the upper and lower limbs are serial homologues. In addition, the AnNA of the limbs of a trisomy 18 human fetus strongly supports Pere Alberch's ill-named "logic of monsters" hypothesis, and contradicts the commonly accepted idea that birth defects often lead to lower integration (i.e. more parcellation) of anatomical structures.</t>
  </si>
  <si>
    <t>PLoS One</t>
  </si>
  <si>
    <t>23065509</t>
  </si>
  <si>
    <t>Nguyen-Khac F</t>
  </si>
  <si>
    <t>Chromosomal aberrations and their prognostic value in a series of 174 untreated patients with Waldenström's macroglobulinemia.</t>
  </si>
  <si>
    <t>Waldenström's macroglobulinemia is a disease of mature B cells, the genetic basis of which is poorly understood. Few recurrent chromosomal abnormalities have been reported, and their prognostic value is not known. We conducted a prospective cytogenetic study of Waldenström's macroglobulinemia and examined the prognostic value of chromosomal aberrations in an international randomized trial. The main aberrations were 6q deletions (30%), trisomy 18 (15%), 13q deletions (13%), 17p (TP53) deletions (8%), trisomy 4 (8%), and 11q (ATM) deletions (7%). There was a significant association between trisomy of chromosome 4 and trisomy of chromosome 18. Translocations involving the IGH genes were rare (&lt;5%). Deletion of 6q and 11q, and trisomy 4, were significantly associated with adverse clinical and biological parameters. Patients with TP53 deletion had short progression-free survival and short disease-free survival. Although rare (&lt;5%), trisomy 12 was associated with short progression-free survival. In conclusion, the cytogenetic profile of Waldenström's macroglobulinemia appears to differ from that of other B-cell lymphomas. Chromosomal abnormalities may help with diagnosis and prognostication, in conjunction with other clinical and biological characteristics.</t>
  </si>
  <si>
    <t>Haematologica</t>
  </si>
  <si>
    <t>Journal Article; Randomized Controlled Trial</t>
  </si>
  <si>
    <t>23401811</t>
  </si>
  <si>
    <t>Lévy J</t>
  </si>
  <si>
    <t>Prenatal diagnosis of bilateral ectrodactyly and radial agenesis associated with trisomy 10 mosaicism.</t>
  </si>
  <si>
    <t>Ectrodactyly or split hand and foot malformations (SHFMs) are rare malformations of the limbs, characterized by median clefts of the hands and feet, syndactyly, and aplasia and/or hypoplasia of the phalanges. They represent a clinically and genetically heterogeneous disorder, with both sporadic and familial cases. Most of the genomic rearrangements identified to date in some forms of SHFM are autosomal dominant traits, involving various chromosome regions. Bilateral radial ray defects comprise also a large heterogenous group of disorders, including trisomy 18, Fanconi anemia, and thrombocytopenia-absent-radius syndrome, not commonly associated with ectrodactyly. The present paper describes a case of ectrodactyly associated with bilateral radial ray defects, diagnosed in the first trimester of pregnancy, in a fetus affected by trisomy 10. Only four cases of sporadic and isolated ectrodactyly, diagnosed by ultrasonography between 14 and 22 weeks' gestation, have been reported. To our knowledge, the present case is the first report of mosaic trisomy 10 associated with SHFM and radial aplasia. Trisomy 10 is a rare lethal chromosomal abnormality, most frequently found in abortion products. Only six liveborn mosaic trisomy 10 infants, with severe malformations, dead in early infancy, have been reported. A severe clinical syndrome can be defined, comprising ear abnormalities, cleft lip/palate, malformations of eyes, heart, and kidneys, and deformity of hands and feet and most often associated with death neonatally or in early infancy.</t>
  </si>
  <si>
    <t>Case Rep Genet</t>
  </si>
  <si>
    <t>24220305</t>
  </si>
  <si>
    <t>Kim S</t>
  </si>
  <si>
    <t>Clinical significance of cytogenetic aberrations in bone marrow of patients with diffuse large B-cell lymphoma: prognostic significance and relevance to histologic involvement.</t>
  </si>
  <si>
    <t>BACKGROUND: Although knowledge of the genetics of diffuse large B-cell lymphoma (DLBCL) has been increasing, little is known about the characteristics and prognostic significance of cytogenetic abnormalities and the clinical utility of cytogenetic studies performed on bone marrow (BM) specimens. To investigate the significance of isolated cytogenetic aberrations in the absence of histologic BM involvement, we assessed the implication of cytogenetic staging and prognostic stratification by a retrospective multicenter analysis of newly diagnosed DLBCL patients. METHODS: We analyzed cytogenetic and clinical data from 1585 DLBCL patients whose BM aspirates had been subjected to conventional karyotyping for staging. If available, interphase fluorescence in situ hybridization (FISH) data were also collected from patients. RESULTS: Histologic BM involvement were found in 259/1585 (16.3%) patients and chromosomal abnormalities were detected in 192 (12.1%) patients (54 patients with single abnormalities and 138 patients with 2 or more abnormalities). Isolated cytogenetic aberrations (2 or more abnormalities) without histologic involvement were found in 21 patients (1.3%). Two or more cytogenetic abnormalities were associated with inferior overall survival (OS) compared with a normal karyotype or single abnormality in both patients with histologic BM involvement (5-year OS, 16.5% vs. 52.7%; P &lt; 0.001) and those without BM involvement (31.8% vs. 66.5%; P &lt; 0.001). This result demonstrated that BM cytogenetic results have a significant prognostic impact that is independent of BM histology. The following abnormalities were most frequently observed: rearrangements involving 14q32, 19q13, 19p13, 1p, 3q27, and 8q24; del(6q); dup(1q); and trisomy 18. In univariate analysis, several specific abnormalities including abnormalities at 16q22-q24, 6p21-p25, 12q22-q24, and -17 were associated with poor prognosis. Multivariate analyses performed for patients who had either chromosomal abnormalities or histologic BM involvement, revealed IPI high risk, = 2 cytogenetic abnormalities, and several specific chromosomal abnormalities, including abnormalities at 19p13, 12q22-q24, 8q24, and 19q13 were significantly associated with a worse prognosis. CONCLUSIONS: We suggest that isolated cytogenetic aberrations can be regarded as BM involvement and cytogenetic evaluation of BM improves staging accuracy along with prognostic information for DLBCL patients.</t>
  </si>
  <si>
    <t>J Hematol Oncol</t>
  </si>
  <si>
    <t>22619094</t>
  </si>
  <si>
    <t>López C</t>
  </si>
  <si>
    <t>Different distribution of NOTCH1 mutations in chronic lymphocytic leukemia with isolated trisomy 12 or associated with other chromosomal alterations.</t>
  </si>
  <si>
    <t>Chronic lymphocytic leukemia (CLL) is the most common leukemia among adults in Western countries. Chromosomal abnormalities commonly found using conventional cytogenetics and FISH are del(11)(q22-23), trisomy 12, del(13)(q14), and del(17)(p13). Trisomy 12 is the most frequent numerical abnormality in CLL. It can appear isolated or associated with other chromosomal aberrations, including t(14;18)(q32;q21) and trisomy 18. The aim of this study was to determine whether CLL patients with isolated trisomy 12 or associated with other chromosomal alterations have different clinico-pathological features, including a different distribution NOTCH1 mutation. Patients were classified into four groups: Group 1, isolated trisomy 12 (n=14); Group 2, trisomy 12 plus trisomy 18 (n=4); Group 3, trisomy 12 plus t(14;18) (n=8); and Group 4: patients with trisomy 12 plus other abnormalities not involving BCL2 (n=28). The Binet stage and expression of ZAP70 were significantly different among cytogenetic groups. NOTCH1 mutations were detected in 6/12 (50%) patients from Group 1, 4/25 (16%) patients from Group 4, and in no patient from groups 2 and 3 (P=0.020). Patients in Group 2 had a more rapid disease progression (median Treatment-free Survival 2 months) as against patients from Groups 1 (50 months), 3 (69 months), or 4 (68 months; P=0.001). These findings indicate that the distribution of NOTCH1 mutations in CLL with trisomy 12 is heterogeneous and that the presence of additional chromosomal abnormalities such as trisomy 18 could change the prognosis of these patients.</t>
  </si>
  <si>
    <t>Genes Chromosomes Cancer</t>
  </si>
  <si>
    <t>20737498</t>
  </si>
  <si>
    <t>Troch M</t>
  </si>
  <si>
    <t>Clinicopathological aspects of mucosa-associated lymphoid tissue (MALT) lymphoma of the parotid gland: a retrospective single-center analysis of 28 cases.</t>
  </si>
  <si>
    <t>BACKGROUND: In contrast to its gastric counterpart, mucosa-associated lymphoid tissue (MALT) lymphoma of the parotid gland has not been studied extensively. We analyzed the clinicopathological features and the clinical course of all patients with parotid gland MALT lymphoma diagnosed and treated at our institution. METHODS: Patient characteristics including an underlying autoimmune disease, disease stage, genetic aberrations, treatment, and clinical course were assessed and evaluated. Twenty-eight patients (19 women, 9 men) were identified; median age at diagnosis was 49 years (interquartile range [IQR], 40-56), and 18 patients (64%) had an underlying autoimmune disease. Eleven had stage IE, 7 patients had stage IIE, and 10 had advanced disease (stage IV). RESULTS: Genetic aberrations were detected in 9 of 20 patients; 5 patients had trisomy 3, 2 patients had a t(11;18)(q21;21) translocation, 1 had trisomy 3 and 18, and 1 patient had a t(14;18)(q32;q21) translocation plus trisomy 18. After a median follow-up time of 62 months (IQR, 32-98 months), 24 patients (86%) are alive. Fifteen patients are free from lymphoma, whereas 13 patients (46%) have had a relapse. CONCLUSION: Our data suggest that MALT lymphoma of the parotid gland is often associated with autoimmune diseases and that trisomy 3 is the most common genetic feature of this disease. The high rate of relapse warrants further study on optimal therapy of such patients.</t>
  </si>
  <si>
    <t>Head Neck</t>
  </si>
  <si>
    <t>21830263</t>
  </si>
  <si>
    <t>Schnitzler F</t>
  </si>
  <si>
    <t>Outcome of pregnancy in women with inflammatory bowel disease treated with antitumor necrosis factor therapy.</t>
  </si>
  <si>
    <t>BACKGROUND: Infliximab (IFX) and adalimumab (ADA) are attractive treatment options in patients with inflammatory bowel disease (IBD) also during pregnancy but there is still limited data on the benefit/risk profile of IFX and ADA during pregnancy. METHODS: This observational study assessed pregnancy outcomes in 212 women with IBD under antitumor necrosis factor alpha (TNF) treatment at our IBD unit. Pregnancy outcomes in 42 pregnancies with direct exposure to anti-TNF treatment (35 IFX, 7 ADA) were compared with that in 23 pregnancies prior to IBD diagnosis, 78 pregnancies before start of IFX, 53 pregnancies with indirect exposure to IFX, and 56 matched pregnancies in healthy women. RESULTS: Thirty-two of the 42 pregnancies ended in live births with a median gestational age of 38 weeks (interquartile range [IQR] 37-39). There were seven premature deliveries, six children had low birth weight, and there was one stillbirth. One boy weighed 1640 g delivered at week 33, died at age of 13 days because of necrotizing enterocolitis. A total of eight abortions (one patient wish) occurred in seven women. Trisomy 18 was diagnosed in one fetus of a mother with CD at age 37 under ADA treatment (40 mg weekly) and pregnancy was terminated. Pregnancy outcomes after direct exposure to anti-TNF treatment were not different from those in pregnancies before anti-TNF treatment or with indirect exposure to anti-TNF treatment but outcomes were worse than in pregnancies before IBD diagnosis. CONCLUSIONS: Direct exposure to anti-TNF treatment during pregnancy was not related to a higher incidence of adverse pregnancy outcomes than IBD overall.</t>
  </si>
  <si>
    <t>Inflamm Bowel Dis</t>
  </si>
  <si>
    <t>20077527</t>
  </si>
  <si>
    <t>Watkins AJ</t>
  </si>
  <si>
    <t>Splenic marginal zone lymphoma: characterization of 7q deletion and its value in diagnosis.</t>
  </si>
  <si>
    <t>The diagnosis of splenic marginal zone lymphoma (SMZL) is frequently a challenge, due to its lack of specific histological features and immunophenotypic markers, and the existence of other poorly characterized splenic lymphomas defying classification. Moreover, the clinical outcome of SMZL is variable, with 30% of cases pursuing an aggressive clinical course, the prediction of which remains problematic. Thus, there is a real need for biomarkers in the diagnosis and prognostication of SMZL. To search for genetic markers, we comprehensively investigated the genomic profile, TP53 abnormalities, and immunoglobulin heavy gene (IGH) mutation in a large cohort of SMZLs. 1 Mb resolution array comparative genomic hybridization (aCGH) on 25 SMZLs identified 7q32 deletion (44%) as the most frequent copy number change, followed by gains of 3q (32%), 8q (20%), 9q34 (20%), 12q23-24 (8%), and chromosome 18 (12%), and losses of 6q (16%), 8p (12%), and 17p (8%). High-resolution chromosome 7 tile-path aCGH on 17 SMZLs with 7q32 deletion identified by 1 Mb aCGH or interphase FISH screening mapped the minimal common deletion to a 3 Mb region at 7q32.1-32.2. Although it is not yet possible to identify the genes targeted by the deletion, interphase FISH screening showed that the deletion was seen in SMZL (19/56 = 34%) and splenic B-cell lymphoma/leukaemia unclassifiable (3/9 = 33%), but not in 39 cases of other splenic lymphomas including chronic lymphocytic leukaemia (n = 14), hairy cell leukaemia (4), mantle cell lymphoma (12), follicular lymphoma (6), and others. In SMZL, 7q32 deletion was inversely correlated with trisomy 18, but not associated with other copy number changes, TP53 abnormalities, or IGH mutation status. None of the genetic parameters examined showed significant and independent association with overall or event-free survival. In conclusion, 7q32 deletion is a characteristic feature of SMZL, albeit seen in isolated cases of splenic B-cell lymphoma/leukaemia unclassifiable, and its detection may help the differential diagnosis of splenic B-cell lymphomas.</t>
  </si>
  <si>
    <t>J Pathol</t>
  </si>
  <si>
    <t>19282247</t>
  </si>
  <si>
    <t>Bottomley C</t>
  </si>
  <si>
    <t>Dating and growth in the first trimester.</t>
  </si>
  <si>
    <t>Measurement of embryonic or foetal size using the greatest length of the embryo or foetal crown rump length can be used to accurately determine the gestational age of a normal first trimester pregnancy to within three to five days. Transvaginal ultrasound scan can be used to measure the size of an embryo and gestation sac earlier than transabdominal ultrasound. The original Robinson curve used for dating pregnancies is still valid in most cases. Ultrasound dating in the first trimester is now recommended for all women with spontaneous pregnancies, even those with certain menstrual dates. First trimester growth in normal pregnancy is not uniform and is influenced by both maternal and foetal factors. Early foetal growth restriction is demonstrated in many pregnancies that subsequently end in first trimester miscarriage and is also demonstrated in fetuses with triploidy, trisomy 18 and possibly trisomy 13. Pregnancies which are small at the 11-14 week ultrasound scan appear to be at risk of later intrauterine growth restriction, preeclampsia and preterm delivery. Cross-sectional and serial measurement of foetal growth in the first trimester may be helpful in predicting both miscarriage and adverse late pregnancy outcomes.</t>
  </si>
  <si>
    <t>Best Pract Res Clin Obstet Gynaecol</t>
  </si>
  <si>
    <t>18334510</t>
  </si>
  <si>
    <t>Chronic autoimmune thyroiditis (Hashimoto's thyroiditis) in patients with MALT lymphoma.</t>
  </si>
  <si>
    <t>BACKGROUND: Autoimmune diseases have been implicated in the genesis of MALT lymphoma of various localizations. The development of thyroidal MALT lymphoma has been described as an adverse event in patients suffering from long-standing chronic autoimmune thyroiditis (CAT, Hashimoto's thyroiditis). The percentage and possible association between CAT and extrathyroidal MALT lymphoma, however, have not been assessed so far. PATIENTS AND METHODS: A retrospective analysis of 80 patients with MALT lymphoma diagnosed and treated at our institution identified a total of 13 patients (16%) with MALT lymphoma suffering from an underlying CAT. Patient characteristics including site of disease, stage, genetic changes and clinical course were assessed and evaluated. RESULTS: In total, 10 patients were female and 3 male, with the median age being 57 years (range: 31-80). Four patients suffered from thyroidal lymphoma and nine patients had extrathyroidal lymphoma (four gastric, two orbital, one small intestinal and two salivary gland lymphomas). Three patients had a long-standing history of CAT at diagnosis of MALT lymphoma, while CAT was discovered during staging and clinical work-up of MALT lymphoma in the remaining 10 patients. All 13 patients had localized disease, i.e. stage I or II. Only one of the four patients with gastric MALT lymphoma responded to antibiotic treatment against Helicobacter pylori infection. Genetic aberrations were detected in four patients, two of whom had a t(11;18)(q21;q21) translocation, one patient had trisomies 3 and 18 and one had trisomy 18. CONCLUSION: Our findings suggest that CAT is found in patients with not only thyroidal but also nonthyroidal MALT lymphoma. While the nature of our data does not allow for delineation of a direct association between CAT and development of extrathyroidal MALT lymphoma, further prospective studies on this issue are warranted.</t>
  </si>
  <si>
    <t>Ann Oncol</t>
  </si>
  <si>
    <t>17525089</t>
  </si>
  <si>
    <t>Nakamura S</t>
  </si>
  <si>
    <t>Clinical impact of genetic aberrations in gastric MALT lymphoma: a comprehensive analysis using interphase fluorescence in situ hybridisation.</t>
  </si>
  <si>
    <t>BACKGROUND AND AIMS: There is a need for genetic biomarkers to guide prognosis and management of gastric mucosa-associated lymphoid tissue (MALT) lymphomas. We assessed the incidence and clinical significance of the MALT lymphoma-associated genetic abnormalities t(11;18)/API2-MALT1, t(1;14)/BCL10-IGH, t(14;18)/IGH-MALT1, t(3;14)/FOXP1-IGH, and extra copies of MALT1 and FOXP1 in gastric MALT lymphomas from Japan. METHODS: The presence of translocations and copy number changes involving MALT1, IGH and FOXP1 were assessed in 90 cases of gastric MALT lymphoma using interphase fluorescence in situ hybridisation (FISH). In cases carrying a MALT1 translocation, FISH for API2-MALT1 was performed, whereas in those carrying an IGH translocation, FISH was performed for BCL10, BCL6, BCL2, c-MYC and/or CCND1. RESULTS: t(11;18)/API2-MALT1 was detected in 18 of 87 (21%) cases and was significantly associated with Helicobacter pylori-negativity, resistance to H pylori eradication and Bcl10 nuclear expression. Four of 68 (6%) cases carried a translocation involving IGH and FOXP1 (n = 1), BCL2 (n = 1) or an unknown partner (n = 2). Neither t(1;14)/BCL10-IGH nor t(14;18)/IGH-MALT1 was detected. Extra copies of MALT1 and FOXP1 were detected in 18 of 71 (25%) cases and 10 of 59 (17%) cases, respectively. The presence of extra copies of MALT1 was significantly associated with progression or relapse of lymphoma, and was an independent adverse prognostic factor for event-free survival as determined by multivariate analysis. CONCLUSIONS: t(11;18)/API2-MALT1 is frequent, whereas IGH-involved translocations are rare in gastric MALT lymphoma in Japan. The presence of extra copies of MALT1, often suggestive of partial or complete trisomy 18, is a frequent genetic aberration in gastric MALT lymphoma, which appears to predict adverse clinical behaviour.</t>
  </si>
  <si>
    <t>Gut</t>
  </si>
  <si>
    <t>14713414</t>
  </si>
  <si>
    <t>Pinton A</t>
  </si>
  <si>
    <t>Estimation of the proportion of genetically unbalanced spermatozoa in the semen of boars carrying chromosomal rearrangements using FISH on sperm nuclei.</t>
  </si>
  <si>
    <t>Many chromosomal rearrangements are detected each year in France on young boars candidates for reproduction. The possible use of these animals requires a good knowledge of the potential effect of the rearrangements on the prolificacy of their mates. This effect can be estimated by an accurate determination of the rate of unbalanced spermatozoa in the semen of boars which carry the rearrangements. Indeed, these spermatozoa exhibiting normal fertilizing ability are responsible for an early embryonic mortality, and then, for a decrease of the litter sizes. The "spermFISH" technique, i.e. fluorescent in situ hybridization on decondensed sperm heads, has been used on several occasions in Man, in this perspective. In livestock species, this method was formerly used mainly for semen sexing purposes. We used it, for the first time, to estimate the rates of imbalance in the semen of four boars carrying chromosomal rearrangements: two reciprocal translocations, rcp(3;15)(q27;q13) and rcp(12;14)(q13;q21), as well as two independent cases of trisomy 18 mosaicism. The rates of unbalanced gametes were relatively high for the two reciprocal translocations (47.83% and 24.33%, respectively). These values differed from the apparent effects of the rearrangements estimated using a limited number of litters: a decrease in prolificacy of 23% (estimation obtained using the results of 6 litters) and 39% (57 litters), respectively for the 3/15 and 12/14 translocations. The imbalance rates were much lower for the trisomy mosaics (0.58% and 1.13%), suggesting a very moderate effect of this special kind of chromosomal rearrangement.</t>
  </si>
  <si>
    <t>Genet Sel Evol</t>
  </si>
  <si>
    <t>15047736</t>
  </si>
  <si>
    <t>Krugmann J</t>
  </si>
  <si>
    <t>Unfavourable prognosis of patients with trisomy 18q21 detected by fluorescence in situ hybridisation in t(11;18) negative, surgically resected, gastrointestinal B cell lymphomas.</t>
  </si>
  <si>
    <t>BACKGROUND: The most frequent cytogenetic alteration in gastrointestinal (GI) B cell lymphoma (BCL) is t(11;18)(q21;q21). GI B cell non-Hodgkin lymphomas lacking this translocation vary in their biology and clinical outcome. The t(11;18) negative subgroup shows increased numerical changes of chromosome 18, although its clinical relevance remains unknown. METHODS: Thirty surgically resected primary GI BCLs were examined-11 low grade marginal zone mucosa associated lymphoid tissue (MALT) lymphomas, four marginal zone lymphomas with diffuse large BCL (DLBCL), and 15 de novo DLBCLs. Chromosome 18 aberrations were examined using interphase fluorescence in situ hybridisation. Trisomy 18 was studied applying a centromere 18 probe and a dual colour probe for the MALT1 gene at 18q21. RESULTS: Using the MALT1 probe, only one marginal zone MALT lymphoma had a break apart pattern, indicating t(11;18) or variants. In the GI BCLs lacking MALT1 breaks, trisomy 18q21 was seen in seven patients (four with complete trisomy 18 and three with partial trisomy of 18q21). Trisomy 18q21 was found in two of 10 low grade MALT lymphomas and five of 19 GI BCLs with large cell component. Six of 17 patients with trisomy 18q21 presented with &gt;/= stage II and one of 12 with stage I disease. Trisomy 18q21 was associated with significantly shorter disease specific survival in the whole group and GI BCLs with large cell component, but not in the low grade group. CONCLUSIONS: Trisomy 18q21, including MALT1, may be associated with advanced tumour stage and may be a predictor of poor outcome in surgically resected primary GI BCLs.</t>
  </si>
  <si>
    <t>J Clin Pathol</t>
  </si>
  <si>
    <t>12831601</t>
  </si>
  <si>
    <t>Modi D</t>
  </si>
  <si>
    <t>Down syndrome: a study of chromosomal mosaicism.</t>
  </si>
  <si>
    <t>Recent data suggest that chromosome mosaicism is a possible mechanism for intrauterine and postnatal survival in cases of trisomy 18 and Turner syndrome (45X). The aim of this study was to evaluate if chromosomal mosaicism is a possible mechanism of survival in Down syndrome (DS) (trisomy 21) individuals. Mosaicism was studied by interphase fluorescence in-situ hybridization (FISH), using a specific probe for chromosome 21 (21q22.13-21q22.2) in 78 cases suspected of DS. To rule out tissue specific mosaicism, buccal cells or amniocytes were analysed in addition to blood in 20 DS cases. Thirty-three per cent of the cases studied by FISH in only peripheral blood were mosaics. In 20 cases of trisomy 21, two tissues were studied and mosaicism was not detected in either of the two tissues in 15 cases. The remaining five cases were mosaics in both the tissues analysed. Clinical comparisons in 17 DS mosaics showed a direct relationship between the percentage of trisomic cells and the degree of phenotypic manifestations. These results suggest that mechanism(s) other than mosaicism may exist for the intrauterine and postnatal survival of DS cases.</t>
  </si>
  <si>
    <t>Reprod Biomed Online</t>
  </si>
  <si>
    <t>10910553</t>
  </si>
  <si>
    <t>Cheng MT</t>
  </si>
  <si>
    <t>Choledochal cyst in infancy: a follow-up study.</t>
  </si>
  <si>
    <t>From January 1980 to February 1997, 19 cases, 8 males and 11 females, of choledochal cyst were diagnosed before one year old. The majority of patients were diagnosed by ultrasonography before 6 months old (15/19; 79%), including two diagnosed prenatally. According to Todani's classification, type Ia was the most common (74%), followed by type Ic (26%). Fourteen patients underwent Roux-en-Y choledocho- or hepatico-jejunostomy and cyst excision, 3 patients underwent Kasai operation, and I patient underwent external biliary drainage only. The remaining one patient with Trisomy 18 anomaly refused operation. Four of the 10 patients in whom liver histologic examinations were performed, had liver cirrhosis. The follow-up period of these patients ranged from 6 months to 9 years, with a mean of 4.1 years. We divided these 19 cases into 2 groups, according to the presence or absence of biliary atresia. In the 7 infants with biliary atresia (37%), all presented with jaundice and alcoholic stool. Two patients died due to delayed presentation and surgery, both had liver cirrhosis. One patient is living with liver cirrhosis. Another patient was lost to follow-up, but frequent cholangitis was noted till 8 months old. The remaining 3 patients are living and well. In the 12 without biliary atresia, 9 patients are living and well. Two patients died, one due to Trisomy 18 anomaly and the other with delayed surgery and liver cirrhosis. One case was lost to follow-up. In summary: 1-) a possibility of the association of biliary atresia in infants with choledochal cyst should be carefully searched and considered as a unique group; 2) ultrasonography is a good diagnostic tool in choledochal cyst during prenatal or infancy period; 3) the mortality cases were characterized by prolonged bile stasis, biliary cirrhosis, delayed surgery, or multiple anomalies; 4) surgery should be performed as early as possible for those with persistent jaundice and light colored stools.</t>
  </si>
  <si>
    <t>Acta Paediatr Taiwan</t>
  </si>
  <si>
    <t>41883941</t>
  </si>
  <si>
    <t>Abolfotouh MA</t>
  </si>
  <si>
    <t>Utility of Non-Invasive Prenatal Test (NIPT) as a Screening Tool for Fetal Aneuploidy in a Family Medicine Setting in Saudi Arabia.</t>
  </si>
  <si>
    <t>BACKGROUND: Chromosome aneuploidy is the most common type of fetal chromosome disorder. This study aims to determine the utility of Non-Invasive Prenatal Test (NIPT) in detecting chromosomal aneuploidy among high-risk Saudi pregnant women. METHODS: This retrospective cohort study examined the charts of all pregnant women who attended the antenatal clinics of the Ministry of National Guard-Health Affairs, King Abdulaziz Medical City, Riyadh, Saudi Arabia, from January 2012 to July 2022, and underwent NIPT testing. Data were collected on obstetric history, NIPT testing, confirmatory invasive testing (amniocentesis/chorionic villus sampling, "CVS"), and pregnancy outcomes. RESULTS: Of all the studied pregnant women (n=958), 46 women had positive NIPT (40 trisomy 21, 4 trisomy 18, and 2 trisomy 13), giving an incidence of 4.8% (95% CI 3.6-6.3%), and a positive predictive value of 100%. Pregnant women &gt;40 years of age showed an 8-fold increased risk of any aneuploidy compared to younger women &lt;30 years of age (OR=8.07, 95% CI 2.35-27.73). Those with fetal ultrasound (US) results of more than 30 weeks of gestation had a 2-fold increased risk compared to those with results of less than 20 weeks of gestation (OR = 2.15, 95% CI 0.93-4.98), and those with abnormal US fetal anatomy had an 88-fold increased risk compared to those with normal US (OR=88.33, 95% CI 36.10-216.16). Both advanced maternal age (OR = 1.14, p &lt; 0.001) and abnormal ultrasound fetal anatomy (OR = 92.45, p &lt; 0.001) were significant predictors of chromosomal aneuploidy. None of the counseled women opted for pregnancy termination. CONCLUSION: The study's finding is a powerful clinical message that strengthens confidence in positive NIPT results at similar referral centers and provides a strong local evidence base for counseling high-risk Saudi women about the implications of positive NIPT results. It provides confirmation that local risk factors align with global patterns.</t>
  </si>
  <si>
    <t>Int J Womens Health</t>
  </si>
  <si>
    <t>E2</t>
  </si>
  <si>
    <t>Rastreamento/diagnóstico pré-natal (acurácia, testes) sem desfecho de sobrevida ou gestacional específico da T18</t>
  </si>
  <si>
    <t>42630859</t>
  </si>
  <si>
    <t>Zhang X</t>
  </si>
  <si>
    <t>Analysis of diagnostic consistency rate and pregnancy outcomes in pregnant women with high-risk NIPT undergoing transabdominal amniocentesis.</t>
  </si>
  <si>
    <t>OBJECTIVE: To explore the diagnostic performance and positive predictive value (PPV) of non-invasive prenatal testing (NIPT) for different high-risk subtypes confirmed by amniocentesis, to analyze pregnancy outcomes, and to identify factors influencing true-positive results, thereby providing evidence for clinical genetic counseling and prenatal decision-making. METHODS: A total of 342 pregnant women with high-risk NIPT findings and receiving subsequent amniocentesis were retrospectively included. Confirmatory diagnosis rates and PPVs were compared among different NIPT subtypes, and pregnancy outcomes were analyzed across groups. Stratified analyses were conducted according to maternal age, gestational age at amniocentesis and clinical indications. Univariate and multivariate logistic regression analyses were performed to identify independent predictors of true-positive NIPT results. RESULTS: Chromosomal abnormalities were confirmed in 218 of 342 enrolled cases (63.7%). PPV varied substantially among NIPT subtypes. Trisomy 21 (T21) had the highest PPV of 68.5%, followed by sex chromosome anomalies and trisomy 18 (T18), while trisomy 13 (T13) and pathogenic copy number variation (CNV) presented lower PPV. Variants of uncertain significance (VUS) accounted for 70.7% of all pathogenic CNV cases. Pregnancy outcomes differed significantly among high-risk NIPT subgroups. The sex chromosome anomaly group had the highest continued pregnancy rate, whereas trisomy 21 cases showed the highest pregnancy termination rate. All subtypes had higher PPV in women aged 35 years and above than in younger counterparts; statistical comparison was not conducted due to small sample size. No significant PPV difference was found among groups with different gestational age groups (P&gt;0.05). Univariate analysis demonstrated that advanced maternal age was correlated with increased PPV. Multivariate logistic regression indicated that NIPT subtype and concurrent abnormal ultrasound soft markers were independent risk factors for true-positive results, while gestational age exerted no independent impact on diagnostic efficiency. The established regression prediction model had moderate discriminative power for true-positive prediction, with an area under the curve (AUC) of 0.695 (P&lt;0.001). CONCLUSION: PPV varies considerably among high-risk NIPT subtypes, and NIPT cannot replace invasive prenatal diagnosis. NIPT subtype classification and abnormal ultrasound soft markers independently affect true-positive results, and advanced maternal age elevates the detection risk of chromosomal anomalies. Stratified genetic counseling should integrate NIPT subtype, maternal age, and ultrasound findings. Early amniocentesis is recommended for high-risk pregnancies with autosomal trisomy, advanced maternal age, or abnormal ultrasound soft markers to facilitate standardized prenatal diagnosis and informed pregnancy decision-making.</t>
  </si>
  <si>
    <t>Am J Transl Res</t>
  </si>
  <si>
    <t>42742533</t>
  </si>
  <si>
    <t>Santoro M</t>
  </si>
  <si>
    <t>Impact of screening programs on the prenatal diagnosis (detection rate) of trisomy 13 and 18 over a 30-year period.</t>
  </si>
  <si>
    <t>ObjectiveTo evaluate the impact of screening policies in Tuscany on the detection of trisomy 13 and trisomy 18 (T13/T18) with respect to time of diagnosis. A secondary aim was to evaluate the prevalence of these aneuploidies and to report the associated malformations.MethodsData were extracted from the population-based Registry of Congenital Anomalies of Tuscany. All confirmed cases of T13/T18 among live births, stillbirths, miscarriages and terminations of pregnancy were included over a 30-year period (1994-2023). The prevalence for both aneuploidies was calculated overall and by age group (&lt;35 years old; ≥ 35 years old). For prenatally diagnosed cases, median gestational age at diagnosis was calculated. The frequencies of the most common associated abnormalities were also calculated.ResultsAbout 529 fetuses were diagnosed with T13/T18, respectively 133 (25.1%) and 396 (74.9%). The prevalence among 10,000 births was 1.67 (95% CI 1.40-1.98) for T13 and 4.98 (95% CI 4.45-5.49) for T18. Prenatal detection rate for T13 increased from 88.2% (95% CI 72.5-96.7) to 100% (95% CI 88.1-100.0). For T18, it increased from 87.5% (95% CI 79.2-93.4) to 100% (95% CI 95.0-100.0). Median gestational age at discovery gradually decreased for both trisomies through the study period, from 17 to 12 weeks. The most common anomalies in T13 were nervous system anomalies (27.8%) and congenital heart defects (9.8%). T18-associated anomalies included congenital heart defects (11.9%) and nervous system anomalies (10.1%).ConclusionThe implementation of screening policies led to an improvement in the rate of detection of T13/18 and a decrease in the median gestational age at diagnosis.</t>
  </si>
  <si>
    <t>39644510</t>
  </si>
  <si>
    <t>Della Valle L</t>
  </si>
  <si>
    <t>Accuracy of cell-free fetal DNA in detecting chromosomal anomalies in women experiencing miscarriage: systematic review and meta-analysis.</t>
  </si>
  <si>
    <t>OBJECTIVE: To report the diagnostic accuracy of cell-free fetal DNA (cfDNA) in detecting fetal chromosomal anomalies in women experiencing miscarriage. METHODS: PubMed, MEDLINE, EMBASE and Cochrane databases were searched from inception to June 2024. The inclusion criteria were women experiencing miscarriage (defined as pregnancy loss before 20 weeks of gestation) who underwent cfDNA screening for trisomies 21, 18 and 13, other autosomal aneuploidies, sex-chromosome aneuploidies and/or copy-number variants (CNVs). The index test was cfDNA screening for each of the chromosomal anomalies listed. The reference standard was cytogenetic analysis of pregnancy tissue. The quality of the studies was assessed using the revised tool for the quality assessment of diagnostic accuracy studies. Summary estimates of sensitivity, specificity, positive and negative likelihood ratios, and diagnostic odds ratio were computed using the hierarchical summary receiver-operating-characteristics model. RESULTS: Seven studies (887 women) were included in the systematic review and meta-analysis. cfDNA had a sensitivity and specificity of 100% (95% CI, 81.5-100%) and 100% (95% CI, 99.1-100%), respectively, for trisomy 21, 100% (95% CI, 54.1-100%) and 100% (95% CI, 99.0-100%), respectively, for trisomy 18, and 88.9% (95% CI, 51.8-99.7%) and 100% (95% CI, 99.1-100%), respectively, for trisomy 13. The respective values for other autosomal trisomies were 75.8% (95% CI, 65.7-84.2%) and 99.4% (95% CI, 97.9-99.9%), while those for CNVs were 60.0% (95% CI, 14.7-94.7%) and 100% (95% CI, 97.4-100%). Failure of cfDNA testing was reported in 7.3% (95% CI, 5.7-9.2%) of cases. CONCLUSION: cfDNA has high diagnostic accuracy in detecting fetal trisomies 21, 18 and 13 in women experiencing miscarriage, while its accuracy for other autosomal aneuploidies and CNVs is only moderate. © 2024 International Society of Ultrasound in Obstetrics and Gynecology.</t>
  </si>
  <si>
    <t>39920731</t>
  </si>
  <si>
    <t>Yan X</t>
  </si>
  <si>
    <t>Analysis of prenatal diagnosis and pregnancy outcomes for rare autosomal trisomies detected by non-invasive prenatal testing in 33,079 cases.</t>
  </si>
  <si>
    <t>BACKGROUND: Non-invasive prenatal testing is widely used for screening common fetal aneuploidy disorders such as trisomy 21, trisomy 18, and trisomy 13. However, its ability to detect rare autosomal trisomies has introduced a new layer of complexity and clinical uncertainty. METHODS: A retrospective analysis was conducted on the prenatal diagnostic results and pregnancy outcomes of cases identified as high-risk for rare autosomal trisomies through non-invasive prenatal testing at the reproductive medicine center, Renmin hospital, Hubei university of medicine, from 2015 to 2023. RESULTS: 66 cases identified as high-risk for rare autosomeal trisomies, yielding a detection rate of 0.20% (66/33,079). 7 declined amniocentesis, while the others underwent the procedure. Prenatal diagnostic procedures did not confirm the presence of the corresponding rare autosomal trisomy in any of these cases. Among the 66 cases of rare autosomal trisomies (RATs), 5 cases were lost to follow-up, and 1 case underwent termination of pregnancy (TOP) for personal reasons, leaving 60 cases with valid pregnancy outcomes. Of these 60 valid outcomes, 50 (83.33%) resulted in full-term births, while 10 (16.67%) experienced adverse pregnancy outcomes. CONCLUSION: Prenatal diagnosis for high-risk rare autosomal trisomies typically reveals a normal karyotype with no detectable chromosomal abnormalities, and most cases can achieve full-term pregnancy outcomes. However, adverse pregnancy outcomes such as preterm birth, fetal demise, placental abnormalities, and intrauterine growth restriction are common and should be given clinical attention and consideration.</t>
  </si>
  <si>
    <t>BMC Med Genomics</t>
  </si>
  <si>
    <t>39960922</t>
  </si>
  <si>
    <t>Kuyucu M</t>
  </si>
  <si>
    <t>Consecutive 5-year outcomes of chorionic villus sampling at a tertiary center.</t>
  </si>
  <si>
    <t>This study shares our 5-year experience with chorionic villus sampling (CVS) and analyzes the indications, results, and complications of this procedure. We conducted a retrospective analysis of data from singleton pregnancies that underwent CVS between 2015 and 2020 at the Maternal-Fetal Medicine Unit of Health Science University, Izmir Tepecik Research, and Training Hospital. Maternal demographics, indications, karyotype results, and pregnancy outcomes were recorded. We retrospectively analyzed data from 468 CVS procedures, conducted between 2015 and 2020. The most common indications for CVS were positive screening test results in the first trimester, fetal structural abnormalities, and increased nuchal translucency (NT) observed during ultrasound. Fetal structural abnormalities had the highest detection rate, at 34.5% for chromosomal abnormalities, followed by increased NT and first-trimester screen-positive test results (26.9% and 11.3%), respectively. The culture success rate was 96.3% (451 out of 468). The most prevalent chromosomal abnormalities were numerical, including Trisomy 21 (10.9%), Trisomy 18 (4.2%), and Trisomy 13 (1.9%). Results could not be obtained in 17 patients (3.6%); 12 (2.5%) were due to insufficient samples and culture failure, while 5 (1.06%) were due to maternal contamination. Amniocentesis was required as a secondary sampling in 24 cases (5.1%) and performed in 17 cases (3.6%). This study emphasizes the significance of CVS in prenatal diagnosis and the management of high-risk pregnancies. However, we must be aware of the associated risks and limitations, which include culture success rates, inconclusive results, and the occasional need for secondary sampling.</t>
  </si>
  <si>
    <t>Medicine (Baltimore)</t>
  </si>
  <si>
    <t>40150110</t>
  </si>
  <si>
    <t>Popa AI</t>
  </si>
  <si>
    <t>Ultrasound Screening in the First and Second Trimester of Pregnancy for the Detection of Fetal Cardiac Anomalies in a Low-Risk Population.</t>
  </si>
  <si>
    <t>Background/Objectives: Congenital heart disease (CHD) is the most common birth defect, an important cause of morbidity and mortality, with a reported prevalence of 5-12 per 1000 live births. The aim of our study was to identify the role of fetal morphological ultrasound examination in the first and second trimester of pregnancy in the detection of fetal congenital cardiac anomalies in a low-risk population. Methods: We performed a retrospective study in a tertiary fetal medicine center in Emergency Hospital Craiova, Romania. The longitudinal analysis combined first- and second-trimester screening using improved ultrasound protocols. Our study evaluated 8944 pregnant women with singleton pregnancies in a 6-year period between January 2018 and December 2023. All ultrasound examinations were performed using a standard extended protocol according to the main guidelines' recommendations for the detection of fetal anomalies. Results: In the first trimester of pregnancy, 37 cases with cardiac anomalies were diagnosed. Thirteen of these cases were associated with genetic anomalies (Down syndrome-eight cases, Edwards syndrome-four cases, Turner syndrome-one case). Some of these pregnancies were associated with at least one of the minor ultrasound markers (inverted ductus venosus, abnormal flow in the tricuspid valve, presence of choroid plexus cysts, absent/hypoplastic nasal bone). In the second trimester of pregnancy, 17 cases of cardiac anomalies were diagnosed. From these cases, one was associated with genetic anomalies (DiGeorge Syndrome), and one case developed hydrops and delivered prematurely in the early third trimester. Conclusions: Ultrasound screening for the detection of congenital heart disease is feasible early in pregnancy, but some anomalies would be obvious later in pregnancy. An early diagnosis using an extended ultrasound protocol, genetic testing, and a multidisciplinary evaluation would improve the prognosis and the overall survival rate by delivering in a tertiary center that allows for rapid cardiac surgery in dedicated cases.</t>
  </si>
  <si>
    <t>Diagnostics (Basel)</t>
  </si>
  <si>
    <t>40491497</t>
  </si>
  <si>
    <t>Kunanukulwatana C</t>
  </si>
  <si>
    <t>Effectiveness of Fetal Medicine Foundation's Non-Biochemical Risk Calculation Algorithm in Detection of Common Trisomies Screening at 11-13 weeks of Gestation: 12 Years' Experience in Northern Thailand.</t>
  </si>
  <si>
    <t>PURPOSE: To evaluate the efficacy of first-trimester non-biochemical screening using the Fetal Medicine Foundation (FMF) algorithm in predicting fetal common trisomies (trisomy 21, 18, and 13) in clinical practice. PATIENTS AND METHODS: Between 2011 and 2023, the non-biochemical screening was routinely performed at 11+0-13+6 weeks' gestation in 9591 singleton pregnancies at Maharaj Nakorn Chiang Mai Hospital, Thailand. The individual risks for common fetal trisomies were calculated by combining maternal age, history of common trisomies in a previous pregnancy, nuchal translucency thickness, and fetal heart rate using the official FMF algorithm. Women with risk of ≥1:250 were classified as high risk. The fetal karyotyping results and pregnancy outcomes were reviewed and analyzed. RESULTS: A total of 8491 complete data sets of singleton pregnancies were analyzed. The incidence of common trisomies was 0.5% (46 cases), including 0.3% (28 cases) of trisomy 21, 0.1% (9 cases) of trisomy 18 and 0.1% (9 cases) of trisomy 13. With a cut-off risk of 1:250, FMF algorithm performance for trisomy 21 screening had a sensitivity of 60.7%, specificity of 97.6%, PPV of 7.7%, NPV of 99.9%, and a false positive rate of 2.4%. The performance for detecting all common trisomies demonstrated a sensitivity of 52.2%, specificity of 97.2%, PPV of 9.2%, NPV of 99.7%, and a false positive rate 2.8%. CONCLUSION: The first trimester non-biochemical FMF algorithm is sufficiently effective in predicting common trisomies, particularly trisomy 21. This simple approach can be easily implemented in clinical practice, including healthcare facilities that lack access to maternal blood testing services.</t>
  </si>
  <si>
    <t>40615580</t>
  </si>
  <si>
    <t>Zheng L</t>
  </si>
  <si>
    <t>Comparative performance and health economic analysis of prenatal screening for down syndrome in Fujian province, China.</t>
  </si>
  <si>
    <t>To compare the performance of first-trimester serum screening (FTSS) and non-invasive prenatal testing (NIPT) in detecting fetal chromosomal aneuploidies trisomy 21 (T21) and trisomy 18 (T18), and to evaluate the cost-effectiveness and clinical feasibility of four screening strategies for the prevention of Down syndrome (DS) from a health economics perspective. This retrospective study included 33,559 pregnant women who underwent DS screening at Fujian Maternity and Child Health Hospital between February 25, 2022, and December 29, 2023. Participants were divided into an FTSS group (n = 23,136) and an NIPT group (n = 10,423) based on the type of screening received. All subjects were followed for eight months postpartum to collect pregnancy outcome data. Screening performance was compared between the two groups based on prenatal diagnostic results. Subsequently, four screening strategies were constructed and assessed using cost-effectiveness analysis and NIPT price sensitivity analysis to determine their health-economic value. A comparison of screening performance between the two groups showed that NIPT had significantly higher specificity (99.96%) and positive predictive value (55.56%) than FTSS (specificity: 92.93%, positive predictive value: 0.91%). Meanwhile, the false-positive rate of NIPT (0.04%) was notably lower than that of FTSS (7.07%). Cost-effectiveness analysis of the four strategies indicated that strategy 2 was the most cost-effective, with a cost-effectiveness ratio (CER) of 1,252,400 CNY and an incremental cost-effectiveness ratio (ICER) of -3,626,700 CNY, achieving improved screening outcomes while reducing costs. Sensitivity analysis further demonstrated that even when the screening scale expanded under strategy 4 or when NIPT prices fluctuated between 700 and 2,100 CNY, strategy 2 maintained the lowest CER. NIPT is superior to FTSS in terms of screening efficacy. Based on a health economic evaluation, among the four strategies, Strategy 2 (using NIPT as conditional screening) offers the best cost-effectiveness while improving detection efficacy, making it the optimal strategy recommended in this study.</t>
  </si>
  <si>
    <t>40894389</t>
  </si>
  <si>
    <t>Jahnavi JG</t>
  </si>
  <si>
    <t>A Four-Year Retrospective Study of Amniocentesis in a Tertiary Care Center in South India-Lessons Learnt.</t>
  </si>
  <si>
    <t>Background: Amniocentesis (AC) remains the most commonly performed prenatal invasive diagnostic test. The data available till now have been collected before the era of high-end ultrasound machines, NIPS, and chromosomal microarrays. In selected cases, whole-exome sequencing is also offered prenatally. The evolution of ultrasound, NIPS, and genetic testing has made us revisit this topic. Objective: We aimed to research and revisit AC data regarding the indications, procedures, genetic testing methods, and outcomes. We reinforce the knowledge of AC, offer tips to minimize complications, and help communicate and counsel patients based on the AC data. Methods: It was a retrospective study from October 2019 to March 2023 in a tertiary care fetal medicine center in a university hospital. A total of 321 patients who underwent AC were analyzed. We observed the demographic details, indications, procedure details, and maternal-fetal and neonatal outcomes. Results: During the study period, 321 patients underwent AC. Abnormal ultrasound findings (71%) were the most common indication for AC. Then, 9% (30/321) had abnormal genetic results. Down syndrome was the most common abnormality (14), followed by Edwards syndrome. Then, 47.96% of cases were in age &gt; 35 years. We had three cases of bloody tap, one leak per vagina, and two missed abortions following AC. Then, 58% had live births. Conclusion: AC is a relatively safe procedure, and even with the advent of NIPS, it remains the gold standard prenatal diagnostic genetic testing method. Major structural anomalies and parental chromosomal anomalies are irreplaceable indications of AC. The technique and expertise of health professionals dictate the complication rate of that center. Chromosomal microarray, DNA storage, and whole-exome sequencing have added an extended armamentarium to our discovery of genetic diseases. Maternal and neonatal outcomes after AC are favorable, so do not hesitate to carry out this invasive test when indicated.</t>
  </si>
  <si>
    <t>J Pregnancy</t>
  </si>
  <si>
    <t>41060971</t>
  </si>
  <si>
    <t>Sun X</t>
  </si>
  <si>
    <t>Cell-free DNA screening for trisomies 21, 18, and 13: Clinical application and accuracy evaluation.</t>
  </si>
  <si>
    <t>BACKGROUND: Cell-free DNA (cf-DNA) screening for common trisomies has been increasingly assimilated into prenatal care. In this study, we evaluated the Z-score accuracy and the effectiveness of non-invasive prenatal testing (NIPT) for trisomies 21, 18, and 13 using cf-DNA, and further analyze pregnancy outcomes of NIPT-positive pregnant women. METHODS: This retrospective study analyzed pregnancies that yielded positive NIPT results at Shaoxing Maternity and Child Health Care Hospital between 01/01/2017 and 31/12/2022. Invasive prenatal diagnosis (IPD) confirmed the positive NIPT findings. Logistic regression analysis was applied to correlation analysis of Z-scores and positive predictive value (PPV). Accuracy of Z-score was evaluated through receiver operating characteristic (ROC) curve analysis. Data regarding basic characteristics, prenatal diagnosis results, and pregnancy outcomes were collected. RESULTS: In total,257 high-risk cases of trisomy 21, 18, and 13 were identified. Among these,193 pregnancies underwent invasive prenatal diagnosis (IPD) in our institution, the PPV was 75.44% for T21,45.28% for T18, and 17.86% for T13. A significant association between Z-scores and PPVs were revealed by logistic regression(p &lt; 0.05). The ROC curve analysis revealed optimal cutoff values of 7.231 for T21, 5.245 for T18, and 7.504 for T13. The corresponding areas under the curve (AUC) were 0.954, 0.941, and 0.924, respectively. Moreover, the PPV was statistically higher in the very-high-risk (VHR) group than in the general high-risk (GHR) group. In terms of pregnancy outcomes,98.51% (132/134) of pregnancies identified with chromosomal abnormalities were terminated, whereas 98.89% (89/90) of those diagnosed with false-positive results were carried to term. CONCLUSIONS: The study demonstrates that the Z-score is valuable in accurately assessing NIPT results. Consequently, clinicians can provide more efficient prenatal genetic counseling by utilizing a specific reference value for the Z-score.</t>
  </si>
  <si>
    <t>41191637</t>
  </si>
  <si>
    <t>van Prooyen Schuurman L</t>
  </si>
  <si>
    <t>Clinical and economic impact of genome-wide non-invasive prenatal testing (NIPT) as a first-tier screening method compared to targeted NIPT and first-trimester combined testing: A modeling study.</t>
  </si>
  <si>
    <t>BACKGROUND: Evidence on the diagnostic yield of genome-wide non-invasive prenatal testing (GW-NIPT) is growing, but its comparative clinical and economic impact as a first-tier screening strategy for fetal chromosomal abnormalities remains unassessed. We compared GW-NIPT with targeted NIPT and first-trimester combined testing (FCT), in a Dutch setting where all pregnancies also undergo a routine second-trimester anomaly ultrasound scan (scan), to guide policymakers on optimal prenatal screening approaches. METHODS AND FINDINGS: We developed a decision-analytic model for a cohort of 175,000 pregnancies, reflecting the Dutch obstetric population. All strategies screened for common trisomies 21 (Down syndrome), 18 (Edwards syndrome), and 13 (Patau syndrome); GW-NIPT additionally considered rare autosomal trisomies and structural aberrations. Model inputs were based on the TRIDENT-2 study data and historical FCT data. Base-case unit costs were €166 (scan), €191 (FCT), and €350 (NIPT). Sensitivity analyses were conducted to account for uncertainties in model parameters and potential country-specific variations. Outcomes included total screening costs, number of fetal chromosomal abnormalities diagnosed, number of invasive procedures, and expected procedure-related euploid fetal losses. We summarized economic results as cost per diagnosed case and incremental cost per additional diagnosis across strategies. GW-NIPT yielded the highest number of diagnoses (545) versus targeted NIPT (514) and FCT (452), and the lowest cost per diagnosed case (€152,785), compared with targeted NIPT (€159,852) and FCT (€170,050). Invasive tests required per diagnosis were lower for GW-NIPT and targeted NIPT (both 6) than for FCT (13), implying a lower risk of procedure-related miscarriage (iatrogenic miscarriage). Sensitivity analyses indicated that test uptake and unit costs strongly influenced outcomes. GW-NIPT remained the most favorable in terms of cost per diagnosis for NIPT prices up to €467. Key limitations include the use of a decision-analytic model without quality-of-life outcomes and the lack of comparisons against explicit cost-effectiveness thresholds. Therefore, the results should be interpreted as relative clinical and economic comparisons rather than cost-effectiveness judgements. CONCLUSIONS: Among the strategies evaluated, first-tier GW-NIPT had the greatest diagnostic yield and the lowest cost per diagnosis, improving detection rates and supporting reproductive autonomy at lower costs. Implementation decisions should also consider local pricing, laboratory capacity, and counseling resources. Future research that links screening outcomes to long-term health consequences (e.g., quality-adjusted life years or life-years), healthcare utilization, costs, and psychosocial outcomes will enable formal cost-effectiveness evaluations and support further refinement of prenatal screening policy.</t>
  </si>
  <si>
    <t>38112514</t>
  </si>
  <si>
    <t>Gadsbøll K</t>
  </si>
  <si>
    <t>Atypicality index as an add-on to combined first-trimester screening for chromosomal aberrations.</t>
  </si>
  <si>
    <t>OBJECTIVES: To compute a set of atypicality indices based on combined first-trimester screening (cFTS) markers and second-trimester estimated fetal weight (EFW), and to demonstrate their potential in identifying pregnancies at reduced or increased risk of chromosomal aberrations following a low-risk cFTS result. METHODS: The atypicality index quantifies the unusualness of an individual set of measurements relative to a reference distribution and can be computed from any variables or measurements available. A score of 0% on the atypicality index represents the most typical profiles, while a score of 100% indicates the highest level of atypicality. From the Danish Fetal Medicine Database, we retrieved data on all pregnant women seen for cFTS in the Central Denmark Region between January 2008 and December 2018. All pregnancies with a cytogenetic or molecular analysis obtained prenatally, postnatally or following pregnancy loss or termination were identified. A first-trimester atypicality index (AcFTS) was computed based on nuchal translucency (NT) thickness, maternal serum free β-human chorionic gonadotropin (β-hCG) and pregnancy-associated plasma protein-A (PAPP-A). Furthermore, a second-trimester index (AcFTS + EFW) was computed from cFTS markers and EFW from a routine second-trimester anomaly scan. All pregnancies were stratified into subgroups based on their atypicality levels and their cFTS risk estimates. The risk of chromosomal aberrations in each subgroup was then compared with the overall prevalence, and a graphical presentation of the multivariate measurement profiles was developed. RESULTS: We retrieved data on 145 955 singleton pregnancies, of which 9824 (6.7%) were genetically examined. Overall, 1 in 122 (0.82% (95% CI, 0.77-0.87%)) of all pregnancies seen for cFTS were affected by a fetal chromosomal aberration, and in screen-negative pregnancies (cFTS trisomy 21 risk &lt; 1 in 100 and/or trisomy 18/13 risk &lt; 1 in 50), 0.41% (95% CI, 0.38-0.44%) were affected. In screen-negative pregnancies with a typical first-trimester profile (AcFTS &lt; 80%), the risk of chromosomal aberrations was significantly reduced (0.28%) compared with the overall risk. The risk of chromosomal aberrations increased with higher atypicality index to 0.49% (AcFTS [80-90%)), 1.52% (AcFTS [90-99%)) and 4.44% (AcFTS ≥ 99%) and was significantly increased in the two most atypical subgroups. The same applied for the second-trimester atypicality index, with risks of chromosomal aberrations of 0.76% and 4.16% in the two most atypical subgroups (AcFTS + EFW [90-99%) and AcFTS + EFW ≥ 99%, respectively). CONCLUSIONS: As an add-on to cFTS, the atypicality index identifies women with typical measurement profiles, which may provide reassurance, whereas atypical profiles may warrant specialist referral and further investigation. In pregnancies identified as low risk on cFTS but with a highly atypical distribution of NT, PAPP-A and β-hCG, the risk of a chromosomal aberration is substantially increased. The atypicality index optimizes the interpretation of pre-existing prenatal screening profiles and is not limited to cFTS markers or EFW. © 2023 International Society of Ultrasound in Obstetrics and Gynecology.</t>
  </si>
  <si>
    <t>39040373</t>
  </si>
  <si>
    <t>Lu YS</t>
  </si>
  <si>
    <t>Performance analysis of non-invasive prenatal testing for trisomy 13, 18, and 21: A large-scale retrospective study (2018-2021).</t>
  </si>
  <si>
    <t>BACKGROUND: Non-invasive prenatal tests (NIPT) are used to screen for trisomy 21, 18, and 13. This study investigated NIPT performance and the clinical significance of its results. METHODS: Pregnant women (n = 282,911) participating in a free NIPT (April 2018-December 2021) were screened for common trisomies, and the results were retrospectively analyzed. NIPT performance was evaluated by its positive predictive value (PPV), sensitivity, and specificity. Results were analyzed using number, percentage, and chi-squared/t-test analyses. RESULTS: After NIPT screening, patients with common trisomies (n = 746) included 457 with T21, 160 with T18, and 129 with T13. Seven false negative cases were identified. High PPV (86.81 %, 56.81 %, 18.18 %), sensitivity (99.25 %, 98.33 %, 100.00 %), and specificity (99.98 %, 99.98 %, 99.97 %) values were detected for trisomy 21, 18, and 13, respectively. The PPVs of common trisomies were significantly different between pregnant women older than 35 (85.53 %, 136/159) and those aged 35 or younger (58.90 %, 311/528) (χ2 = 125.02, P = 2.20e-16). As the NIPT uptake increased from 2018 to 2021, live-born birth defect incidence decreased. CONCLUSION: NIPT performed well in screening for T21, T18, and T13. Our discoveries offer an important and useful guideline in laboratory and clinical genetic counseling.</t>
  </si>
  <si>
    <t>Heliyon</t>
  </si>
  <si>
    <t>39242988</t>
  </si>
  <si>
    <t>Bellai-Dussault K</t>
  </si>
  <si>
    <t>Pregnancies with 'double-positive' multiple marker screening results: a population-based study in Ontario, Canada.</t>
  </si>
  <si>
    <t>BACKGROUND: Multiple marker screening is offered to pregnant individuals in many jurisdictions to screen for trisomies 21 and 18. On occasion, the result is 'double-positive'-a screening result that is unexpectedly positive for both aneuploidies. Although this occurs rarely, the paucity of available evidence about the outcomes of these pregnancies hinders patient counselling. This study aimed to investigate the association of double-positive results with preterm birth and other adverse perinatal outcomes. METHODS: We conducted a population-based retrospective cohort study of pregnancies with an estimated date of delivery from September 1, 2016, to March 31, 2021, using province-wide perinatal registry data in Ontario, Canada. Pregnancies with double-positive screening results where trisomies 21 and 18 were ruled-out were compared to pregnancies with screen negative results for both aneuploidies. We used modified Poisson regression models with robust variance estimation to examine the association of double positive results with preterm birth and secondary outcomes. RESULTS: From 429 540 pregnancies with multiple marker screening, 863 (0.2%) had a double-positive result; trisomies 21 and 18 were ruled out in 374 pregnancies, 203 of which resulted in a live birth. Among the pregnancies in the double-positive group resulting in a live birth, the risk of preterm birth was increased compared to pregnancies with a screen negative result: adjusted risk ratio (aRR) 2.6 (95%CI 2.0-3.6), adjusted risk difference (aRD) 10.5% (95%CI 5.4-15.7). In a sensitivity analysis excluding all diagnosed chromosomal abnormalities, the risk of preterm birth remained elevated to a similar degree: aRR 2.6 (95%CI 1.9-3.7), aRD 10.0% (95%CI 4.8-15.3). The risk of other adverse perinatal outcomes was also higher, including the risk of chromosomal abnormalities other than trisomies 21 and 18: aRR 81.1 (95%CI 69.4-94.8), aRD 34.0% (95%CI 29.2-38.8). Pregnancies with double-positive results were also less likely to result in a live birth, even when excluding all diagnosed chromosomal abnormalities; and at increased risk of adverse perinatal outcomes for those resulting in a live birth. CONCLUSION: Although rare, double-positive multiple marker screening results are associated with an increased risk of preterm birth and other adverse perinatal outcomes, even when excluding all identified chromosomal abnormalities.</t>
  </si>
  <si>
    <t>39766857</t>
  </si>
  <si>
    <t>Podobnik P</t>
  </si>
  <si>
    <t>A Decade of Non-Invasive Prenatal Testing (NIPT) for Chromosomal Abnormalities in Croatia: First National Monocentric Study to Inform Country's Future Prenatal Care Strategy.</t>
  </si>
  <si>
    <t>BACKGROUND: Chromosomal numerical and structural alterations are significant causes of various developmental disorders in foetuses. Non-invasive prenatal testing (NIPT) has emerged as an effective screening tool for detecting common aneuploidies, aiding in the identification of individuals who may require further diagnostic work-up. METHODS: This retrospective, monocentric observational study evaluates the usage patterns, test choices, turnaround times (TAT), and outcomes of NIPT between 2013 and 2023 on a sample of 2431 pregnant women at a special hospital offering outpatient services and comprehensive gynaecological/obstetric inpatient care. We analysed the trends in NIPT usage, high-risk results, prior screening procedures, as well as factors such as age, gestational age and in vitro fertilisation (IVF) status. NIPT was performed using cell-free foetal DNA (cffDNA) extracted from maternal plasma, followed by library construction, sequencing and result analysis. The sequencing results were aligned with reference genomes, and z-scores were calculated to assess the likelihood of aneuploidy. Statistical significance was set at p &lt; 0.05. RESULTS: The average age of women undergoing NIPT decreased from 36.1 years in 2013 to 33.01 years in 2023 (p = 0.0287), and mean TAT dropped from 12.44 days in 2013 to 7.08 days in 2023 (p = 0.0121), with the most substantial reduction occurring between 2013 and 2019. The study identified a stable rate of women who underwent IVF seeking prenatal testing, with no statistically significant difference between the first half and the second half of the analysed period (p = 0.2659). Among high-risk results, there were 39 chromosomal abnormalities detected, most of them belonging to trisomy 21 (59%). CONCLUSIONS: Our findings demonstrate the increasing efficiency and accessibility of NIPT in prenatal care in Croatia, while the significant reduction in TAT and the decreasing age of women undergoing NIPT reflect enhanced operational practices and broader acceptance. Introducing NIPT into the public healthcare system in the Republic of Croatia could improve equitable access to advanced prenatal care and enhance pregnancy outcomes. Future advancements in technology and genetic counselling will further enhance its role, requiring careful attention to ethical and regulatory considerations.</t>
  </si>
  <si>
    <t>Genes (Basel)</t>
  </si>
  <si>
    <t>39770268</t>
  </si>
  <si>
    <t>Yang HY</t>
  </si>
  <si>
    <t>Automatic Single-Cell Harvesting for Fetal Nucleated Red Blood Cell Isolation on a Self-Assemble Cell Array (SACA) Chip.</t>
  </si>
  <si>
    <t>(1) Background: Fetal chromosomal examination is a critical component of modern prenatal testing. Traditionally, maternal serum biomarkers such as free β-human chorionic gonadotropin (Free β-HCG) and pregnancy-associated plasma protein A (PAPPA) have been employed for screening, achieving a detection rate of approximately 90% for fetuses with Down syndrome, albeit with a false positive rate of 5%. While amniocentesis remains the gold standard for the prenatal diagnosis of chromosomal abnormalities, including Down syndrome and Edwards syndrome, its invasive nature carries a significant risk of complications, such as infection, preterm labor, or miscarriage, occurring at a rate of 7 per 1000 procedures. Beyond Down syndrome and Edwards syndrome, other chromosomal abnormalities, such as trisomy of chromosomes 9, 16, or Barr bodies, pose additional diagnostic challenges. Non-invasive prenatal testing (NIPT) has emerged as a powerful alternative for fetal genetic screening by leveraging maternal blood sampling. However, due to the extremely low abundance of fetal cells in maternal circulation, NIPT based on fetal cells faces substantial technical challenges. (2) Methods: Fetal nucleated red blood cells (FnRBCs) were first identified in maternal circulation in a landmark study published in The Lancet in 1959. Due to their fetal origin and presence in maternal peripheral blood, FnRBCs represent an ideal target for non-invasive prenatal testing (NIPT). In this study, we introduce a novel self-assembled cell array (SACA) chip system, a microfluidic-based platform designed to efficiently settle and align cells into a monolayer at the chip's base within five minutes using lateral flow dynamics and gravity. This system is integrated with a fully automated, multi-channel fluorescence scanning module, enabling the real-time imaging and molecular profiling of fetal cells through fluorescence-tagged antibodies. By employing a combination of Hoechst+/CD71+/HbF+/CD45- markers, the platform achieves the precise enrichment and isolation of FnRBCs at the single-cell level from maternal peripheral blood. (3) Results: The SACA chip system effectively reduces the displacement of non-target cells by 31.2%, achieving a single-cell capture accuracy of 97.85%. This isolation and enrichment system for single cells is well suited for subsequent genetic analysis. Furthermore, the platform achieves a high purity of isolated cells, overcoming the concentration detection limit of short tandem repeat (STR) analysis, demonstrating its capability for reliable non-invasive prenatal testing. (4) Conclusions: This study demonstrates that the SACA chip, combined with an automated image positioning system, can efficiently isolate single fetal nucleated red blood cells (FnRBCs) from 50 million PBMCs in 2 mL of maternal blood, completing STR analysis within 120 min. With higher purification efficiency compared to existing NIPT methods, this platform shows great promise for prenatal diagnostics and potential applications in other clinical fields.</t>
  </si>
  <si>
    <t>Micromachines (Basel)</t>
  </si>
  <si>
    <t>39872004</t>
  </si>
  <si>
    <t>Liu JP</t>
  </si>
  <si>
    <t>Improving prenatal diagnosis with combined karyotyping, CNV-seq and QF-PCR: a comprehensive analysis of chromosomal abnormalities in high-risk pregnancies.</t>
  </si>
  <si>
    <t>OBJECTIVE: This study aims to assess the diagnostic efficacy of a combined approach integrating chromosomal karyotyping, copy number variation sequencing (CNV-seq), and quantitative fluorescence polymerase chain reaction (QF-PCR) in detecting chromosomal abnormalities in high-risk pregnancies. METHODS: This retrospective study analyzed 617 high-risk pregnancies undergoing prenatal diagnosis from February 2023 to August 2024, with amniotic fluid samples concurrently analyzed using karyotyping, CNV-seq, and QF-PCR. We evaluated clinical characteristics, diagnostic yields, and inter-method concordance rates. Longitudinal follow-up assessed pregnancy outcomes and neonatal phenotypes, with particular emphasis on cases demonstrating diagnostic discrepancies or variants of uncertain clinical significance. RESULTS: The integrated approach detected chromosomal abnormalities in 12.5% (77/617) of cases, significantly higher than the rates achieved by karyotyping alone (9.7%) and CNV-seq/QF-PCR alone (8.3%) (p &lt; 0.05). Karyotyping showed full concordance with CNV-seq and QF-PCR in detecting major chromosomal aneuploidies, identifying 21 cases of trisomy 21 and 4 cases of trisomy 18. CNV-seq uniquely identified additional pathogenic copy number variations in 2.1% of cases and variants of uncertain significance (VUS) in 3.2% of cases, both undetectable by conventional karyotyping. Subjects with high-risk non-invasive prenatal testing (NIPT) results had the highest abnormality detection rate (57.6%, p &lt; 0.05). Follow-up data revealed pregnancy termination in 44 of 97 cases with chromosomal abnormalities. Notably, neonates carrying pathogenic CNVs inherited from asymptomatic parents demonstrated normal phenotypes. CONCLUSION: The integration of karyotyping, CNV-seq, and QF-PCR provides superior diagnostic yield compared to individual testing strategies in high-risk pregnancies. Although karyotyping remains the gold standard for detecting major chromosomal aberrations, CNV-seq and QF-PCR enhance diagnostic precision through detection of submicroscopic variations. Multi-center studies with larger cohorts are needed to confirm these findings and clarify the clinical significance of uncertain variants.</t>
  </si>
  <si>
    <t>Front Genet</t>
  </si>
  <si>
    <t>36939534</t>
  </si>
  <si>
    <t>Luo Y</t>
  </si>
  <si>
    <t>Clinical application of noninvasive prenatal testing in twin pregnancies: a single-center experience.</t>
  </si>
  <si>
    <t>OBJECTIVES: To evaluate the clinical efficiency of noninvasive prenatal testing (NIPT) for fetal chromosomal aneuploidy screening in twin pregnancies. METHODS: A total of 1650 women with twin pregnancies were enrolled in the study, which underwent NIPT at the Southwest Hospital, Army Medical University, Chongqing, China from January 2013 to June 2022. Fetal karyotyping analysis was conducted in high-risk patients, with subsequent follow-up on pregnancy outcomes. RESULTS: In 1650 pregnancies, NIPT results showed ten cases of the fetal chromosome aneuploidy, of which six cases were true positive and four cases were false positive. The sensitivity, specificity, positive predictive value (PPV), and false-positive rate (FPR) of trisomy 21 were 100%, 99.79%, 57.14%, and 0.18%, respectively. Sensitivity, specificity, PPV, and FPR of trisomy 18 were 100%, 99.94%, 50%, and 0.06%, respectively. The sensitivity, specificity, PPV, and FPR of trisomy 13 were 100%, 100%, 100%, and 0%, respectively. No false negatives were detected and the negative predictive value (NPV) was 100% of the total. Eleven pregnancies failed the NIPT test with no-call due to the low fetal fraction (&lt; 4%). CONCLUSIONS: NIPT is a high-performing routine primary prenatal screening test in twin pregnancies, with high sensitivity and specificity in screening for fetal aneuploidy.</t>
  </si>
  <si>
    <t>Expert Rev Mol Diagn</t>
  </si>
  <si>
    <t>37226326</t>
  </si>
  <si>
    <t>van Eekhout JCA</t>
  </si>
  <si>
    <t>Non-invasive prenatal testing (NIPT) in twin pregnancies affected by early single fetal demise: A systematic review of NIPT and vanishing twins.</t>
  </si>
  <si>
    <t>The screening performance of non-invasive prenatal testing (NIPT) in vanishing twin (VT) pregnancies is relatively unknown. To close this knowledge gap, we conducted a systematic review of the available literature. Studies describing the test performance of NIPT for trisomy 21, 18, 13, sex chromosomes and additional findings in pregnancies with a VT were retrieved from a literature search with a publication date until October 4, 2022. The methodological quality of the studies was assessed with the quality assessment tool for diagnostic accuracy studies-2 (QUADAS-2). The screen positive rate of the pooled data and the pooled positive predictive value (PPV) were calculated using a random effects model. Seven studies, with cohort sizes ranging from 5 to 767, were included. The screen positive rate of the pooled data for trisomy 21 was 35/1592 (2.2%), with a PPV of 20% (confirmation in 7/35 cases [95% CI 9.8%-36%]). For trisomy 18, the screen positive rate was 13/1592 (0.91%) and the pooled PPV 25% [95% CI 1.3%-90%]. The screen positive rate for trisomy 13 was 7/1592 (0.44%) and confirmed in 0/7 cases (pooled PPV 0% [95% CI 0%-100%]). The screen positive rate for additional findings was 23/767 (2.9%), of which none could be confirmed. No discordant negative results were reported. There is insufficient data to fully evaluate NIPT performance in pregnancies with a VT. However, existing studies suggest that NIPT can successfully detect common autosomal aneuploidies in pregnancies affected by a VT but with a higher false positive rate. Further studies are needed to determine the optimal timing of NIPT in VT pregnancies.</t>
  </si>
  <si>
    <t>Systematic Review; Journal Article</t>
  </si>
  <si>
    <t>37471660</t>
  </si>
  <si>
    <t>Li C</t>
  </si>
  <si>
    <t>Application of QF-PCR Technology Combined With Early Pregnancy Ultrasound in Prenatal Screening for Fetal Chromosomal Aneuploidy.</t>
  </si>
  <si>
    <t>CONTEXT: Abnormalities in the meiosis process after sperm-egg union can cause fetal chromosome aneuploidy. The rate of birth defects and the mortality of fetuses with chromosome aneuploidy is significantly higher than that of fetuses with normal chromosomes. Both ultrasound and quantitative fluorescence polymerase chain reaction (QF-PCR) have limitations when used singly, but their combined use may provide better diagnoses. OBJECTIVE: The study intended to investigate the value of QF-PCR combined with ultrasound in early pregnancy for prenatal screening for fetal chromosomal aneuploidy, to contribute to the improvement of prenatal examinations, ultimately enhancing the early detection and management of the aneuploidies. DESIGN: The research team performed a retrospective study. SETTING: The study took place at the Affiliated Dongguan Hospital at Southern Medical University in Dongguan, China. PARTICIPANTS: Participants were 1082 pregnant women who underwent an ultrasound examination in early pregnancy, 11 weeks to 13 + 6 weeks, at the hospital between January 2019 and January 2022. OUTCOME MEASURES: Using the results of participants' ultrasounds and QF-PCR testing, the research team used the gold standard, a chromosomal karyotype analysis, to evaluate the efficacy in diagnosing fetal chromosomal aneuploidies, of ultrasound alone, QF-PCR testing alone, and their combination. RESULTS: Early-pregnancy ultrasound detected 15 abnormalities, of which seven were an abnormal thickness of the transparent layer of the neck, 22 were abnormal nasal bone, four were a fish-scale appearance of bilateral soles of the feet, and three were other abnormalities, such as an incomplete quadrant of the heart, gastroceles, or dilatation of the pelvis. No cases of missed or failed karyotype cultures occurred. The QF-PCR detected 21 abnormal fetuses, including six with trisomy 21 syndrome, two with trisomy 18 syndrome, one with trisomy 13 syndrome, and 11 with sex-chromosome abnormalities. The sensitivity, specificity, and accuracy of QF-PCR in diagnosing fetal chromosomal aneuploidy were 85.7%, 99.81%, and 99.54%, respectively, and the Kappa value for its consistency with the gold standard was 0.88. The sensitivity, specificity, and accuracy of the ultrasound, combined with QF-PCR in diagnosing fetal chromosomal aneuploidy were 95.23%,99.71%, and 99.63%, respectively, and the Kappa value of combined tests' consistency with the gold standard was 0.91. CONCLUSION: QF-PCR combined with ultrasound in early pregnancy can effectively improve the accuracy of prenatal diagnosis of fetal chromosome aneuploidy, especially for high-risk pregnant women with a high, positive, predictive value, providing a feasible detection method for clinical practice.</t>
  </si>
  <si>
    <t>Altern Ther Health Med</t>
  </si>
  <si>
    <t>37606120</t>
  </si>
  <si>
    <t>Su JY</t>
  </si>
  <si>
    <t>Analysis of the results of non-invasive prenatal testing (NIPT) in 545 pregnant women in advanced maternal age.</t>
  </si>
  <si>
    <t>OBJECTIVE: This research aimed to explore the value of non-invasive prenatal testing (NIPT) as a prenatal screening method for common aneuploidy in pregnant women in advanced maternal age. PATIENTS AND METHODS: A retrospective analysis was conducted on a cohort of 545 mothers with singleton pregnancy who were of advanced age and underwent NIPT testing voluntarily at the Second Affiliated Hospital of Guangxi Medical University between November 2020 and February 2023. In cases where NIPT testing suggested chromosomal abnormalities, amniocentesis was conducted, karyotype analysis or gene copy number variation (CNV) testing was performed, and the pregnancy outcome was tracked. RESULTS: Among 545 pregnant women in advanced maternal age, 11 cases had high risk of NIPT, and the detection rate was 2.02%. Among 11 pregnant women deemed to be at high risk for NIPT, 10 cases underwent amniotic fluid puncture, and one case refused amniocentesis despite a suggestive chromosomal abnormality in NIPT. The overall rate of amniocentesis was 1.83%. Among 11 pregnant women deemed to be at high risk for NIPT, the results suggested that 5 of them had trisomy 21, 1 had trisomy 18, 2 had sex chromosome abnormalities (specifically, 47, XYY), and 3 had other autosomal abnormalities. The positive predictive values of NIPT were 100.00% for the cases of trisomy 21 and trisomy 18, while the values were 0.00% for the cases of sex chromosome abnormalities and other autosomal abnormalities, respectively. After the follow-up, each of the 6 cases that were diagnosed with definite chromosomal abnormalities during prenatal screening opted to induce labor and terminate the pregnancy, including 5 cases that exhibited a high risk of trisomy 21 (47, XN,+21) and 1 case that showed a high risk of trisomy 18 (47, XN,+18). One instance of NIPT indicated a potential abnormality in the sex chromosomes, the individual declined to undergo amniocentesis. Another instance of NIPT suggested a sex chromosome abnormality, amniocentesis revealed a deletion of 0.72 Mb in the 4q22.1 region. They all had normal pregnancies and normal newborns. The remaining three cases had normal prenatal diagnoses (46, XN) and experienced normal pregnancies with healthy neonatal outcomes. CONCLUSIONS: NIPT has demonstrated its efficacy as a screening tool in the face of increasing maternal age. As a result, it can substantially decrease the requirement for invasive prenatal diagnosis. Nonetheless, there are instances of erroneous positive outcomes in NIPT testing, and therefore, interventional prenatal diagnosis remains necessary for individuals with high-risk screening outcomes to prevent false positives or unwarranted labor induction.</t>
  </si>
  <si>
    <t>Eur Rev Med Pharmacol Sci</t>
  </si>
  <si>
    <t>37689607</t>
  </si>
  <si>
    <t>Clinical Potential of Expanded Noninvasive Prenatal Testing for Detection of Aneuploidies and Microdeletion/Microduplication Syndromes.</t>
  </si>
  <si>
    <t>OBJECTIVE: We aimed to evaluate the clinical performance of expanded noninvasive prenatal testing (NIPT-Plus) for the detection of aneuploidies and microdeletion/microduplication syndromes. METHODS: A total of 7177 pregnant women were enrolled in the study from June 2020 to March 2022 at Xijing Hospital, China. Cases with NIPT-Plus-positive results were further confirmed by chromosomal karyotyping and a chromosomal microarray analysis. RESULTS: A total of 112 positive cases (1.56%) were identified by NIPT-Plus, including 60 chromosome aneuploidies and 52 microdeletion/microduplication syndromes. Ninety-five cases were validated by amniocentesis, and 57 were confirmed with true-positive results, comprising 18 trisomy 21, 4 trisomy 18, 1 trisomy 13, 17 sex chromosome aneuploidies, 1 other aneuploidy, and 16 microdeletion/microduplication syndromes. The positive predictive value of total chromosomal abnormalities was 60% (57/95). For trisomy 21, trisomy 18, trisomy 13, sex chromosome aneuploidies, other aneuploidies and microdeletion/microduplication syndromes, the sensitivity was all 100%, the specificity was 100, 99.986, 100, 99.888, 99.958, and 99.636%, and the positive predictive value was 100, 80, 100, 68, 25, and 38.10%, respectively. For all clinical characteristics, the abnormal maternal serum screening group was found to have the highest prevalence of chromosomal abnormalities (1.54%), and the ultrasound abnormality group presented the highest positive predictive value (73.33%). CONCLUSIONS: NIPT-Plus has great potential for the detection of aneuploidies and microdeletion/microduplication syndromes owing to its high sensitivity, safety, and specificity, which greatly reduces unnecessary invasive procedures and the risk of miscarriage and allows informed maternal choice.</t>
  </si>
  <si>
    <t>Mol Diagn Ther</t>
  </si>
  <si>
    <t>37806662</t>
  </si>
  <si>
    <t>Wang Z</t>
  </si>
  <si>
    <t>Noninvasive prenatal screening with conventional sequencing depth to screen fetal copy number variants: A retrospective study of 19 144 pregnant women.</t>
  </si>
  <si>
    <t>AIM: To investigate the detectability of noninvasive prenatal screening (NIPS) with conventional sequencing depth to detect fetal copy number variants. METHODS: We performed a retrospective study in a total of 19 144 pregnant women. Their cell-free plasma DNA were assessed for trisomy 21, trisomy 18, trisomy 13, sex chromosome aneuploidies, and genome-wide copy number variants by NIPS at conventional sequencing depth. RESULTS: Three hundred seventy-four cases (2.0%, 374/19 144) with abnormal results were detected, which including 84 cases (0.4%, 84/19 144) with high risk of trisomy 21, 18, and 13, 90 cases (0.5%, 90/19 144) with high risk of sex chromosome abnormalities (SCA), and 44 cases (0.2%, 44/19 144) with high risk of other chromosome aneuploidies. One hundred fifty-six cases (0.8%, 156/19 144) with high risk of copy number variations (CNVs) were also detected. In following prenatal diagnosis, composite positive predictive value (PPV) of trisomy 21, 18, and 13 was 69.6% (48/69). The PPV of SCAs was 37.3% (19/51). And the PPVs for CNVs was detected as 51.0% (&lt;5 Mb), 71.4% (5 Mb ≤ CNV ≤10 Mb), 56.5% (&gt;10 Mb). Finally, a follow-up about the pregnancy outcomes were conducted for all available cases. CONCLUSIONS: NIPS yielded high PPVs for trisomy 21, 18, and 13 aneuploidies and moderate PPVs for SCAs and CNVs. The screening effectiveness was closely related to the size of CNV fragments. Larger CNVs, especially larger than 5 Mb, could be detected more accurately by NIPS in our analytic technique. Meanwhile, diagnostic confirmation by microarray analysis was highly recommended.</t>
  </si>
  <si>
    <t>38008506</t>
  </si>
  <si>
    <t>Huang TJ</t>
  </si>
  <si>
    <t>The correlation with abnormal fetal outcome and a high level of amniotic fluid alpha-fetoprotein in mid-trimester.</t>
  </si>
  <si>
    <t>OBJECTIVE: To evaluate the correlation of high levels [&gt;2.0 multiples of median (MoM)] of amniotic fluid alpha-fetoprotein (AFAFP) in midtrimester with abnormal fetal outcome. MATERIALS AND METHODS: We retrospectively studied 6245 pregnant women with singleton pregnancy who had undergone amniocentesis between 15 and 27 weeks' gestation at Mackay Memorial Hospital between January 2014 and June 2020. Fifty-five cases had high AFAFP levels (&gt;2.0 MoM). We investigated the abnormal fetal outcomes. RESULTS: Among the fifty-five cases with high AFAFP levels (&gt;2.0 MoM), thirty (54.5%) had fetal chromosomal abnormalities, major structural abnormalities, and/or adverse obstetric events. Eight cases (14.5%) had chromosomal abnormalities including trisomy 21 (3 cases), trisomy 18 (3 cases), mosaic trisomy 18 (1 cases), and mosaic ring 13 (1 case). Seventeen cases (30.9%) had major structural abnormalities including abdominal wall defect (6 cases) and central nervous system (5 cases), gastrointestinal tract (3 cases), cardiovascular (2 cases), and genitourinary tract (2 cases) abnormalities. Fifteen cases (27%) had adverse obstetric events, including preterm delivery (5 cases), intrauterine fetal demise (4 cases), small for gestational age (4 cases), preeclampsia (4 cases), gestational diabetes mellitus (2 cases), gestational hypertension (1 case), preterm prelabor rupture of membrane (1 case), prolonged labor (1 case), and preterm uterine contraction (1 case). CONCLUSION: A high AFAFP level (&gt;2.0 MoM) in midtrimester can be associated with abnormal fetal outcome, including chromosomal abnormalities, major structural abnormalities, and adverse obstetric events. Women with a prenatal diagnosis of high AFAFP levels (&gt;2.0 MoM) should be alerted of the possibility of abnormal fetal outcomes, and further detailed genetic studies and serial sonographic examinations are recommended.</t>
  </si>
  <si>
    <t>Taiwan J Obstet Gynecol</t>
  </si>
  <si>
    <t>34533609</t>
  </si>
  <si>
    <t>Bajka A</t>
  </si>
  <si>
    <t>Audit of the first &gt; 7500 noninvasive prenatal aneuploidy tests in a Swiss genetics center.</t>
  </si>
  <si>
    <t>OBJECTIVES: Noninvasive prenatal testing (NIPT) is actually the most accurate method of screening for fetal chromosomal aberration (FCA). We used pregnancy outcome record to evaluate a complete data set of single nucleotide polymorphism-based test results performed by a Swiss genetics center. MATERIALS AND METHODS: The Panorama® test assesses the risk of fetal trisomies (21, 18 and 13), gonosomal aneuploidy (GAN), triploidy or vanishing twins (VTT) and five different microdeletions (MD). We evaluated all 7549 test results meeting legal and quality requirements taken in women with nondonor singleton pregnancies between April 2013 and September 2016 classifying them as high or low risk. Follow-up ended after 9 months, data collection 7 months later. RESULTS: The Panorama® test provided conclusive results in 96.1% of cases, detecting 153 FCA: T21 n = 76, T18 n = 19, T13 n = 15, GAN n = 19, VTT n = 13 and MD n = 11 (overall prevalence 2.0%). Pregnancy outcome record was available for 68.6% of conclusive laboratory results, including 2.0% high-risk cases. In this cohort the Panorama® test exhibited 99.90% sensitivity for each trisomy; specificity was 99.90% for T21, 99.98% for T18 and 99.94% for T13. False positive rate was 0.10% for T21, 0.02% for T18 and 0.06% for T13. CONCLUSION: SNP-based testing by a Swiss genetics center confirms the expected accuracy of NIPT in FCA detection.</t>
  </si>
  <si>
    <t>Arch Gynecol Obstet</t>
  </si>
  <si>
    <t>35085538</t>
  </si>
  <si>
    <t>Dar P</t>
  </si>
  <si>
    <t>Cell-free DNA screening for trisomies 21, 18, and 13 in pregnancies at low and high risk for aneuploidy with genetic confirmation.</t>
  </si>
  <si>
    <t>BACKGROUND: Cell-free DNA noninvasive prenatal screening for trisomies 21, 18, and 13 has been rapidly adopted into clinical practice. However, previous studies are limited by a lack of follow-up genetic testing to confirm the outcomes and accurately assess test performance, particularly in women at a low risk for aneuploidy. OBJECTIVE: To measure and compare the performance of cell-free DNA screening for trisomies 21, 18, and 13 between women at a low and high risk for aneuploidy in a large, prospective cohort with genetic confirmation of results STUDY DESIGN: This was a multicenter prospective observational study at 21 centers in 6 countries. Women who had single-nucleotide-polymorphism-based cell-free DNA screening for trisomies 21, 18, and 13 were enrolled. Genetic confirmation was obtained from prenatal or newborn DNA samples. The test performance and test failure (no-call) rates were assessed for the cohort, and women with low and high previous risks for aneuploidy were compared. An updated cell-free DNA algorithm blinded to the pregnancy outcome was also assessed. RESULTS: A total of 20,194 women were enrolled at a median gestational age of 12.6 weeks (interquartile range, 11.6-13.9). The genetic outcomes were confirmed in 17,851 cases (88.4%): 13,043 (73.1%) low-risk and 4808 (26.9%) high-risk cases for aneuploidy. Overall, 133 trisomies were diagnosed (100 trisomy 21; 18 trisomy 18; 15 trisomy 13). The cell-free DNA screen positive rate was lower in the low-risk vs the high-risk group (0.27% vs 2.2%; P&lt;.0001). The sensitivity and specificity were similar between the groups. The positive predictive value for the low- and high-risk groups was 85.7% vs 97.5%; P=.058 for trisomy 21; 50.0% vs 81.3%; P=.283 for trisomy 18; and 62.5% vs 83.3; P=.58 for trisomy 13, respectively. Overall, 602 (3.4%) patients had no-call result after the first draw and 287 (1.61%) after including cases with a second draw. The trisomy rate was higher in the 287 cases with no-call results than patients with a result on a first draw (2.8% vs 0.7%; P=.001). The updated algorithm showed similar sensitivity and specificity to the study algorithm with a lower no-call rate. CONCLUSION: In women at a low risk for aneuploidy, single-nucleotide-polymorphism-based cell-free DNA has high sensitivity and specificity, positive predictive value of 85.7% for trisomy 21 and 74.3% for the 3 common trisomies. Patients who receive a no-call result are at an increased risk of aneuploidy and require additional investigation.</t>
  </si>
  <si>
    <t>Am J Obstet Gynecol</t>
  </si>
  <si>
    <t>Journal Article; Multicenter Study; Observational Study; Research Support, Non-U.S. Gov't</t>
  </si>
  <si>
    <t>35169781</t>
  </si>
  <si>
    <t>Atli EI</t>
  </si>
  <si>
    <t>Investigation of Genetic Alterations in Congenital Heart Diseases in Prenatal Period.</t>
  </si>
  <si>
    <t>The prenatal diagnosis of congenital heart disease (CHD) is important because of mortality risk. The onset of CHD varies, and depending on the malformation type, the risk of aneuploidy is changed. To identify possible genetic alterations in CHD, G-banding, chromosomal microarray or if needed DNA mutation analysis and direct sequence analysis should be planned. In present study, to identify genetic alterations, cell culture, karyotype analysis, and single nucleotide polymorphism, array analyses were conducted on a total 950 samples. Interventional prenatal genetic examination was performed on 23 (2, 4%, 23/950) fetal CHD cases. Chromosomal abnormalities were detected in 5 out of 23 cases (21, 7%). Detected chromosomal abnormalities were 10q23.2 deletion, trisomy 18, 8p22.3-p23.2 deletion, 8q21.3-q24.3 duplication, 11q24.2q24.5 (9 Mb) deletion, and 8p22p12 (16.8 Mb) deletion. Our study highlights the importance of genetic testing in CHD.</t>
  </si>
  <si>
    <t>Glob Med Genet</t>
  </si>
  <si>
    <t>35278232</t>
  </si>
  <si>
    <t>Bowden B</t>
  </si>
  <si>
    <t>Implementation of non-invasive prenatal testing within a national UK antenatal screening programme: Impact on women's choices.</t>
  </si>
  <si>
    <t>OBJECTIVE: To evaluate the implementation of non-invasive prenatal testing (NIPT) on pregnant women's choices in a national NHS antenatal screening programme for Down's syndrome, Edwards' syndrome and Patau's syndrome. METHOD: An observational study of all pregnant women with a singleton pregnancy and higher chance (≤1:150) combined or quadruple screening result from 30 April 2018 to 25 September 2020 in Wales, UK. Pregnant women's journey through the pathway was determined including uptake of NIPT, performance of NIPT in a non-research setting and invasive procedures performed. RESULTS: Of the 1273 women with a higher chance initial screening, 1073 (84%) chose NIPT contingent test, 174 (14%) no further testing and 26 (2%) invasive procedure. There were 1001 (93%) low chance NIPT results; 11 (1%) failed results and 61 (6%) high chance results. Average annual incidence of 27 invasive procedures undertaken compared to 229 pre-NIPT implementation, a nearly ninefold reduction. Down's syndrome annual live birth rate remained unchanged across the implementation period. DISCUSSION: This study demonstrates that NIPT contingent screening was highly acceptable to women with a resulting reduction in invasive procedures performed. CONCLUSION: The high uptake of NIPT in NHS antenatal screening pathway conditions should inform planning for other national screening programmes.</t>
  </si>
  <si>
    <t>35644554</t>
  </si>
  <si>
    <t>Kawabata I</t>
  </si>
  <si>
    <t>Outcomes of 8 Years of Noninvasive Prenatal Testing at Nippon Medical School Hospital.</t>
  </si>
  <si>
    <t>BACKGROUND: Noninvasive prenatal testing (NIPT) is used to screen for fetal chromosomal abnormalities, such as fetal aneuploidy, and has been offered at our hospital since 2013. We analyzed data from our center to determine if NIPT screenees could be given more-accurate information on NIPT outcomes. METHODS: This retrospective observational study included 819 pregnant women who requested NIPT at Nippon Medical School Hospital from November 2013 to October 2021. We examined medical records for data on NIPT results and clinical outcomes. RESULTS: Of the 819 women, 764 (93.2%) underwent NIPT, and 55 (6.7%) did not. Of the 764 women who underwent NIPT, 17 received a positive result (2.2%), of whom 2 (11.8%), 4 (23.5%), and 11 (64.7%) received a positive result for trisomy 13, 18, and 21, respectively. The true-positive rates after definitive diagnoses of trisomy 13, 18, and 21 were 1 (50%), 3 (75%), and 11 (100%), respectively. Of the 17 positive results, there were two false-positive results (11.8%) (for trisomy 13 and trisomy 18). Eleven women with fetal aneuploidy terminated their pregnancies, and four cases resulted in intrauterine fetal death. Five neonates with negative NIPT results had congenital disease without chromosomal abnormality. Two patients had indeterminate results from the first blood sampling, possibly because of treatment with unfractionated heparin. The results of repeat testing after heparin cessation were negative. CONCLUSIONS: Our results were generally similar to nationwide data for Japan. NIPT providers can provide more detailed and individualized genetic counseling for each situation by understanding their own medical facility's data in detail.</t>
  </si>
  <si>
    <t>J Nippon Med Sch</t>
  </si>
  <si>
    <t>Observational Study; Journal Article</t>
  </si>
  <si>
    <t>36099005</t>
  </si>
  <si>
    <t>Zheng Y</t>
  </si>
  <si>
    <t>The accuracy and feasibility of noninvasive prenatal testing in a consecutive series of 20,626 pregnancies with different clinical characteristics.</t>
  </si>
  <si>
    <t>BACKGROUND: To evaluate the accuracy and feasibility of noninvasive prenatal testing (NIPT) according to the results of NIPT and pregnancy outcomes with different indications. METHODS: Between October 2014 and December 2020, 20,626 pregnant women who received NIPT were included in this study. The positive predictive value (PPV) of trisomy 21, 18, and 13 (T21, T18, T13), sex chromosome abnormalities (SCAs), other chromosomal aneuploidies, and chromosomal microdeletion/microduplication were calculated. The positive results of NIPT were confirmed by amniocentesis, Karyotype analysis, and chromosome microarray analysis (CMA). RESULTS: In total, 263 positive cases (263/20,626, 1.28%) were detected by NIPT, of which T21, T18, and T13 were 69, 26, and 9 cases, respectively. Sex chromosome abnormalities (SCAs), other chromosomal aneuploidies, and copy number variants (CNVs) were 69, 12, and 38 cases, respectively. There were true positive in 49 of T21, 13 of T18, 1 of T13, 32 of SCAs, 1 of other chromosomal aneuploidies, and 15 of CNVs. The NIPT sensitivity of T21, T18, T13, SCAs, other chromosomal aneuploidies, and CNVs was all 100%, the specialty was 99.90%, 99.94%, 99.96%, 99.82%, 99.95%, 99.89%, and the PPV was 71.01%, 50.00%, 11.11%, 46.38%, 8.33%, 39.47%, respectively. The PPV was high in T21, moderate in T18 and SCAs, and low in T13 and other chromosomal abnormalities. CONCLUSION: NIPT has high accuracy, specificity and and can effectively avoid the occurrence of birth defects, but it cannot replace prenatal diagnosis. The accuracy, specificity, and sensitivity of NIPT in detecting sex chromosomes, chromosome microdeletion/microduplication, and other chromosomal abnormalities should be improved.</t>
  </si>
  <si>
    <t>J Clin Lab Anal</t>
  </si>
  <si>
    <t>36336878</t>
  </si>
  <si>
    <t>Kantor V</t>
  </si>
  <si>
    <t>Positive predictive value of a single nucleotide polymorphism (SNP)-based NIPT for aneuploidy in twins: Experience from clinical practice.</t>
  </si>
  <si>
    <t>OBJECTIVE: Twins account for approximately 1 in 30 live births in the United States. However, there are limited clinical experience studies published in noninvasive prenatal testing (NIPT) for detecting aneuploidies in twins. This study reports the performance of an SNP-based NIPT in the largest cohort with known outcomes for high-risk aneuploidy results. METHOD: This is a retrospective analysis of 18,984 results from commercial single-nucleotide polymorphism (SNP)-based NIPT tests performed in twins between October 2, 2017 and December 31, 2019. Follow-up for all 211 high-risk cases was solicited. RESULTS: Follow-up outcomes were obtained in 105 cases. Positive predictive values (PPVs) for high-risk results were 88.7% (63/71, 95% Confidence Interval [CI]: 79.0%-95.0%) for trisomy 21% and 72.7% (8/11, 95% CI: 39.0%-94.0%) for trisomy 18. The results were stratified into monozygotic (MZ) and dizygotic (DZ). The PPVs in MZ were 100% for both trisomy 21 (4/4, 95% CI: 40%-100%) and trisomy 18 (1/1, 95% CI: 2.5%-100%). No trisomy 13 cases were detected in the MZ group. The PPVs in DZ were 88.1% (59/67, 95% CI: 77.8%-94.7%), 70.0% (7/10, 95% CI: 34.8%-93.3%), and 66.7% (2/3, 95% CI: 9.4%-99.2%) for trisomy 21, trisomy 18, and trisomy 13, respectively. CONCLUSION: The performance of SNP-based NIPT in this large twin cohort was comparable to previously reported twin NIPT studies. SNP-based NIPT allows for zygosity-based PPV assessment.</t>
  </si>
  <si>
    <t>Journal Article; Twin Study</t>
  </si>
  <si>
    <t>36360264</t>
  </si>
  <si>
    <t>Kleinfinger P</t>
  </si>
  <si>
    <t>Noninvasive Prenatal Screening for Trisomy 21 in Patients with a Vanishing Twin.</t>
  </si>
  <si>
    <t>A vanishing twin (VT) occurs in up to 30% of early diagnosed twin pregnancies and is associated with an increased risk of fetal aneuploidy. Here, we describe our experience in a large VT population of 847 patients that underwent noninvasive prenatal testing (NIPT) for common fetal trisomies over a three-year period. All patients underwent an ultrasound examination prior to NIPT. Two comparison populations were included, namely, the singleton (n = 105,560) and the viable multiple gestation pregnancy samples (n = 9691) collected over the same period. All NIPT samples in the VT population received a result, of which 14 were high-risk for trisomy 21 (1.6%), nine for trisomy 18 (1.1%), and six for trisomy 13 (0.7%). Diagnostic testing confirmed the presence of trisomy 21 in 6/12 samples, giving a positive predictive value of 50%. One trisomy 18 case and no trisomy 13 cases were confirmed. The time between fetal demise and NIPT sampling did not appear to affect the number of true- or false-positive cases. In conclusion, NIPT is an effective screening method for trisomy 21 in the surviving fetus(es) in VT pregnancies. For trisomies 18 and 13, a positive NIPT should be interpreted carefully and ultrasound monitoring is preferrable over invasive diagnostic testing.</t>
  </si>
  <si>
    <t>31900003</t>
  </si>
  <si>
    <t>Öztürk FH</t>
  </si>
  <si>
    <t>Fetal Genetic Diagnosis by Chorionic Villus Sampling: Evaluation of the Five-Year Experience from a Single Center.</t>
  </si>
  <si>
    <t>We summarized our five-year chorionic villus sampling (CVS) experience with indications, detected chromosomal abnormalities and pregnancy outcomes. Materials and Methods: This retrospective study examined 552 patients underwent CVS for prenatal diagnosis between 2014 and 2018. Results: The most frequent patients undergoing CVS indications were abnormal aneuploidy screening results, increased nuchal translucency, and cystic hygroma/edema. Of 552 CVS, 385 were normal, 141 abnormal. Eight were contaminated with maternal cells, 4 were mosaics, in 12 the culture failed, and in 2 there was inadequate sampling. The most frequent chromosomal abnormalities were trisomy 21, trisomy 18 and 45,X. Of 246 followed pregnancies, there were 165 live-births (67,1%), 58 pregnancy terminations (23,6%), and 23 pregnancy losses (9,3%). There were 5 procedure-related losses (2%), 3 of which were chromosomally normal. Conclusion: Although significant advances have been made in noninvasive methods such as NIPT, CVS is still a reliable technique for cytogenetic diagnosis in early gestation.</t>
  </si>
  <si>
    <t>Fetal Pediatr Pathol</t>
  </si>
  <si>
    <t>33009680</t>
  </si>
  <si>
    <t>Zou Y</t>
  </si>
  <si>
    <t>Applications of noninvasive prenatal testing in vanishing twin syndrome pregnancies after treatment of assisted reproductive technology in a single center.</t>
  </si>
  <si>
    <t>OBJECTIVE: The objective of the study is to assess the clinical application of noninvasive prenatal testing (NIPT) for VTS pregnancies after the treatment of assisted reproductive technology (ART). METHOD: This was a retrospective study on VTS pregnancies through ART treatment. Participants underwent NIPT at 11 to 13 weeks gestation by sequencing. Resampling was recommended for both positive and testing failure cases. For NIPT positive results, participants were advised to have invasive testing. Clinical outcomes were obtained by telephone interview. RESULTS: In total of 579 cases, testing failure rates after first sampling and resampling were 7.6% and 1.4%, respectively. Twelve positive results were reported by NIPT. But only one true positive was confirmed, giving a PPV of 8%. A total of 576 cases completed the follow-up (including 533 NIPT negative, 12 positive, and 31 testing failure) and three cases lost follow-up. Among the 536 cases with NIPT negative results, 504 (94.0%) resulted in live-birth and 29 (5.4%) resulted in miscarriage or stillbirths. No false-negative result was reported. CONCLUSION: NIPT has the potential to be used in prenatal screening for VTS pregnancies. For the pregnant women who obtained positive and testing failure results, resampling after 15 weeks of gestation is recommended.</t>
  </si>
  <si>
    <t>33230826</t>
  </si>
  <si>
    <t>Lund ICB</t>
  </si>
  <si>
    <t>National data on the early clinical use of non-invasive prenatal testing in public and private healthcare in Denmark 2013-2017.</t>
  </si>
  <si>
    <t>INTRODUCTION: In Denmark, non-invasive prenatal testing (NIPT) has been used since 2013. We aimed to evaluate the early clinical use of NIPT in Danish public and private healthcare settings before NIPT became an integrated part of the national guidelines on prenatal screening and diagnosis in 2017. MATERIAL AND METHODS: NIPT data were collected between March 2013 and June 2017 from national public registries and private providers. Results from follow-up samples (chorionic villi, amniotic fluid, postnatal blood or fetal tissue) were included from The Danish Cytogenetics Central Registry and indications and outcome from The Danish Fetal Medicine Database. RESULTS: A total of 3936 NIPT results were included in the study from public hospitals (n = 3463, 88.0%) and private clinics (n = 473, 12.0%). The total number of prenatal tests was 19 713 during the study period: 20% were NIPT analyses (n = 3936) and 80% invasive procedures (n = 15 777). Twenty-five percent of NIPTs in the private clinics were performed before gestational week 11+0 , whereas NIPT in public settings was used only after combined first trimester screening (P &lt; .001). Regardless of indication, the national public sensitivity was 96.9% (95% CI 82.0%-99.8%) for trisomy 21, 100% (95% CI 46.3%-100%) for trisomy 18, 100% (95% CI 5.5%-100%) for trisomy 13, and 87.0% (95% CI 74.5%-92.4%) for any fetal chromosomal aberration. Forty-seven true-positive NIPT results included cases of common aneuplodies (trisomy 21, n = 31; trisomy 18, n = 5; and trisomy 13, n = 1), sex chromosomal aberrations (n = 7) and atypical chromosomal aberrations (n = 3). One false-negative NIPT result occurred (trisomy 21). Of 47 cases, 21 (45%) cases with a true-positive NIPT result resulted in live births by choice; 11 of these children had Down and 4 had Edwards syndrome. CONCLUSIONS: The total number of NIPT analyses was low compared with the number of invasive procedures in the implementation period. In contrast to the generally high termination rate after a positive result following invasive testing in Denmark, a high proportion of true-positive NIPT results from the public setting resulted in live births. NIPT may be an important risk-free alternative to invasive testing for a minority of women in the public setting who wish to use prenatal genetic testing for information only and not for reproductive decision-making.</t>
  </si>
  <si>
    <t>Acta Obstet Gynecol Scand</t>
  </si>
  <si>
    <t>33460583</t>
  </si>
  <si>
    <t>Khalil A</t>
  </si>
  <si>
    <t>Noninvasive prenatal screening in twin pregnancies with cell-free DNA using the IONA test: a prospective multicenter study.</t>
  </si>
  <si>
    <t>BACKGROUND: In singleton pregnancies, studies investigating cell-free DNA in maternal blood have consistently reported high detection rate and low false-positive rate for the 3 common fetal trisomies (trisomies 21, 18, and 13). The potential advantages of noninvasive prenatal testing in twin pregnancies are even greater than in singletons, in particular lower need for invasive testing and consequent fetal loss rate. However, several organizations do not recommend cell-free DNA in twin pregnancies and call for larger prospective studies. OBJECTIVE: In response to this, we undertook a large prospective multicenter study to establish the screening performance of cell-free DNA for the 3 common trisomies in twin pregnancies. Moreover, we combined our data with that reported in published studies to obtain the best estimate of screening performance. STUDY DESIGN: This was a prospective multicenter blinded study evaluating the screening performance of cell-free DNA in maternal plasma for the detection of fetal trisomies in twin pregnancies. The study took place in 6 fetal medicine centers in England, United Kingdom. The primary outcome was the screening performance and test failure rate of cell-free DNA using next generation sequencing (the IONA test). Maternal blood was taken at the time of (or after) a conventional screening test. Data were collected at enrolment, at any relevant invasive testing throughout pregnancy, and after delivery until the time of hospital discharge. Prospective detailed outcome ascertainment was undertaken on all newborns. The study was undertaken and reported according to the Standards for Reporting of Diagnostic Accuracy Studies. A pooled analysis was also undertaken using our data and those in the studies identified by a literature search (MEDLINE, Embase, CENTRAL, Cochrane Library, and ClinicalTrials.gov) on June 6, 2020. RESULTS: A total of 1003 women with twin pregnancies were recruited, and complete data with follow-up and reference data were available for 961 (95.8%); 276 were monochorionic and 685 were dichorionic. The failure rate was 0.31%. The mean fetal fraction was 12.2% (range, 3%-36%); all 9 samples with a 3% fetal fraction provided a valid result. There were no false-positive or false-negative results for trisomy 21 or trisomy 13, whereas there was 1 false-negative and 1 false-positive result for trisomy 18. The IONA test had a detection rate of 100% for trisomy 21 (n=13; 95% confidence interval, 75-100), 0% for trisomy 18 (n=1; 95% confidence interval, 0-98), and 100% for trisomy 13 (n=1; 95% confidence interval, 3-100). The corresponding false-positive rates were 0% (95% confidence interval, 0-0.39), 0.10% (95% confidence interval, 0-0.58), and 0% (95% confidence interval, 0-0.39), respectively. By combining data from our study with the 11 studies identified by literature search, the detection rate for trisomy 21 was 95% (n=74; 95% confidence interval, 90-99) and the false-positive rate was 0.09% (n=5598; 95% confidence interval, 0.03-0.19). The corresponding values for trisomy 18 were 82% (n=22; 95% confidence interval, 66-93) and 0.08% (n=4869; 95% confidence interval, 0.02-0.18), respectively. There were 5 cases of trisomy 13 and 3881 non-trisomy 13 pregnancies, resulting in a computed average detection rate of 80% and a false-positive rate of 0.13%. CONCLUSION: This large multicenter study confirms that cell-free DNA testing is the most accurate screening test for trisomy 21 in twin pregnancies, with screening performance similar to that in singletons and very low failure rates (0.31%). The predictive accuracy for trisomies 18 and 13 may be less. However, given the low false-positive rate, offering first-line screening with cell-free DNA to women with twin pregnancy is appropriate in our view and should be considered a primary screening test for trisomy 21 in twins.</t>
  </si>
  <si>
    <t>33838069</t>
  </si>
  <si>
    <t>Judah H</t>
  </si>
  <si>
    <t>Cell-free DNA testing of maternal blood in screening for trisomies in twin pregnancy: updated cohort study at 10-14 weeks and meta-analysis.</t>
  </si>
  <si>
    <t>OBJECTIVE: To expand the limited knowledge on cell-free DNA (cfDNA) analysis of maternal blood for trisomies 21, 18 and 13 in twin pregnancy by updating the data from The Fetal Medicine Foundation (FMF) on prospective first-trimester screening and those identified in a systematic review of the literature. METHODS: The FMF data were derived from prospective screening for trisomies 21, 18 and 13 in twin pregnancies at 10 + 0 to 14 + 1 weeks' gestation using the Harmony® prenatal test. A search of MEDLINE, EMBASE, CENTRAL (The Cochrane Library), ClinicalTrials.gov and the International Clinical Trials Registry Platform (World Health Organization) was carried out to identify all peer-reviewed publications on clinical validation or implementation of maternal cfDNA testing for trisomies 21, 18 and 13 in twin pregnancy, irrespective of gestational age at testing, in which data on pregnancy outcome were provided for at least 85% of the study population. Meta-analysis was performed using the FMF data and data from the studies identified by the literature search. This review was registered in the PROSPERO international database for systematic reviews RESULTS: In the FMF study, cfDNA testing was carried out in 1442 twin pregnancies and a result was obtained, after first or second sampling, in 1367 (94.8%) cases. In 93.1% (1272/1367) of cases, there was prenatal or postnatal karyotyping or birth of phenotypically normal babies; 95 cases were excluded from further analysis either because the pregnancy ended in termination, miscarriage or stillbirth with no known karyotype (n = 56) or there was loss to follow-up (n = 39). In the 1272 pregnancies included in the study, there were 20 cases with trisomy 21, 10 with trisomy 18, two with trisomy 13 and 1240 without trisomy 21, 18 or 13. The cfDNA test classified correctly 19 (95.0%) of the 20 cases of trisomy 21, nine (90.0%) of the 10 cases of trisomy 18, one (50.0%) of the two cases of trisomy 13 and 1235 (99.6%) of the 1240 cases without any of the three trisomies. The literature search identified 12 relevant studies, excluding our papers because their data are included in the current study. In the combined populations of our study and the 12 studies identified by the literature search, there were 137 trisomy-21 and 7507 non-trisomy-21 twin pregnancies; the pooled weighted detection rate (DR) and false-positive rate (FPR) were 99.0% (95% CI, 92.0-99.9%) and 0.02% (95% CI, 0.001-0.43%), respectively. In the combined total of 50 cases of trisomy 18 and 6840 non-trisomy-18 pregnancies, the pooled weighted DR and FPR were 92.8% (95% CI, 77.6-98.0%) and 0.01% (95% CI, 0.00-0.44%), respectively. In the combined total of 11 cases of trisomy 13 and 6290 non-trisomy-13 pregnancies, the pooled weighted DR and FPR were 94.7% (95% CI, 9.14-99.97%) and 0.10% (95% CI, 0.03-0.39%), respectively. CONCLUSIONS: In twin pregnancy, the reported DR of trisomy 21 by cfDNA testing is high, but lower than that in singleton pregnancy, whereas the FPR appears to be equally low. The number of cases of trisomy 18 and more so trisomy 13 was too small for accurate assessment of the predictive performance of the cfDNA test. © 2021 International Society of Ultrasound in Obstetrics and Gynecology.</t>
  </si>
  <si>
    <t>Journal Article; Meta-Analysis; Research Support, Non-U.S. Gov't</t>
  </si>
  <si>
    <t>33853619</t>
  </si>
  <si>
    <t>Ge Y</t>
  </si>
  <si>
    <t>Expanded noninvasive prenatal testing for fetal aneuploidy and copy number variations and parental willingness for invasive diagnosis in a cohort of 18,516 cases.</t>
  </si>
  <si>
    <t>BACKGROUND: Noninvasive prenatal testing (NIPT) has been wildly used to screen for common aneuplodies. In recent years, the test has been expanded to detect rare autosomal aneuploidies (RATs) and copy number variations (CNVs). This study was performed to investigate the performance of expanded noninvasive prenatal testing (expanded NIPT) in screening for common trisomies, sex chromosomal aneuploidies (SCAs), rare autosomal aneuploidies (RATs), and copy number variations (CNVs) and parental willingness for invasive prenatal diagnosis in a Chinese prenatal diagnosis center. METHODS: A total of 24,702 pregnant women were retrospectively analyzed at the Women and Children's Hospital from January 2013 to April 2019, among which expanded NIPT had been successfully conducted in 24,702 pregnant women. The high-risk expanded NIPT results were validated by karyotype analysis and chromosomal microarray analysis. All the tested pregnant women were followed up for pregnancy outcomes. RESULTS: Of the 24,702 cases, successful follow-up was conducted in 98.77% (401/446) of cases with common trisomies and SCAs, 91.95% (80/87) of RAT and CNV cases, and 76.25% (18,429/24,169) of cases with low-risk screening results. The sensitivity of expanded NIPT was 100% (95% confidence interval[CI], 97.38-100%), 96.67%(95%CI, 82.78-99.92%), and 100%(95%CI, 66.37-100.00%), and the specificity was 99.92%(95%CI, 99.87-99.96%), 99.96%(95%CI, 99.91-99.98%), and 99.88% (95%CI, 99.82-99.93%) for the detection of trisomies 21, 18, and 13, respectively. Expanded NIPT detected 45,X, 47,XXX, 47,XXY, XYY syndrome, RATs, and CNVs with positive predictive values of 25.49%, 75%, 94.12%, 76.19%, 6.45%, and 50%, respectively. The women carrying fetuses with Trisomy 21/Trisomy 18/Trisomy 13 underwent invasive prenatal diagnosis and terminated their pregnancies at higher rates than those at high risk for SCAs, RATs, and CNVs. CONCLUSIONS: Our study demonstrates that the expanded NIPT detects fetal trisomies 21, 18, and 13 with high sensitivity and specificity. The accuracy of detecting SCAs, RATs, and CNVs is still relatively poor and needs to be improved. With a high-risk expanded NIPT result, the women at high risk for common trisomies are more likely to undergo invasive prenatal diagnosis procedures and terminate their pregnancies than those with unusual chromosome abnormalities.</t>
  </si>
  <si>
    <t>33884933</t>
  </si>
  <si>
    <t>Chang J</t>
  </si>
  <si>
    <t>Factors associated with test failure in pregnant women undergoing cell-free DNA-based testing for fetal trisomy.</t>
  </si>
  <si>
    <t>OBJECTIVE: To investigate the factors associated with cell-free DNA test failure, and the optimal subsequent management of these pregnancies. METHODS: This was a retrospective study of 27,363 singleton pregnancies undergoing cell-free DNA testing. Women with cell-free DNA test failure were divided into a high-risk group and a low-risk group according to their indications. The subsequent management and pregnancy outcomes of these women were followed up. RESULTS: The rate of cell-free DNA test failure at the first sampling was 1.49%, and 78.4% of failures were due to a low fetal fraction. Of the 66 women who refused any subsequent management, an adverse pregnancy outcome was seen in 5 cases, all belonging to the high-risk group. Of the 13 low-risk women who chose second-trimester maternal serum screening, all obtained a low-risk maternal serum screening result and an unaffected pregnancy outcome. A redraw was chosen by 171 women, which yielded a result in 75.4% and their pregnancy outcomes were unaffected; 42 women had an uninformative result again and received an amniocentesis. As 158 women had an amniocentesis after the first sampling, this procedure was offered in 200 cases altogether. Abnormal genetic testing results were shown in six (3%, 6/200) cases, all in the high-risk group. CONCLUSIONS: High-risk pregnant women with cell-free DNA test failure are at increased risk of adverse pregnancy outcomes. A second sampling for cell-free DNA test or maternal serum screening might be suggested to low-risk women. Invasive prenatal diagnosis should be offered to the high-risk patients, especially those with a second cell-free DNA test failure.</t>
  </si>
  <si>
    <t>33957658</t>
  </si>
  <si>
    <t>van Riel M</t>
  </si>
  <si>
    <t>Performance and Diagnostic Value of Genome-Wide Noninvasive Prenatal Testing in Multiple Gestations.</t>
  </si>
  <si>
    <t>OBJECTIVE: To evaluate the accuracy and diagnostic value of genome-wide noninvasive prenatal testing (NIPT) for the detection of fetal aneuploidies in multiple gestations, with a focus on dichorionic-diamniotic twin pregnancies. METHODS: We performed a retrospective cohort study including data from pregnant women with a twin or higher-order gestation who underwent genome-wide NIPT at one of the eight Belgian genetic centers between November 1, 2013, and March 1, 2020. Chorionicity and amnionicity were determined by ultrasonography. Follow-up invasive testing was carried out in the event of positive NIPT results. Sensitivity and specificity were calculated for the detection of trisomy 21, 18, and 13 in the dichorionic-diamniotic twin cohort. RESULTS: Unique NIPT analyses were performed for 4,150 pregnant women with a multiple gestation and an additional 767 with vanishing gestations. The failure rate in multiple gestations excluding vanishing gestations ranged from 0% to 11.7% among the different genetic centers. Overall, the failure rate was 4.8%, which could be reduced to 1.2% after single resampling. There were no common fetal trisomies detected among the 86 monochorionic-monoamniotic and 25 triplet cases. Two monochorionic-diamniotic twins had an NIPT result indicative of a trisomy 21, which was confirmed in both fetuses. Among 2,716 dichorionic-diamniotic twin gestations, a sensitivity of 100% (95% CI 74.12-100%) and a specificity of 100% (95% CI 99.86-100%) was reached for trisomy 21 (n=12). For trisomy 18 (n=3), the respective values were 75% (95% CI 30.06-95.44%) sensitivity and 100% (95% CI 99.86-100%) specificity, and for trisomy 13 (n=2), 100% (95% CI 20.65-100%) sensitivity and 99.96% (95% CI 99.79-99.99%) specificity. In the vanishing gestation group, 28 NIPT results were positive for trisomy 21, 18, or 13, with only five confirmed trisomies. CONCLUSION: Genome-wide NIPT performed accurately for detection of aneuploidy in dichorionic-diamniotic twin gestations.</t>
  </si>
  <si>
    <t>Obstet Gynecol</t>
  </si>
  <si>
    <t>34025125</t>
  </si>
  <si>
    <t>Qi QG</t>
  </si>
  <si>
    <t>Amniocentesis and Next Generation Sequencing (NGS)-Based Noninvasive Prenatal DNA Testing (NIPT) for Prenatal Diagnosis of Fetal Chromosomal Disorders.</t>
  </si>
  <si>
    <t>OBJECTIVE: The present study aimed to evaluate and analyze the results of karyotyping by amniocentesis and next generation sequencing (NGS)-based noninvasive prenatal DNA testing (NIPT) for the prenatal diagnosis of fetal chromosomal disorders. METHODS: A total of 2267 high-risk pregnant females with the indications for prenatal diagnosis who met the enrollment criteria between January 2015 and May 2019 at the Affiliated Hospital of Inner Mongolia Medical University were included and underwent NGS-based NIPT in the present study. Amniocentesis, chromosome karyotyping by cell culture, and follow-up of the pregnancy outcomes were also conducted in the NIPT-positive pregnant females to assess the consistency between NIPT and results of karyotyping by amniocentesis. RESULTS: Among the 2267 cases, 29 cases were positive for NIPT, including 10 cases with a high risk of trisomy 21, 2 cases with a high risk of trisomy 18, 2 cases with a high risk of chromosome 13, and 20 cases with sex chromosome abnormalities. All the above NIPT-positive cases underwent amniocentesis, and 20 cases were eventually diagnosed. The sensitivity and specificity of NIPT for the diagnosis of trisomy 21, trisomy 13, and trisomy 18 were 100%, 99.96%, 100%, and 99.96%, 100%, 100%, respectively, and the positive predictive values were 91.67%, 66.67%, and 100%, respectively. CONCLUSION: NGS of the fetal free DNA from the peripheral blood of pregnant females was an important complement to the prenatal diagnosis of chromosomal disorders represented by fetal chromosome aneuploidy with high sensitivity and specificity. In combination with the traditional karyotyping by amniocentesis, it could improve the diagnostic efficacy for fetal chromosomal disorders.</t>
  </si>
  <si>
    <t>Int J Gen Med</t>
  </si>
  <si>
    <t>34040638</t>
  </si>
  <si>
    <t>Xu Y</t>
  </si>
  <si>
    <t>Clinical Efficiency of Non-invasive Prenatal Screening for Common Trisomies in Low-Risk and Twin Pregnancies.</t>
  </si>
  <si>
    <t>To evaluate the clinical efficiency of non-invasive prenatal screening (NIPS) for fetal aneuploidies in low-risk and twin pregnancies, patients who received NIPS in a tertiary university hospital were enrolled, and their clinical data, NIPS results and pregnancy outcomes were collected. Patients were divided into singleton and twin pregnancies, and then those with singleton pregnancies were divided into low- and high-risk pregnancies. Sensitivity, specificity, positive predictive value (PPV) and negative predictive value (NPV) were estimated. Comparisons were made on the clinical efficiency of NIPS between singleton and twin pregnancies, as well as between low- and high-risk pregnancies. Of 66,172 patients enrolled, 59,962 were eligible for analysis. The sensitivity, specificity and NPV were ≥ 99% in singleton and twin pregnancies. The PPVs were 90.4, 56.6, and 13.0% in singleton pregnancies, while 100, 33.3, and 0% in twin pregnancies for trisomy 21 (T21), trisomy 18 (T18) and trisomy 13 (T13), respectively (P &gt; 0.05 for all). The PPVs were 97.4 and 90.0% in high-risk pregnancies, while 78.6 and 16.7% in low-risk pregnancies for T21 and T18, respectively (P &lt; 0.05 for all). In summary, the performance of NIPS in singleton pregnancies was similar to that in twin pregnancies. NIPS can be recommended for all pregnancies regardless of the risks.</t>
  </si>
  <si>
    <t>34127051</t>
  </si>
  <si>
    <t>Pang Y</t>
  </si>
  <si>
    <t>Clinical application of noninvasive prenatal testing in the detection of fetal chromosomal diseases.</t>
  </si>
  <si>
    <t>OBJECTIVE: To assess the detection efficiency of noninvasive prenatal testing (NIPT) for fetal autosomal aneuploidy, sex chromosome aneuploidy (SCA), other chromosome aneuploidy, copy number variation (CNV), and to provide further data for clinical application of NIPT. MATERIALS AND METHODS: 25,517 pregnant women who underwent NIPT testing in Anhui Province Maternity and Child Health Hospital from September 2019 to September 2020 were selected, and samples with high-risk test results were subjected to karyotype analysis for comparison by using amniotic fluid, with some samples subjected to further validation by chromosomal microarray analysis, and followed up for pregnancy outcome. RESULTS: A total of 25,517 pregnant women who received NIPT, 25,502 cases were tested successfully, and 294 high-risk samples (1.15%) were detected, there were 96 true positive samples, 117 false positive samples and 81 cases were refused further diagnosis. Samples with high risk of autosomal aneuploidy were detected in 71 cases (0.28%), and 51 cases were confirmed, including: trisomy 21 (T21) in 44 cases, trisomy 18 (T18) in 5 cases, and trisomy 13 (T13) in 2 cases; the positive predictive value (PPV) was 91.67%, 45.45%, and 33.33%, respectively, and the negative predictive value was 100%, the false positive rate (FPR) was 0.02%, 0.02%, and 0.02%, respectively.13 samples with high risk of mosaic trisomies 21, 18, and 13 were detected, and 1 case of T21mos was confirmed with a PPV of 8.33%. Samples with high risk of SCA were detected in 72 cases (0.28%), and the diagnosis was confirmed in 23 cases, with a PPV of 41.07% and a FPR of 0.13%. These included 3 cases of 45,X, 6 cases of 47,XXY, 8 cases of 47,XXX and 6 cases of 47,XYY, with PPVs of 12.00%, 50.00%, 72.73%, and 75.00%, respectively, and false-positive rates of 0.09%, 0.02%, 0.01% and 0.01% respectively. Samples with high risk of CNV were detected in 104 cases (0.41%) and confirmed in 18 cases, with a PPV of 32.14% and a FPR of 0.15%. Samples with high risk of other chromosomal aneuploidy were detected in 34 cases (0.13%), and the diagnosis was confirmed in 3 cases, which were T2, T9, and T16 respectively. The overall PPV for other chromosome aneuploidy was 12.50%, with a FPR of 0.08%. CONCLUSION: NIPT is indicated for trisomies 21, 18 and 13 screening, especially for T21. It also has some certain reference value for SCA and CNV, but is not recommended for screening of other chromosomal aneuploidy.</t>
  </si>
  <si>
    <t>Mol Cytogenet</t>
  </si>
  <si>
    <t>34876859</t>
  </si>
  <si>
    <t>Jin XX</t>
  </si>
  <si>
    <t>Clinical Application of Noninvasive Prenatal Testing for Pregnant Women with Assisted Reproductive Pregnancy.</t>
  </si>
  <si>
    <t>OBJECTIVE: This paper analyzes the clinical significance of noninvasive prenatal testing (NIPT) for fetal chromosome aneuploidy in the screening of in vitro fertilization-embryo transfer (IVF) pregnancies. METHODS: The study subjects consisted of 3163 IVF-pregnant women who underwent NIPT at the Women's Hospital, School of Medicine, Zhejiang University and Taizhou Hospital, Zhejiang Province from February 2015 to June 2019. Fetal or neonatal karyotype analysis was carried out in high-risk patients, with subsequent follow-up on pregnancy outcomes. RESULTS: NIPT results of 3163 pregnant women suggested 20 cases of high-risk fetal chromosome aneuploidy, of which 2185 cases were a single pregnancy. Of the 13 cases of high-risk chromosome aneuploidy in single pregnancies, seven were true positive, and six were false positive according to fetal or newborn chromosomal karyotype diagnosis. Twin pregnancies accounted for 978 cases in which NIPT indicated seven cases of high-risk chromosome aneuploidy; six of these cases were true positive, and one case was false positive according to fetal or newborn chromosomal karyotype diagnosis. The specificity, positive predictive value, and false-positive rate of trisomy 21 syndrome in IVF single embryo NIPT were 99.86%, 62.5%, and 0.14%, respectively. The specificity, positive predictive value, and false-positive rate of trisomy 18 syndrome were 99.95%, 66.67%, and 0.05%, respectively. The specificity of trisomy 13 syndrome was 99.91%, and the false-positive rate was 0.09%. The specificity of trisomy 21 syndrome in IVF twin NIPT was 99.89%, the positive predictive value was 83.33%, and the false-positive rate was 0.11%. The specificity and positive predictive value of fetal trisomy 18 syndrome were 100.00%, and the false-positive rate of it were 0.00%. Sensitivity and false-negative rates were 100% in all cases. CONCLUSION: NIPT is an ideal prenatal test for IVF-pregnant women due to its high sensitivity and specificity in screening for fetal aneuploidy.</t>
  </si>
  <si>
    <t>31671482</t>
  </si>
  <si>
    <t>Hancock S</t>
  </si>
  <si>
    <t>Clinical experience across the fetal-fraction spectrum of a non-invasive prenatal screening approach with low test-failure rate.</t>
  </si>
  <si>
    <t>OBJECTIVE: To describe our clinical experience across the entire range of fetal-fraction (FF) measurements of a non-invasive prenatal screen (NIPS) that uses whole- genome sequencing (WGS). METHODS: We analyzed retrospectively results from 58 105 singleton pregnancies that underwent NIPS on a customized WGS platform during an 8-month period and assessed clinical test performance for trisomy 21, trisomy 18 and trisomy 13. Pregnancy outcomes were sought for all screen-positive patients and for 18% of screen-negative patients. As differences in outcome-collection response rates could artificially impact test-performance calculations, we computed inferred sensitivity, specificity, positive predictive values (PPV) and negative predictive values adjusted for ascertainment bias. RESULTS: The screening test yielded a result for 99.9% (n = 58 048) of patients, meaning that approximately 1 in 1000 patients received a test failure (i.e. test failure rate = 0.1%). Of pregnancies with a test result, 572 (1%) screened positive for one of the common aneuploidies (362 for trisomy 21, 142 for trisomy 18 and 68 for trisomy 13). Informative outcomes were received for 237 (41.4%) patients with a screen-positive result and 3258 (5.7%) of those with a screen-negative result. In the full cohort, inferred sensitivities for trisomy 21, trisomy 18 and trisomy 13 were 99.7%, 96.8% and 94.3%, respectively, and PPVs were 93.1%, 85.2% and 48.4%, respectively. If a FF threshold of 4% had been employed to guard against false negatives, calculated sensitivities for the three aneuploidies would not have changed significantly, yet, importantly, the overall test-failure rate would have increased to 6.6% (n = 3829), impacting 1 in 15 women. CONCLUSIONS: Our clinical experience demonstrates that a customized WGS-based NIPS without a FF threshold achieves high accuracy while maintaining a low test-failure rate of 0.1%. As such, alternative strategies to ensure high accuracy of detection of common aneuploidies in samples with low FF (such as redraw after test failure, redrawing at a later gestational age, risk scoring based on FF) are not necessary for this screening approach. © 2019 The Authors. Ultrasound in Obstetrics &amp; Gynecology published by John Wiley &amp; Sons Ltd on behalf of the International Society of Ultrasound in Obstetrics and Gynecology.</t>
  </si>
  <si>
    <t>31697852</t>
  </si>
  <si>
    <t>Bardi F</t>
  </si>
  <si>
    <t>Is there still a role for nuchal translucency measurement in the changing paradigm of first trimester screening?</t>
  </si>
  <si>
    <t>OBJECTIVES: To give an overview of the genetic and structural abnormalities occurring in fetuses with nuchal translucency (NT) measurement exceeding the 95th percentile at first-trimester screening and to investigate which of these abnormalities would be missed if cell-free fetal DNA (cfDNA) were used as a first-tier screening test for chromosomal abnormalities. METHODS: This is a national study including 1901 pregnancies with NT≥95th percentile referred to seven university hospitals in the Netherlands between 1 January 2010 and 1 January 2016. All cases with unknown pregnancy outcome were excluded. Results of detailed ultrasound examinations, karyotyping, genotyping, pregnancy and neonatal outcomes, investigation by a clinical geneticist and post-mortem investigations were collected. RESULTS: In total, 821 (43%) pregnancies had at least one abnormality. The rate of abnormalities was 21% for fetuses with NT between 95th and 99th percentile and 62% for fetuses with NT≥99th percentile. Prevalence of single-gene disorders, submicroscopic, chromosomal and structural abnormalities was 2%, 2%, 30% and 9%, respectively. CONCLUSION: Although cfDNA is superior to the combined test, especially for the detection of trisomy 21, 34% of the congenital abnormalities occurring in fetuses with increased NT may remain undetected in the first trimester of pregnancy, unless cfDNA is used in combination with fetal sonographic assessment, including NT measurement.</t>
  </si>
  <si>
    <t>31769052</t>
  </si>
  <si>
    <t>Prevalence of mosaicism in uncultured chorionic villus samples after chromosomal microarray and clinical outcome in pregnancies affected by confined placental mosaicism.</t>
  </si>
  <si>
    <t>OBJECTIVE: To evaluate the prevalence of mosaicism in chorionic villus sampling (CVS) samples after chromosomal microarray (CMA) and clinical outcome of pregnancies affected by confined placental mosaicism. METHOD: We retrieved all results from CMA, array-based comparative genomic hybridization, on CVS samples from January 2011 to November 2017 from Central and North Denmark Regions. Mosaic results from uncultured chorionic villi, cytotrophoblasts and mesenchymal cells, after CVS and follow-up on amniocytes, fetal tissue, or postnatal blood were studied and matched with clinical data from The Danish Fetal Medicine Database. RESULTS: Prevalence of mosaicism was 93 out of 2,288 (4.1%) CVS samples of which 17 (18.3%) concerned submicroscopic copy number variations (CNVs) &lt;10 Mb. Follow-up analyses were performed in 62 cases. True fetal mosaicism (TFM) was confirmed in 18.4% (7/38) when mosaicism involved whole chromosome aneuploidy and in 25.0% (6/24), when involving a CNV (P = .59). Median birth weight z-score was higher in cases of confined placental mosaicism for a CNV (0.21) than cases involving whole chromosomes (-0.74) (P = .02). CONCLUSION: Prevalence of mosaicism in CVS samples is higher after CMA on uncultured tissue than after conventional karyotyping on cultured tissue. The risk of TFM is equally high in cases of mosaicism for CNVs and whole chromosomes.</t>
  </si>
  <si>
    <t>32067421</t>
  </si>
  <si>
    <t>Lin Y</t>
  </si>
  <si>
    <t>Analyzing false-negative results detected in low-risk non-invasive prenatal screening cases.</t>
  </si>
  <si>
    <t>BACKGROUND: The non-invasive prenatal screening (NIPS) has been introduced into clinical practice with a high sensitivity and specificity. Although the false-negative results are inevitable and important, limited false-negative NIPS results have been reported and studied previously. In this study, we aim to report and analyze false-negative results detected in the NIPS cases with a low-risk result. METHODS: NIPS was performed using whole-genome massively parallel shotgun sequencing for screening common trisomies, rare autosomal aneuploidies, and subchromosome copy number variants. All the NIPS cases with a low-risk result performed in our center in 2017 were followed-up using medical records and telephone interview at 3 months after delivery. Fetal ultrasound results and available genetic diagnostic testing results were collected for pregnancies with adverse outcomes. The genetic diagnostic testing referred to chromosomal microarray analysis or fluorescent in situ hybridization on amniotic fluid cells, fetal skin tissue, neonatal peripheral blood, or available placental biopsies. RESULTS: By following-up 10,975 low-risk results, we found 166 NIPS cases with adverse pregnancy outcomes, in which eight cases had diagnostic testing. Among them, four false-negative cases were confirmed, including one trisomy 18 caused by placental mosaicism, one mosaic tetrasomy 12p, and 2 microdeletion/microduplication cases. CONCLUSION: Our results revealed that mosaicism contributes to a major cause of false negative in NIPS, and highlighted the importance of ultrasound in identifying these false-negative results.</t>
  </si>
  <si>
    <t>Mol Genet Genomic Med</t>
  </si>
  <si>
    <t>32658420</t>
  </si>
  <si>
    <t>Yin L</t>
  </si>
  <si>
    <t>Application of Non-Invasive Prenatal Tests in Serological Preclinical Screening for Women with Critical-Risk and Low-Risk Pregnancies but Abnormal Multiple of the Median Values.</t>
  </si>
  <si>
    <t>BACKGROUND: To explore the clinical value of secondary screening using noninvasive prenatal testing (NIPT) for women with critical-risk and low-risk pregnancies who had multiple of the median (MoM) abnormalities in serological screening. METHODS: NIPT was used to analyze fetal free DNA in the peripheral blood of 2,325 women with critical-risk pregnancies and 239 women with low-risk pregnancies with MoM abnormalities in serological screening. Based on NIPT results, women with high-risk pregnancies were recommended for amniocentesis for fetal karyotype analysis. RESULTS: Among 2,325 women with critical-risk pregnancies as determined by serological screening, NIPT indicated 15 high-risk pregnancies (11 cases of trisomy 21 and 4 cases of trisomy 18). Of the 15 patients, 1 case refused prenatal diagnosis. The other 14 cases underwent invasive amniocentesis for fetal karyotype analysis, and 13 cases of fetal chromosomal abnormalities were diagnosed, including ten cases of trisomy 21 and three cases of trisomy 18. NIPT of 239 patients with low-risk pregnancies but abnormal MoM showed one case with a high risk of trisomy 21, which was diagnosed as a false positive by amniotic fluid karyotype analysis, and one case with a high risk of trisomy 13 (stillbirth) that was diagnosed by karyotype analysis. A case of gender chromosome abnormality was diagnosed as aneuploidy by karyotype analysis. CONCLUSIONS: The application of NIPT as a secondary screening for women with low- and critical-risk pregnancies as determined by serological screening but with MoM abnormalities will greatly reduce the number of invasive prenatal diagnosis procedures, significantly improve the rate and accuracy of fetal chromosomal abnormality detection.</t>
  </si>
  <si>
    <t>Clin Lab</t>
  </si>
  <si>
    <t>32695138</t>
  </si>
  <si>
    <t>Zheng J</t>
  </si>
  <si>
    <t>The Clinical Utility of Non-invasive Prenatal Testing for Pregnant Women With Different Diagnostic Indications.</t>
  </si>
  <si>
    <t>BACKGROUND: Our aim was to evaluate the clinical utility of non-invasive prenatal testing for pregnant women with different diagnostic indications. METHODS: In eight counties and districts of Yancheng, we studied 13,149 pregnant women with different indications who were offered NIPT for fetal screening, including for sex chromosomal aneuploidies (SCAs), rare autosomal trisomies (RATs), and subchromosomal copy number variations (CNVs). The purpose was to compare the detection of positive predictive values (PPVs) of different indications with the use of NIPT. The results were validated by karyotyping, chromosomal microarray analysis (CMA), or follow-up of pregnancy outcomes. RESULTS: 13,149 maternal plasma samples were sequenced, among which 28 samples (0.2%) failed the sequencing quality control. The remaining 13,121 samples were analyzed, and birth follow-up missed 2,192 samples (16.7%). The PPVs of NIPT results for trisomy 21 (T21) and trisomy 18 (T18) and SCAs were 96.67, 63.64, and 31.34%, respectively. Among the advanced maternal age (AMA), serum screening high risk (SSHR), serum screening intermediate risk (SSIR), and voluntary screening (VS) groups, the PPVs for the common trisomies were 81.25, 85.71, 100, and 70%, respectively; the PPVs for total chromosomal abnormalities were 55.82, 65.22, 23.08, and 36.59%, respectively. CONCLUSION: NIPT for T21 and T18 and SCAs screening were ideal, and the PPVs for trisomy 13 (T13), RATs, and CNVs were low. For the AMA and VS groups, NIPT could be used as a first-line screening program; for SSHR and SSIR groups, NIPT could be used as a second-line supplementary screening program.</t>
  </si>
  <si>
    <t>32721841</t>
  </si>
  <si>
    <t>Wan JH</t>
  </si>
  <si>
    <t>Use of noninvasive prenatal screening with cell-free DNA in late pregnancy with sonographic soft markers.</t>
  </si>
  <si>
    <t>OBJECTIVE: To report the experience on the clinical use of noninvasive cell-free (cf) DNA testing at late pregnancy. STUDY DESIGN: A cohort of 1539 women with singleton gestations of ≥23 weeks receiving cfDNA testing in a 3-year period were included for this study. Maternal characteristics and data on cfDNA testing, confirming diagnostic testing and pregnancy outcome were reviewed. RESULTS: During the study period, 1539 patients had cfDNA testing although they had a normal first-trimester screening. Of these, 7 cases had a positive result, including 5 for chromosome 21, one for chromosome 18, and one for chromosome 13. The most common indication was soft markers on ultrasound, followed by polyhydramnios. Cytogenetic testing was done for the 5 trisomy 21 positive cases, and confirmed the cfDNA results. Confirmative testing was declined in the two cases with positive cfDNA for trisomy 18/13, and postnatal placental investigation showed confined placental mosaicism with normal karyotype in the cord blood of newborns. There were no confirmed false negatives reported. The cfDNA screening achieved a positive predictive value of 71.4 % and a negative predictive value of 100 % in late pregnancy for common trisomies. CONCLUSIONS: There is no gestational age upper limit for cfDNA use in the clinical practice. Most of the time, cfDNA was used in late gestation for reassurance in patients who is at low risk for aneuploidies but had second-trimester soft markers on ultrasound.</t>
  </si>
  <si>
    <t>Eur J Obstet Gynecol Reprod Biol</t>
  </si>
  <si>
    <t>33069877</t>
  </si>
  <si>
    <t>Wu X</t>
  </si>
  <si>
    <t>Clinical Review of Noninvasive Prenatal Testing: Experience from 551 Pregnancies with Noninvasive Prenatal Testing-Positive Results in a Tertiary Referral Center.</t>
  </si>
  <si>
    <t>A total of 551 pregnancies with positive results for noninvasive prenatal testing (NIPT) using traditional karyotyping and chromosomal microarray analysis were analyzed. Confirmatory results, positive predictive values, etiology exploration of false-positive results, and pregnancy outcomes were recorded. The study demonstrated that NIPT performed better in predicting trisomy 21 and trisomy 18 for pregnancies with advanced maternal age than for pregnancies with young maternal age; as for trisomy 13 and sex chromosomal aneuploidy (SCA) prediction, there was no significant difference between the two groups. The positive predictive values for trisomy 21, trisomy 18, trisomy 13, and SCA showed no significant upward trend when compared based on specific age categories (an interval of 5 years), which suggested that NIPT-positive result deserves equal attention from both providers and patients regardless of maternal age. In addition, the termination rates of 45,X, 47,XXY, 47,XXX, and 47,XYY were 100% (2/2), 92.9% (26/28), 33.3% (5/15), and 9.5% (2/21), respectively, which demonstrated that the decision-making regarding pregnancies varied greatly according to the types of SCAs, and further reinforce the importance of confirmatory prenatal diagnosis. The current study also supported the viewpoint that confined placental mosaicism and maternal mosaicism were the important etiology of false-positive results.</t>
  </si>
  <si>
    <t>J Mol Diagn</t>
  </si>
  <si>
    <t>33143018</t>
  </si>
  <si>
    <t>Serapinas D</t>
  </si>
  <si>
    <t>The Level of Free Fetal DNA as Precise Noninvasive Marker for Chromosomal Aneuploidies: First Results from BALTIC Region.</t>
  </si>
  <si>
    <t>Background and objectives: Noninvasive prenatal testing (NIPT), which has been introduced clinically since 2011, uses the circulating cell-free fetal DNA in the maternal blood to evaluate the risk of a chromosomal anomaly. The aim of this study was to examine the effectiveness of NIPT using a single nucleotide polymorphism method. Materials and Methods: A retrospective study was conducted between 2013 and 2019. The Natera Panorama test was used to analyze the risk of trisomies 21, 18, 13, X monosomy, trisomy, and other sex chromosome abnormalities. A positive result of NIPT for aneuploidy was confirmed by invasive testing. Results: 850 women with a singleton pregnancy participated in the study. The median fetal fraction was 9.0%. The fetal fraction was lower in the no-call group (3.1%) compared with the group that received a call (9.1%) (p &lt; 0.001). A positive correlation was determined between the gestational age and the fetal fraction (r = 0.180, p &lt; 0.001). The overall positive predictive value (PPV) of NIPT for trisomy 21 (n = 9), trisomy 18 (n = 3) and XYY syndrome (n = 1) was 100%. Conclusions: The results of present study showed 100% PPV effectiveness of NIPT Panorama test detecting trisomies of 21 and 18 chromosomes, as well as XYY syndrome in the studied cohort. Therefore, NIPT due to its high PPV, significantly reduces the need for invasive testing, thereby reducing the risk of miscarriage and stillbirth.</t>
  </si>
  <si>
    <t>Medicina (Kaunas)</t>
  </si>
  <si>
    <t>30014528</t>
  </si>
  <si>
    <t>McKanna T</t>
  </si>
  <si>
    <t>Fetal fraction-based risk algorithm for non-invasive prenatal testing: screening for trisomies 13 and 18 and triploidy in women with low cell-free fetal DNA.</t>
  </si>
  <si>
    <t>OBJECTIVE: To identify pregnancies at increased risk for trisomy 13, trisomy 18 or triploidy attributable to low fetal fraction (FF). METHODS: A FF-based risk (FFBR) model was built using data from more than 165 000 singleton pregnancies referred for single-nucleotide polymorphism (SNP)-based non-invasive prenatal testing (NIPT). Based on maternal weight and gestational age (GA), FF distributions for normal, trisomy 13, trisomy 18 and triploid pregnancies were constructed and used to adjust prior risks for these abnormalities. A risk cut-off of ≥ 1% was chosen to define pregnancies at high risk for trisomy 13, trisomy 18 or triploidy (high FFBR score). The model was evaluated on an independent blinded set of pregnancies for which SNP-based NIPT did not return a result, and for which pregnancy outcome information was gathered retrospectively. RESULTS: The evaluation cohort comprised 1148 cases, of which approximately half received a high FFBR score. Compared with rates expected based on maternal age (MA) and GA, cases with a high FFBR score had a significantly increased rate of trisomy 13, trisomy 18 or triploidy combined (5.7% vs 0.7%; P &lt; 0.001) and also of unexplained pregnancy loss (14.7% vs 10.4%; P &lt; 0.001). For cases that did not receive a high FFBR score, the incidence of a chromosomal abnormality or pregnancy loss was not significantly different from that expected based on MA and GA. In this study cohort, the sensitivity of the FFBR model for detection of trisomy 13, trisomy 18 or triploidy was 91.4% (95% CI, 76.9-98.2%) with a positive predictive value of 5.7% (32/564; 95% CI, 3.9-7.9%). CONCLUSIONS: For pregnancies with a FF too low to receive a result on standard NIPT, the FFBR algorithm identified a subset of cases at increased risk for trisomy 13, trisomy 18 or triploidy. For the remainder of cases, the risk of a fetal chromosomal abnormality was unchanged from that expected based on MA and GA. © 2018 The Authors. Ultrasound in Obstetrics &amp; Gynecology published by John Wiley &amp; Sons Ltd on behalf of the International Society of Ultrasound in Obstetrics and Gynecology.</t>
  </si>
  <si>
    <t>30191619</t>
  </si>
  <si>
    <t>El Khattabi LA</t>
  </si>
  <si>
    <t>Performance of semiconductor sequencing platform for non-invasive prenatal genetic screening for fetal aneuploidy: results from a multicenter prospective cohort study in a clinical setting.</t>
  </si>
  <si>
    <t>OBJECTIVE: To validate and evaluate the performance metrics of the high-throughput semiconductor sequencing platform, Ion Proton®, in non-invasive prenatal genetic screening (NIPS) for common fetal aneuploidies in a clinical setting. METHODS: This prospective cohort study included 2505 pregnant women from eight academic genetics laboratories (695 high risk for trisomy 21 (risk ≥ 1/250) pregnancies in a validation study, and 1810 such pregnancies, without ultrasound anomalies, in a real-life NIPS clinical setting). Outcome was available for all cases in the validation cohort and for 521 in the clinical cohort. Cell-free DNA from plasma samples was sequenced using the Ion Proton sequencer, and sequencing data were analyzed using the open-access software, WISECONDOR. Performance metrics for detection of trisomies 21, 18 and 13 were calculated based on either fetal karyotype result or clinical data collected at birth. We also evaluated the failure rate and compared three methods of fetal fraction quantification (RASSF1A assay, and DEFRAG and SANEFALCON software). RESULTS: Results from both cohorts were consistent and their gestational age was not significantly different so their data were combined to increase the sample size for analysis. Sensitivities and specificities, respectively, were as follows: for trisomy 21, 98.3% (95% CI, 93.5-99.7%) and 99.9% (95% CI, 99.4-100%); for trisomy 18, 96.7% (95% CI, 80.9-99.8%) and 100% (95% CI, 99.6-100%); and for trisomy 13, 94.1% (95% CI, 69.2-99.7%) and 100% (95% CI, 99.6-100%). Our failure rate was 1.2% initially and as low as 0.6% after retesting some of the failed samples. Fetal fraction estimation by the RASSF1A assay was consistent with DEFRAG results, and both were adequate for routine diagnosis. CONCLUSIONS: We describe one of the largest studies evaluating Ion Proton-based NIPS and the first clinical study reporting pregnancy outcome in a large series of patients. This platform is highly efficient in detecting the three most common trisomies. Our protocol is robust and can be implemented easily in any medical genetics laboratory. Copyright © 2018 ISUOG. Published by John Wiley &amp; Sons Ltd.</t>
  </si>
  <si>
    <t>Comparative Study; Journal Article; Multicenter Study</t>
  </si>
  <si>
    <t>30353581</t>
  </si>
  <si>
    <t>Galeva S</t>
  </si>
  <si>
    <t>Routine first-trimester screening for fetal trisomies in twin pregnancy: cell-free DNA test contingent on results from combined test.</t>
  </si>
  <si>
    <t>OBJECTIVE: To report on the routine clinical implementation of cell-free DNA (cfDNA) analysis of maternal blood for trisomies 21, 18 and 13, contingent on the results of the first-trimester combined test in twin pregnancy. METHODS: Screening for trisomies 21, 18 and 13 was carried out in 959 twin pregnancies by assessment of a combination of maternal age, fetal nuchal translucency thickness, and serum free β-human chorionic gonadotropin and pregnancy-associated plasma protein-A at 11-13 weeks' gestation in two UK NHS hospitals. Women in the high-risk group (risk ≥ 1 in 100) were offered the option of invasive testing, cfDNA testing or no further testing, and those in the intermediate-risk group (risk 1 in 101 to 1 in 2500 in the first phase of the study and 1 in 101 to 1 in 500 in the second phase) were offered cfDNA or no further testing. The trisomic status of the pregnancies was determined by prenatal or postnatal karyotyping or examination of the neonates. RESULTS: In 42 (4.4%) of the 959 pregnancies, there was termination, miscarriage or stillbirth with no known karyotype or there was loss to follow-up. The 917 pregnancies with known trisomic status of both twins included six that were discordant for trisomy 21, four that were discordant for trisomy 18 and 907 with no trisomy 21, 18 or 13. Following combined screening, 47 (5.1%), 203 (22.1%) and 667 (72.7%) of the pregnancies were classified as high risk, intermediate risk and low risk, respectively. The high-risk group included five (83.3%) cases of trisomy 21 and three (75.0%) of trisomy 18. The cfDNA test was carried out in 224 pregnancies and results were provided in 214 (95.5%); this group included six pregnancies with trisomy 21, three with trisomy 18 and 206 with no trisomy 21, 18 or 13. The cfDNA test classified correctly as screen positive all six cases of trisomy 21 and two of the three with trisomy 18, and as screen negative for each of the trisomies all 206 unaffected pregnancies. Contingent screening led to prenatal detection of all cases of trisomy 21 and three of four with trisomy 18. CONCLUSION: This study has demonstrated the feasibility of introducing cfDNA testing, contingent on the results of the first-trimester combined test for major trisomies, in a routine population of twin pregnancies. Copyright © 2018 ISUOG. Published by John Wiley &amp; Sons Ltd.</t>
  </si>
  <si>
    <t>30706702</t>
  </si>
  <si>
    <t>Guy C</t>
  </si>
  <si>
    <t>Prenatal cell-free DNA screening for fetal aneuploidy in pregnant women at average or high risk: Results from a large US clinical laboratory.</t>
  </si>
  <si>
    <t>BACKGROUND: We evaluated the performance of a cell-free DNA (cfDNA) prenatal screening assay for trisomies 21, 18, and 13, and sex chromosome aneuploidies (SCAs) among a population of pregnant women that included both those at average and high risk. METHODS: Specimen collection, cfDNA extraction, massively parallel sequencing, and bioinformatics analysis were conducted per laboratory protocol. Assay results, concordance with pregnancy outcomes, and performance characteristics were evaluated. RESULTS: A total 75,658 specimens from 72,176 individual pregnant women were received. Technical reasons accounted for 288 (0.4% of all received samples) tests not performed. In the final analysis cohort (N = 69,794), 13% of pregnancies were considered at average risk and 87% at high risk. Mean gestational age at specimen collection was 15.1 weeks. Of the 69,794 unique pregnancies, 1,359 (1.9%) had positive test results. Among the results with confirmed outcomes, PPV for trisomies 21, 18, and 13 was 98.1%, 88.2%, and 59.3%, respectively; the PPV was 69.0% for SCAs and 75.0% for microdeletions. Overall, PPV was 87.2%, sensitivity was 97.9%, and specificity was 99.9%. CONCLUSION: This cfDNA prenatal screening assay provides highly accurate discrimination between affected and unaffected pregnancies among a population of pregnant women at average and high risk for fetal genetic abnormalities.</t>
  </si>
  <si>
    <t>31231136</t>
  </si>
  <si>
    <t>Rousseau F</t>
  </si>
  <si>
    <t>Prospective head-to-head comparison of accuracy of two sequencing platforms for screening for fetal aneuploidy by cell-free DNA: the PEGASUS study.</t>
  </si>
  <si>
    <t>We compared clinical validity of two non-invasive prenatal screening (NIPS) methods for fetal trisomies 13, 18, 21, and monosomy X. We recruited prospectively 2203 women at high risk of fetal aneuploidy and 1807 at baseline risk. Three-hundred and twenty-nine euploid samples were randomly removed. The remaining 1933 high risk and 1660 baseline-risk plasma aliquots were assigned randomly between four laboratories and tested with two index NIPS tests, blind to maternal variables and pregnancy outcomes. The two index tests used massively parallel shotgun sequencing (semiconductor-based and optical-based). The reference standard for all fetuses was invasive cytogenetic analysis or clinical examination at birth and postnatal follow-up. For each chromosome of interest, chromosomal ratios were calculated (number of reads for chromosome/total number of reads). Euploid samples' mean chromosomal ratio coefficients of variation were 0.48 (T21), 0.34 (T18), and 0.31 (T13). According to the reference standard, there were 155 cases of T21, 49 T18, 8 T13 and 22 45,X. Using a fetal fraction ≥4% to call results and a chromosomal ratio z-score of ≥3 to report a positive result, detection rates (DR), and false positive rates (FPR) were not statistically different between platforms: mean DR 99% (T21), 100%(T18, T13); 79%(45,X); FPR &lt; 0.3% for T21, T18, T13, and &lt;0.6% for 45,X. Both methods' negative predictive values in high-risk pregnancies were &gt;99.8%, except for 45,X(&gt;99.6%). Threshold analysis in high-risk pregnancies with different fetal fractions and z-score cut-offs suggested that a z-score cutoff to 3.5 for positive results improved test accuracy. Both sequencing platforms showed equivalent and excellent clinical validity.</t>
  </si>
  <si>
    <t>Eur J Hum Genet</t>
  </si>
  <si>
    <t>31539354</t>
  </si>
  <si>
    <t>Jummaat F</t>
  </si>
  <si>
    <t>5-Year review on amniocentesis and its maternal fetal complications.</t>
  </si>
  <si>
    <t>Background Amniocentesis is a well-known invasive procedure which is commonly carried out in the second trimester. The indication for amniocentesis varies throughout countries and centers. Despite providing significant prenatal diagnosis; many maternal and fetal complications have been reported from previous studies. Materials and methods This retrospective study aimed to determine the maternal and fetal complications following amniocentesis. This study involved all patients who underwent amniocentesis from January 2012 until June 2017 in a tertiary centre. Maternal age, parity, premorbid medical conditions, amniocentesis indications, gestational age during amniocentesis, karyotyping results, complications during and post procedure and the fetal outcomes were reviewed and analyzed. Results One hundred and fourteen patients' medical records were reviewed and the majority of patients (50.9%) ranged in age from age 30 to 39 years old with mean age of 34.29 years. Amniocentesis was performed during the second trimester in the majority of patients (71.1%). The indications for amniocentesis in this study were polyhydramnios (7.9%), advanced maternal age (9.6%), risk of Down's syndrome (31.6%), increased risk of Patau syndrome (6.1%), increased risk of Edward's syndrome (4.4%) and abnormal fetal ultrasonography (70.2%). Cytogenetics results of amniocentesis were normal in 82 patients (71.9%). The majority of patients (86.0%) had no complications. Two patients (12.5%) had intrauterine death presumed to be procedural related. Conclusion This 5-year retrospective study on amniocentesis procedure showed that the majority of amniocentesis were safe as 86.0% of the patients were free from any complications. Anticipating its complication is important as there is always a risk even though it is a safe procedure in general.</t>
  </si>
  <si>
    <t>Horm Mol Biol Clin Investig</t>
  </si>
  <si>
    <t>28553771</t>
  </si>
  <si>
    <t>Veduta A</t>
  </si>
  <si>
    <t>The first trimester combined test for aneuploidies - a single center experience.</t>
  </si>
  <si>
    <t>PURPOSE: We present the results of the systematic application of the first trimester combined test for aneuploidies, in a Romanian center. METHODS: Since October 2009, in Filantropia Hospital in Bucharest, we have systematically been using the FMF (Fetal Medicine Foundation) combined first trimester test to screen for common aneuploidies at 11 to 13 + 6 weeks of gestation. We assessed the crown to rump length (CRL), nuchal translucency, fetal heart rate as well as PAPP-A, and free β-hCG in maternal serum. We evaluated additional first trimester ultrasound markers in most of the cases. The individual risk for aneuploidies was calculated using the FMF algorithm. RESULTS: Pregnancy outcome is known for 6030 euploid fetuses and 42 aneuploid fetuses from our screening population. The detection rate for trisomy 21 of the combined test was 87.5% for a screen positive rate of 1.96%. All of the trisomy 18 and trisomy 13 cases were detected prenatally. Some of the trisomy 18 cases proved not to be symptomatic in the first trimester. CONCLUSIONS: Our results are similar to those of the main studies on the FMF method of first trimester screening for aneuploidies. Our numbers are small because of limited availability of the very specialized resources involved.</t>
  </si>
  <si>
    <t>28640470</t>
  </si>
  <si>
    <t>Miltoft CB</t>
  </si>
  <si>
    <t>Contingent first-trimester screening for aneuploidies with cell-free DNA in a Danish clinical setting.</t>
  </si>
  <si>
    <t>OBJECTIVES: The primary aim of this study was to compare the screening performance for trisomy 21 (T21) between combined first-trimester screening (cFTS) with referral for invasive testing at a T21 risk ≥ 1 in 300, and contingent screening consisting of referral for invasive testing at a cFTS-T21 risk ≥ 1 in 100 and referral for cell-free DNA (cfDNA) testing at a cFTS-T21 risk between 1 in 100 and 1 in 1000. Secondary aims were to compare the incidence of fetuses diagnosed with trisomy 18 (T18), trisomy 13 (T13) or sex chromosome aneuploidy, and examine the association between fetal fraction of cfDNA in maternal blood and maternal/fetal characteristics. METHODS: Women with a singleton pregnancy and a cFTS-T21 risk of ≥ 1 in 1000 were recruited consecutively from two Danish hospitals between August 2014 and May 2015. First-trimester combined screening was based on maternal age, nuchal translucency thickness and levels of pregnancy-associated plasma protein A (PAPP-A) and β-human chorionic gonadotropin (β-hCG). Blood samples for cfDNA testing were analyzed for risks of T21, T18, T13 and sex chromosomal aneuploidies. cfDNA analysis was conducted blinded to the cFTS assessment and karyotype results. Pregnancy outcomes and pre- and postnatal karyotypes were obtained from the Danish Fetal Medicine Database. RESULTS: Among 6449 women who underwent cFTS risk assessment, 869 (13.5%) had a T21 risk of ≥ 1 in 1000 and 597 were included for cfDNA testing. Among these, there were 15 cases of T21, one case of T18 and two cases of T13. The sensitivity for detection of T21 was 100% using both screening strategies, while specificity increased significantly (P &lt; 0.0001) from 97.0% using the cFTS strategy to 98.8% using the contingent approach. The sensitivity for detection of T21, T18 and T13 increased from 94.4% using the cFTS strategy to 100% using the contingent approach, with overlapping CIs, while specificity increased significantly (P &lt; 0.0001) from 97.1% for cFTS to 98.9% for the contingent strategy. Seven pregnancies were categorized as being at increased risk of a sex chromosomal aneuploidy by cfDNA testing but chromosome analysis was discordant, corresponding to a false-positive rate of 1.2%. The fetal fraction decreased significantly with increasing maternal weight and increased significantly with the level of β-hCG and PAPP-A and among female fetuses, in both univariate and multivariate analyses. CONCLUSIONS: In a clinical setting with efficient cFTS, contingent screening offering women with a cFTS risk of ≥ 1 in 100 an invasive test and women with a risk from 1 in 100 to 1 in 1000 a cfDNA test had the same sensitivity for T21, T18 and T13, but significantly increased specificity, when compared with offering an invasive test to all women with a risk of ≥ 1 in 300. Implementing contingent screening would therefore reduce significantly the number of invasive tests performed at no loss of sensitivity. Copyright © 2017 ISUOG. Published by John Wiley &amp; Sons Ltd.</t>
  </si>
  <si>
    <t>29368276</t>
  </si>
  <si>
    <t>Lu J</t>
  </si>
  <si>
    <t>Investigating Pregnancy Outcomes After Abnormal Cell-Free DNA Test Results.</t>
  </si>
  <si>
    <t>Cell-free DNA (cfDNA) testing has increased sensitivity and specificity compared to other prenatal screening methods, but invasive diagnostic testing (IDT) is recommended for confirmation. We performed a retrospective chart review of 39 women with abnormal cfDNA results between March 2012 and September 2015 at an urban academic hospital to evaluate patient choice and pregnancy outcomes. We analyzed data using descriptive statistics, Fisher's exact tests, and Wilcoxon rank-sum tests. Median maternal age was 36.0 years [interquartile range (IQR) 31, 39]; 64.1% of women (25/39) were advanced maternal age and 69.2% (27/39) had abnormal ultrasounds. Median gestational age at time of cfDNA testing was 18 3/7 weeks [IQR 12 2/7, 20 5/7]. cfDNA results included trisomy 21 (89.7%, 35/39), trisomy 18 (7.7%, 3/39), and both trisomy 21/monosomy X (2.6%, 1/39). Of 39 women, 22 (56.4%) continued and 10 (25.6%) terminated the pregnancy; six (15.4%) had fetal demises, and one was lost to follow-up. Of women continuing their pregnancies, 54.6% (12/22) declined further genetic counseling, and 77.3% (17/22) declined IDT. Only 14 women pursued IDT; not pursuing IDT was associated with continuing the pregnancy (Fisher's exact test, p = .001). All women terminating their pregnancy (90.0%, 9/10) pursued IDT or had major anomalies on ultrasound, suggesting that women considering termination undergo more confirmatory tests or already have high suspicion for an abnormal pregnancy.</t>
  </si>
  <si>
    <t>27549925</t>
  </si>
  <si>
    <t>Santorum M</t>
  </si>
  <si>
    <t>Accuracy of first-trimester combined test in screening for trisomies 21, 18 and 13.</t>
  </si>
  <si>
    <t>OBJECTIVE: To examine the diagnostic accuracy of a previously developed model for the first-trimester combined test in screening for trisomies 21, 18 and 13. METHODS: This was a prospective validation study of screening for trisomies 21, 18 and 13 by assessment of a combination of maternal age, fetal nuchal translucency, fetal heart rate and serum free β-human chorionic gonadotropin (β-hCG) and pregnancy-associated plasma protein-A (PAPP-A) at 11 + 0 to 13 + 6 weeks' gestation in 108 982 singleton pregnancies undergoing routine care in three maternity hospitals. A previously published algorithm was used to calculate patient-specific risks for trisomy 21, 18 and 13 in each patient. The detection rate (DR) and false-positive rate (FPR) at estimated risk cut-offs from 1 in 2 to 1 in 1000 were determined. The proportions of trisomies detected were compared to their expected values in different risk groups. RESULTS: In the study population, there were 108 112 (99.2%) cases with normal fetal karyotype or birth of a phenotypically normal neonate and 870 (0.8%) cases with abnormal karyotype, including trisomy 21 (n = 432), trisomy 18 (n = 166), trisomy 13 (n = 56), monosomy X (n = 63), triploidy (n = 35) or other aneuploidy (n = 118). The screen-positive rates, standardized according to the maternal age distribution in England and Wales in 2011, of fetuses with abnormal or normal karyotype were compatible with those predicted from the previous model; at a risk cut-off of 1 in 100, the FPR was about 4% and the DRs for trisomies 21, 18 and 13 were 90%, 97% and 92%, respectively. There was evidence that the algorithm overestimated risk. This could, to some degree, reflect under-ascertainment in pregnancies ending in miscarriage or stillbirth. CONCLUSION: In a prospective validation study, the first-trimester combined test detected 90%, 97% and 92% of trisomies 21, 18 and 13, respectively, as well as &gt; 95% of cases of monosomy X and triploidies and &gt; 50% of other chromosomal abnormalities, at a FPR of 4%. Copyright © 2016 ISUOG. Published by John Wiley &amp; Sons Ltd.</t>
  </si>
  <si>
    <t>Journal Article; Validation Study</t>
  </si>
  <si>
    <t>28079901</t>
  </si>
  <si>
    <t>Palomaki GE</t>
  </si>
  <si>
    <t>The clinical utility of DNA-based screening for fetal aneuploidy by primary obstetrical care providers in the general pregnancy population.</t>
  </si>
  <si>
    <t>OBJECTIVE: To assess the clinical utility of cell-free DNA (cfDNA)-based screening for aneuploidies offered through primary obstetrical care providers to a general pregnancy population. METHODS: Patient educational materials were developed and validated and providers were trained. Serum was collected for reflexive testing of cfDNA failures. Providers and patients were surveyed concerning knowledge, decision making, and satisfaction. Pregnancy outcome was determined by active or passive ascertainment. RESULTS: Between September 2014 and July 2015, 72 providers screened 2,691 women. The five largest participating practices increased uptake by 8 to 40%. Among 2,681 reports, 16 women (0.6%) were screen-positive for trisomy 21, 18, or 13; all saw genetic professionals. Twelve were confirmed (positive predictive value (PPV), 75%; 95% CI, 48-93%) and four were false-positives (0.15%). Of 150 failures (5.6%), 79% had a negative serum or subsequent cfDNA test; no aneuploidies were identified. Of 100 women surveyed, 99 understood that testing was optional, 96 had their questions answered, and 95 received sufficient information. Pretest information was provided by the physician/certified nurse midwife (55) or office nurse/educator (40); none was provided by genetic professionals. CONCLUSION: This first clinical utility study of cfDNA screening found higher uptake rates, patient understanding of basic concepts, and easy incorporation into routine obstetrical practices. There were no reported cases of aneuploidy among cfDNA test failures.Genet Med advance online publication 12 January 2017.</t>
  </si>
  <si>
    <t>Genet Med</t>
  </si>
  <si>
    <t>28397325</t>
  </si>
  <si>
    <t>Gil MM</t>
  </si>
  <si>
    <t>Analysis of cell-free DNA in maternal blood in screening for aneuploidies: updated meta-analysis.</t>
  </si>
  <si>
    <t>OBJECTIVES: To review clinical validation or implementation studies of maternal blood cell-free (cf) DNA analysis and define the performance of screening for fetal trisomies 21, 18 and 13 and sex chromosome aneuploidies (SCA). METHODS: Searches of PubMed, EMBASE and The Cochrane Library were performed to identify all peer-reviewed articles on cfDNA testing in screening for aneuploidies between January 2011, when the first such study was published, and 31 December 2016. The inclusion criteria were peer-reviewed study reporting on clinical validation or implementation of maternal cfDNA testing in screening for aneuploidies, in which data on pregnancy outcome were provided for more than 85% of the study population. We excluded case-control studies, proof-of-principle articles and studies in which the laboratory scientists carrying out the tests were aware of fetal karyotype or pregnancy outcome. Pooled detection rates (DRs) and false-positive rates (FPRs) were calculated using bivariate random-effects regression models. RESULTS: In total, 35 relevant studies were identified and these were used for the meta-analysis on the performance of cfDNA testing in screening for aneuploidies. These studies reported cfDNA results in relation to fetal karyotype from invasive testing or clinical outcome. In the combined total of 1963 cases of trisomy 21 and 223 932 non-trisomy 21 singleton pregnancies, the weighted pooled DR and FPR were 99.7% (95% CI, 99.1-99.9%) and 0.04% (95% CI, 0.02-0.07%), respectively. In a total of 563 cases of trisomy 18 and 222 013 non-trisomy 18 singleton pregnancies, the weighted pooled DR and FPR were 97.9% (95% CI, 94.9-99.1%) and 0.04% (95% CI, 0.03-0.07%), respectively. In a total of 119 cases of trisomy 13 and 212 883 non-trisomy 13 singleton pregnancies, the weighted pooled DR and FPR were 99.0% (95% CI, 65.8-100%) and 0.04% (95% CI, 0.02-0.07%), respectively. In a total of 36 cases of monosomy X and 7676 unaffected singleton pregnancies, the weighted pooled DR and FPR were 95.8% (95% CI, 70.3-99.5%) and 0.14% (95% CI, 0.05-0.38%), respectively. In a combined total of 17 cases of SCA other than monosomy X and 5400 unaffected singleton pregnancies, the weighted pooled DR and FPR were 100% (95% CI, 83.6-100%) and 0.004% (95% CI, 0.0-0.08%), respectively. For twin pregnancies, in a total of 24 cases of trisomy 21 and 1111 non-trisomy 21 cases, the DR was 100% (95% CI, 95.2-100%) and FPR was 0.0% (95% CI, 0.0-0.003%), respectively. CONCLUSIONS: Screening by analysis of cfDNA in maternal blood in singleton pregnancies could detect &gt; 99% of fetuses with trisomy 21, 98% of trisomy 18 and 99% of trisomy 13 at a combined FPR of 0.13%. The number of reported cases of SCA is too small for accurate assessment of performance of screening. In twin pregnancies, performance of screening for trisomy 21 is encouraging but the number of cases reported is small. Copyright © 2017 ISUOG. Published by John Wiley &amp; Sons Ltd.</t>
  </si>
  <si>
    <t>Journal Article; Meta-Analysis; Review</t>
  </si>
  <si>
    <t>28887622</t>
  </si>
  <si>
    <t>Flöck A</t>
  </si>
  <si>
    <t>Non-invasive prenatal testing (NIPT): Europe's first multicenter post-market clinical follow-up study validating the quality in clinical routine.</t>
  </si>
  <si>
    <t>PURPOSE: Non-invasive prenatal tests (NIPT) for the determination of fetal aneuploidies from maternal blood are firmly established in clinical routine. For the first time, the accuracy of an NIPT for the determination of trisomies 21, 18 and 13 in singleton pregnancies was assessed by means of a prospective German-wide multicenter post-market clinical follow-up study, to reliably evaluate the quality in clinical routine. METHODS: The study covered the indications for testing, the test results, the rate of invasive diagnostics and the pregnancy outcome. 2232 cases were tested for trisomy 21. Of these, 1946 cases were additionally examined for trisomy 18 and 13. RESULTS: Sensitivity and specificity for trisomy 21 (43/43) and for trisomy 13 (2/2) were 100%, for trisomy 18 the sensitivity was 80% (4/5) with a specificity of 99.8%. Three false-positive results for trisomy 18 were observed (FPR 0.15%). The no-call rate was 0.5%. In this subgroup, 27.3% (3/11) aneuploidies were diagnosed. The rate of invasive procedures was 2.6%. CONCLUSION: NIPT provides a very high quality for the fetal trisomies 21, 13 and 18 in clinical routine. The results support the recommendation that NIPT should be offered after genetic counseling and only in conjunction with a qualified ultrasound examination.</t>
  </si>
  <si>
    <t>29125628</t>
  </si>
  <si>
    <t>Badeau M</t>
  </si>
  <si>
    <t>Genomics-based non-invasive prenatal testing for detection of fetal chromosomal aneuploidy in pregnant women.</t>
  </si>
  <si>
    <t>BACKGROUND: Common fetal aneuploidies include Down syndrome (trisomy 21 or T21), Edward syndrome (trisomy 18 or T18), Patau syndrome (trisomy 13 or T13), Turner syndrome (45,X), Klinefelter syndrome (47,XXY), Triple X syndrome (47,XXX) and 47,XYY syndrome (47,XYY). Prenatal screening for fetal aneuploidies is standard care in many countries, but current biochemical and ultrasound tests have high false negative and false positive rates. The discovery of fetal circulating cell-free DNA (ccfDNA) in maternal blood offers the potential for genomics-based non-invasive prenatal testing (gNIPT) as a more accurate screening method. Two approaches used for gNIPT are massively parallel shotgun sequencing (MPSS) and targeted massively parallel sequencing (TMPS). OBJECTIVES: To evaluate and compare the diagnostic accuracy of MPSS and TMPS for gNIPT as a first-tier test in unselected populations of pregnant women undergoing aneuploidy screening or as a second-tier test in pregnant women considered to be high risk after first-tier screening for common fetal aneuploidies. The gNIPT results were confirmed by a reference standard such as fetal karyotype or neonatal clinical examination. SEARCH METHODS: We searched 13 databases (including MEDLINE, Embase and Web of Science) from 1 January 2007 to 12 July 2016 without any language, search filter or publication type restrictions. We also screened reference lists of relevant full-text articles, websites of private prenatal diagnosis companies and conference abstracts. SELECTION CRITERIA: Studies could include pregnant women of any age, ethnicity and gestational age with singleton or multifetal pregnancy. The women must have had a screening test for fetal aneuploidy by MPSS or TMPS and a reference standard such as fetal karyotype or medical records from birth. DATA COLLECTION AND ANALYSIS: Two review authors independently carried out study selection, data extraction and quality assessment (using the QUADAS-2 tool). Where possible, hierarchical models or simpler alternatives were used for meta-analysis. MAIN RESULTS: Sixty-five studies of 86,139 pregnant women (3141 aneuploids and 82,998 euploids) were included. No study was judged to be at low risk of bias across the four domains of the QUADAS-2 tool but applicability concerns were generally low. Of the 65 studies, 42 enrolled pregnant women at high risk, five recruited an unselected population and 18 recruited cohorts with a mix of prior risk of fetal aneuploidy. Among the 65 studies, 44 evaluated MPSS and 21 evaluated TMPS; of these, five studies also compared gNIPT with a traditional screening test (biochemical, ultrasound or both). Forty-six out of 65 studies (71%) reported gNIPT assay failure rate, which ranged between 0% and 25% for MPSS, and between 0.8% and 7.5% for TMPS.In the population of unselected pregnant women, MPSS was evaluated by only one study; the study assessed T21, T18 and T13. TMPS was assessed for T21 in four studies involving unselected cohorts; three of the studies also assessed T18 and 13. In pooled analyses (88 T21 cases, 22 T18 cases, eight T13 cases and 20,649 unaffected pregnancies (non T21, T18 and T13)), the clinical sensitivity (95% confidence interval (CI)) of TMPS was 99.2% (78.2% to 100%), 90.9% (70.0% to 97.7%) and 65.1% (9.16% to 97.2%) for T21, T18 and T13, respectively. The corresponding clinical specificity was above 99.9% for T21, T18 and T13.In high-risk populations, MPSS was assessed for T21, T18, T13 and 45,X in 30, 28, 20 and 12 studies, respectively. In pooled analyses (1048 T21 cases, 332 T18 cases, 128 T13 cases and 15,797 unaffected pregnancies), the clinical sensitivity (95% confidence interval (CI)) of MPSS was 99.7% (98.0% to 100%), 97.8% (92.5% to 99.4%), 95.8% (86.1% to 98.9%) and 91.7% (78.3% to 97.1%) for T21, T18, T13 and 45,X, respectively. The corresponding clinical specificities (95% CI) were 99.9% (99.8% to 100%), 99.9% (99.8% to 100%), 99.8% (99.8% to 99.9%) and 99.6% (98.9% to 99.8%). In this risk group, TMPS was assessed for T21, T18, T13 and 45,X in six, five, two and four studies. In pooled analyses (246 T21 cases, 112 T18 cases, 20 T13 cases and 4282 unaffected pregnancies), the clinical sensitivity (95% CI) of TMPS was 99.2% (96.8% to 99.8%), 98.2% (93.1% to 99.6%), 100% (83.9% to 100%) and 92.4% (84.1% to 96.5%) for T21, T18, T13 and 45,X respectively. The clinical specificities were above 100% for T21, T18 and T13 and 99.8% (98.3% to 100%) for 45,X. Indirect comparisons of MPSS and TMPS for T21, T18 and 45,X showed no statistical difference in clinical sensitivity, clinical specificity or both. Due to limited data, comparative meta-analysis of MPSS and TMPS was not possible for T13.We were unable to perform meta-analyses of gNIPT for 47,XXX, 47,XXY and 47,XYY because there were very few or no studies in one or more risk groups. AUTHORS' CONCLUSIONS: These results show that MPSS and TMPS perform similarly in terms of clinical sensitivity and specificity for the detection of fetal T31, T18, T13 and sex chromosome aneuploidy (SCA). However, no study compared the two approaches head-to-head in the same cohort of patients. The accuracy of gNIPT as a prenatal screening test has been mainly evaluated as a second-tier screening test to identify pregnancies at very low risk of fetal aneuploidies (T21, T18 and T13), thus avoiding invasive procedures. Genomics-based non-invasive prenatal testing methods appear to be sensitive and highly specific for detection of fetal trisomies 21, 18 and 13 in high-risk populations. There is paucity of data on the accuracy of gNIPT as a first-tier aneuploidy screening test in a population of unselected pregnant women. With respect to the replacement of invasive tests, the performance of gNIPT observed in this review is not sufficient to replace current invasive diagnostic tests.We conclude that given the current data on the performance of gNIPT, invasive fetal karyotyping is still the required diagnostic approach to confirm the presence of a chromosomal abnormality prior to making irreversible decisions relative to the pregnancy outcome. However, most of the gNIPT studies were prone to bias, especially in terms of the selection of participants.</t>
  </si>
  <si>
    <t>Cochrane Database Syst Rev</t>
  </si>
  <si>
    <t>25803072</t>
  </si>
  <si>
    <t>Wiechec M</t>
  </si>
  <si>
    <t>How effective is ultrasound-based screening for trisomy 18 without the addition of biochemistry at the time of late first trimester?</t>
  </si>
  <si>
    <t>UNLABELLED: Trisomy 18 (T18) remains the second most common aneuploidy. It is associated with multiple congenital anomalies and causes intrauterine fetal demise in the most severe cases. OBJECTIVES: To examine the screening performance of ultrasound-based protocols for detecting T18, we aimed to determine the most common signs and their prevalence in fetuses with T18 to develop logistic regression model. METHODS: This was a prospective study based on singleton pregnancies examined at gestation 11+0 to 13+6. The referrals constituted 6210 patients. Scan protocol enclosed a systematic review of the entire early fetal anatomy, including fetal cardiac evaluation and sonographic signs of aneuploidy. RESULTS: Our study population comprised 5650 pregnancies: 5613 cases with a normal karyotype and 37 cases with T18. The mean nuchal translucency (NT) thickness in the subgroup of euploidy was 1.7 and in the subgroup of T18 it was 5.4. No statistically significant differences were found in terms of maternal age. One case of T18 (2.7%) demonstrated no markers of aneuploidy as opposed to 5111 cases of euploidy (91.1%). Extracardiac malformations were identified in 13 cases of T18 (35.1%) and in 48 cases of euploidy (0.8%). Congenital heart defects were observed in 26 cases of T18 (70.3%) and in 27 cases of euploidy (0.5%). CONCLUSIONS: Our results showed good screening performance of ultrasound-based risk calculation models. When the first trimester pattern of T18 is considered, an increased NT, tricuspid regurgitation, single umbilical artery, omphalocele and right dominant heart should be specifically searched for.</t>
  </si>
  <si>
    <t>J Perinat Med</t>
  </si>
  <si>
    <t>26498918</t>
  </si>
  <si>
    <t>Clinical implementation of routine screening for fetal trisomies in the UK NHS: cell-free DNA test contingent on results from first-trimester combined test.</t>
  </si>
  <si>
    <t>OBJECTIVES: Cell-free DNA (cfDNA) analysis of maternal blood for detection of trisomies 21, 18 and 13 is superior to other methods of screening but is expensive. One strategy to maximize performance at reduced cost is to offer cfDNA testing contingent on the results of the first-trimester combined test that is used currently. The objectives of this study were to report the feasibility of implementing such screening, to examine the factors affecting patient decisions concerning their options for screening and decisions on the management of affected pregnancies and to report the prenatal diagnosis of fetal trisomies and outcome of affected pregnancies following the introduction of contingent screening. METHODS: We examined routine clinical implementation of contingent screening in 11,692 singleton pregnancies in two National Health Service (NHS) hospitals in the UK. Women with a risk ≥ 1 in 100 (high-risk group) were offered options of invasive testing, cfDNA testing or no further testing, and those with a risk between 1 in 101 and 1 in 2500 (intermediate-risk group) were offered cfDNA testing or no further testing. The trisomic status of the pregnancies was determined by prenatal or postnatal karyotyping or by examination of the neonates. RESULTS: In the study population of 11,692 pregnancies, there were 47 cases of trisomy 21 and 28 of trisomies 18 or 13. Screening with the combined test followed by invasive testing for all patients in the high-risk group potentially could have detected 87% of trisomy 21 and 93% of trisomies 18 or 13, at a false-positive rate of 3.4%; the respective values for cfDNA testing in the high- and intermediate-risk groups were 98%, 82% and 0.25%. However, in the high-risk group, 38% of women chose invasive testing and 60% chose cfDNA testing; in the intermediate-risk group 92% opted for cfDNA testing. A prenatal diagnosis was made in 43 (91.5%) pregnancies with trisomy 21 and all pregnancies with trisomies 18 or 13. In many affected pregnancies the parents chose to avoid testing or termination and 32% of pregnancies with trisomy 21 resulted in live births. CONCLUSIONS: Screening for fetal trisomies by cfDNA analysis of maternal blood, contingent on the results of the combined test, can be implemented easily in routine clinical practice. In the high-risk group from the combined test, most but not all women chose cfDNA testing rather than invasive testing. Performance of screening for trisomy 21 was superior by the cfDNA test than by the combined test. However, prenatal detection of trisomies and pregnancy outcome depend not only on performance of screening tests but also on parental choice.</t>
  </si>
  <si>
    <t>26538356</t>
  </si>
  <si>
    <t>Eckmann-Scholz C</t>
  </si>
  <si>
    <t>Macrophage colony-stimulating factor (M-CSF) in first trimester maternal serum: correlation with pathologic pregnancy outcome.</t>
  </si>
  <si>
    <t>PURPOSE: To determine correlations between macrophage colony-stimulating factor (MCSF) levels in maternal blood during first trimester screening with respect to normal and pathological pregnancies. METHODS: This was a prospective single centre study. First trimester screening was performed according to FMF London certificates. Nuchal translucency, PAPP-A and free β-HCG were obtained as well as M-CSF serum levels in maternal blood. Fetal karyotyping was achieved by chorionic villi sampling. RESULTS: 125 patients were enrolled in this study. 21 pregnancies had confirmed aberrant karyotypes. Trisomy 21 cases showed significantly elevated M-CSF levels of 270 ± 91 pg/ml (p = 0.032), whereas cases of trisomy 13 (183 ± 68 pg/ml) and trisomy 18 (143 ± 40 pg/ml) had low M-CSF levels. Furthermore M-CSF levels tended to be low in preterm deliveries, placental insufficiency and nicotine consumption. In cases with gestational diabetes M-CSF tended to be elevated. Furthermore we found a positive correlation between high free β-human chorionic gonadotropin (hcg) and MCSF values. There was no correlation between pregnancy associated plasma protein (PAPP-A) and M-CSF. CONCLUSIONS: M-CSF is a cytokine promoting placental growth and differentiation. M-CSF is known to be involved in the process of implantation in pregnancy. The role of M-CSF with respect to disturbed pregnancy outcomes such as placental insufficiency in normal or aberrant karyotypes, for example, is yet subject to further research.</t>
  </si>
  <si>
    <t>26941176</t>
  </si>
  <si>
    <t>Yaron Y</t>
  </si>
  <si>
    <t>The implications of non-invasive prenatal testing failures: a review of an under-discussed phenomenon.</t>
  </si>
  <si>
    <t>INTRODUCTION: Non-invasive prenatal testing (NIPT) using cell-free DNA in maternal blood is a relatively new screening modality for the common trisomies of chromosomes 21, 18 and 13 and sex chromosome aneuploidies. For some patients, however, results are not reported because of laboratory technical issues such as low fetal fraction and sequencing failures. In this review, the clinical implications of NIPT test failures are discussed. METHODS: A Medline search was performed for all studies on NIPT that include &gt;1000 samples. The failure rates were assessed by technology. RESULTS: Methods based on massive parallel sequencing have been found to have the lowest failure rate (1.58%), while tests based on single-nucleotide polymorphism analysis have the highest failure rate (6.39%). CONCLUSIONS: Recent publications suggest that patients who receive a 'no call' result are at increased risk of aneuploidy. Some professional societies have therefore recommended that these patients undergo genetic counseling and be offered invasive diagnostic testing. NIPT technology that has a high failure rate may increase the false positive rates, decrease the positive predictive value, and increase the procedure-related pregnancy loss. © 2016 John Wiley &amp; Sons, Ltd.</t>
  </si>
  <si>
    <t>26948280</t>
  </si>
  <si>
    <t>Tong H</t>
  </si>
  <si>
    <t>Prenatal diagnosis of trisomy 21, 18 and 13 by quantitative pyrosequencing of segmental duplications.</t>
  </si>
  <si>
    <t>Chromosomal aberration mostly occurs in chromosomes 21, 18 and 13, with an incidence approximately 1 out of 160 live births in humans, therefore making prenatal diagnosis necessary in clinics. Current methods have drawbacks such as time consuming, high cost, complicated operations and low sensitivity. In this paper, a novel method for rapid and accurate prenatal diagnosis of aneuploidy is proposed based on pyrosequencing, which quantitatively detects the peak height ratio (PHR) of different bases of segmental duplication. A direct polymerase chain reaction (PCR) approach was undertaken, where a small volume of amniotic fluid was used as the starting material without DNA extraction. Single-stranded DNA was prepared from PCR products and subsequently analyzed using pyrosequencing. The PHR between target and reference chromosome of 2.2 for euploid and 3:2 for a trisomy fetus were used as reference. The reference intervals and z scores were calculated for discrimination of aneuploidy. A total of 132 samples were collected, within trisomy 21 (n = 11), trisomy 18 (n = 3), trisomy 13 (n = 2), and unaffected controls (n = 116). A set of six segmental duplications were chosen for analysis. This method had consistent results with karyotyping analysis, a correct diagnosis with 100% sensitivity and 99.9% specificity.</t>
  </si>
  <si>
    <t>Clin Genet</t>
  </si>
  <si>
    <t>27668198</t>
  </si>
  <si>
    <t>Park SY</t>
  </si>
  <si>
    <t>Screening for chromosomal abnormalities using combined test in the first trimester of pregnancy.</t>
  </si>
  <si>
    <t>OBJECTIVE: This study was designed to review the screening performance of combined test at the Ewha Womans University Mokdong hospital. METHODS: All women admitted for routine antenatal care between January 1st 2008 and December 31st 2012 with a known pregnancy outcome were included in this study, totaling 1,156 women with singleton pregnancies presenting at 10 to 13 weeks of gestation. Women were offered screening using a combination of maternal serum pregnancy-associated plasma protein-A, free β-human chorionic gonadotropin and fetal nuchal translucency thickness. Those with an estimated risk of ≥1 in 250 of carrying a fetus with trisomy 21 or ≥1 in 300 risk of trisomy 18 were offered genetic counseling with the option of an invasive diagnostic test. RESULTS: The median of gestational age was 11+3 weeks, the median of crown-rump length was 47.1 mm, and the median age of the women was 31 years. The detection rate was 80% for trisomy 21 (4 of 5) and 100% for trisomy 13 and 18 (all 2). The false-positive rate was 7.73% for trisomy 21 and 1.21% for trisomy 18. CONCLUSION: This study was the first large population study performed with the aim of analyzing the performance of the combined test in Korea. This study demonstrated that the detection rates and other figures of the first trimester combined test are comparable to the results reported in other papers worldwide. Consequently, if strict conditions for good screening outcomes are achieved, the first trimester combined test might well be the earliest detectable screening, improving detection rates without increasing karyotyping or economic and other implications that inevitably ensue.</t>
  </si>
  <si>
    <t>Obstet Gynecol Sci</t>
  </si>
  <si>
    <t>27750376</t>
  </si>
  <si>
    <t>Oepkes D</t>
  </si>
  <si>
    <t>Trial by Dutch laboratories for evaluation of non-invasive prenatal testing. Part I-clinical impact.</t>
  </si>
  <si>
    <t>OBJECTIVE: To evaluate the clinical impact of nationwide implementation of genome-wide non-invasive prenatal testing (NIPT) in pregnancies at increased risk for fetal trisomies 21, 18 and 13 (TRIDENT study). METHOD: Women with elevated risk based on first trimester combined testing (FCT ≥ 1:200) or medical history, not advanced maternal age alone, were offered NIPT as contingent screening test, performed by Dutch University Medical laboratories. We analyzed uptake, test performance, redraw/failure rate, turn-around time and pregnancy outcome. RESULTS: Between 1 April and 1 September 2014, 1413/23 232 (6%) women received a high-risk FCT result. Of these, 1211 (85.7%) chose NIPT. One hundred seventy-nine women had NIPT based on medical history. In total, 1386/1390 (99.7%) women received a result, 6 (0.4%) after redraw. Mean turn-around time was 14 days. Follow-up was available in 1376 (99.0%) pregnancies. NIPT correctly predicted 37/38 (97.4%) trisomies 21, 18 or 13 (29/30, 4/4 and 4/4 respectively); 5/1376 (0.4%) cases proved to be false positives: trisomies 21 (n = 2), 18 (n = 1) and 13 (n = 2). Estimated reduction in invasive testing was 62%. CONCLUSION: Introduction of NIPT in the Dutch National healthcare-funded Prenatal Screening Program resulted in high uptake and a vast reduction of invasive testing. Our study supports offering NIPT to pregnant women at increased risk for fetal trisomy. © 2016 The Authors. Prenatal Diagnosis published by John Wiley &amp; Sons, Ltd. © 2016 The Authors. Prenatal Diagnosis published by John Wiley &amp; Sons, Ltd.</t>
  </si>
  <si>
    <t>25408438</t>
  </si>
  <si>
    <t>Sago H</t>
  </si>
  <si>
    <t>Nationwide demonstration project of next-generation sequencing of cell-free DNA in maternal plasma in Japan: 1-year experience.</t>
  </si>
  <si>
    <t>OBJECTIVE: To report the 1-year experience of a nationwide demonstration project to introduce noninvasive prenatal testing of aneuploidy from maternal plasma and discuss how to implement this program in Japan. METHODS: The test was conducted to detect aneuploidy in high-risk pregnant women with adequate genetic counseling. The clinical data, test results, and pregnancy outcomes were recorded. RESULTS: Of the 7740 women tested, 142 (1.8%) had positive results, 7594 (98.1%) had negative results, and four (0.1%) had results that were not reportable. Of the 142 women who tested positive, 13 cases resulted in intrauterine fetal death, and three cases refused to undergo the invasive procedure. Of the 126 positive cases confirmed on karyotyping, a normal karyotype was observed for trisomy 21 in three cases, trisomy 18 in eight cases, and trisomy 13 in two cases. In the follow-up study of the negative cases (n = 1638), only one false-negative case of trisomy 18 was detected. CONCLUSIONS: We described our nationwide 1-year experience with noninvasive prenatal genetic testing. It is expected that the present data will stimulate a debate regarding prenatal genetic testing and hopefully lead to improvements in the perinatal care system with respect to genetic counseling in Japan. © 2014 John Wiley &amp; Sons, Ltd.</t>
  </si>
  <si>
    <t>25754604</t>
  </si>
  <si>
    <t>Lichtenbelt KD</t>
  </si>
  <si>
    <t>Detection of fetal chromosomal anomalies: does nuchal translucency measurement have added value in the era of non-invasive prenatal testing?</t>
  </si>
  <si>
    <t>OBJECTIVES: The objective of this study is to determine what percentage of fetal chromosomal anomalies remains undetected when first trimester combined testing is replaced by non-invasive prenatal testing for trisomies 13, 18, and 21. We focused on the added clinical value of nuchal translucency (NT) measurement. METHODS: Data on fetal karyotype, ultrasound findings, and pregnancy outcome of all pregnancies with an NT measurement ≥3.5 mm were retrospectively collected from a cohort of 25,057 singleton pregnancies in which first trimester combined testing was performed. RESULTS: Two hundred twenty-five fetuses (0.9 %) had an NT ≥3.5 mm. In 24 of these pregnancies, a chromosomal anomaly other than trisomy 13, 18, or 21 was detected. Eleven resulted in fetal demise, and ten showed fetal ultrasound anomalies. In three fetuses with normal ultrasound findings, a chromosomal anomaly was detected, of which one was a triple X. CONCLUSIONS: In three out of 25,057 pregnancies (0.01%), non-invasive prenatal testing and fetal ultrasound would have missed a chromosomal anomaly that would have been identified by NT measurement. © 2015 John Wiley &amp; Sons, Ltd.</t>
  </si>
  <si>
    <t>25884925</t>
  </si>
  <si>
    <t>Sheth F</t>
  </si>
  <si>
    <t>Prenatal screening of cytogenetic anomalies - a Western Indian experience.</t>
  </si>
  <si>
    <t>BACKGROUND: Children born with congenital anomalies present a very high rate of perinatal death and neonatal mortality. Cytogenetic analysis is a convincing investigation along with clinical suspicion and biochemical screening tests. The current study was designed to characterize the prevalence and types of chromosomal abnormalities in high risk prenatal samples using different cytogenetic techniques. METHODS: This study was conducted on a total of 1,728 prenatal samples (1,324 amniotic fluids, 366 chorionic villi and 38 cord blood samples) from 1994 to 2014 at Institute of Human Genetics, Ahmedabad, India. Conventional karyotyping was conducted with GTG-banding. Molecular approaches were used (fluorescence in situ hybridization = FISH and/ or array-comparative genomic hybridization = aCGH) when indicated to detect karyotypic abnormalities. RESULTS: Abnormal karyotypes were detected in 125/1,728 (7.2%) cases. Trisomy 21 was the most common abnormality detected in 46 (2.7%) followed by trisomy 18 in 11 (0.6%) and trisomy 13 in 2 (0.1%) samples. Besides, structural abnormalities such as reciprocal and Robertsonian translocation were detected in 20 [1.2%] cases. Turner syndrome was diagnosed in seven (0.4%) cases; in six (0.34%) cases there was an inversion in the Y-chromosome. Heteromorphic variants were diagnosed in 22 (1.3%) cases. Finally, small supernumerary marker chromosomes (sSMC) were found in six (0.34%) cases. CONCLUSION: Conventional GTG-banding along with molecular cytogenetic techniques is useful in detecting genomic alterations and rearrangements. Comprehensive characterization of chromosomal rearrangements like sSMC has the potential to save potentially healthy fetuses from being terminated.</t>
  </si>
  <si>
    <t>26233973</t>
  </si>
  <si>
    <t>Hernández-Gómez M</t>
  </si>
  <si>
    <t>[Non invasive prenatal test (NIPT) in maternal blood by parallel massive sequencing. Initial experience in Mexican women and literature review].</t>
  </si>
  <si>
    <t>BACKGROUND: Discovery of cell-free fetal DNA (cffDNA) in maternal blood in 1997 by Lo et al. has opened the possibility of a noninvasive prenatal test (NIPT). Currently, it is employed in the analysis of aneuploidies and fetal sex determination. Massive parallel sequencing (MPS) detects the origin of each amplified sequence, and analyses over-representation of sequences or any decrease in the fetal chromosomes in maternal plasma. This technique has been validated and allows assessment of trisomies 13, 18 and 21, obtaining the result in about a week from 10-weeks of gestational age. By using NIPT, we expect a reduction in the number of invasive studies and the risk of fetal loss. OBJECTIVE: To communicate the experience obtained at Genetics Clinic of the Hospital Angeles Lomas, in the use of NIPT by MPS as a method of prenatal screening for aneuploidies and fetal sex determination. MATERIAL AND METHODS: A prospective, observational and descriptive study was carried out in order to develop a database of patients who underwent NIPT (Harmony test) from August 2013 to date. Maternal blood samples were analyzed at Ariosa Diagnostics Inc. at San Jose California, USA. RESULTS: Noninvasive prenatal test was applied to 42 patients, with average maternal age of 37.1 years. The percentage of gestational age was 13.3 weeks and of fetal fraction was 12.7%. Two cases of high risk of trisomy 18 and two cases with high risk for X monosomy were obtained. In only one case the test was used for fetal determination, because of a story of Wiskott-Aldrich (W-A) disease. In all cases of low risk, the result was confirmed at birth and fetal sex was consistent with reports of literature. CONCLUSIONS: NIPT is currently the screening test with the highest detection rate (greater than 98%, with a false negative rate lesser than 0.5% and a sensitivity and specificity close to 100%), although it can vary from one chromosome to another. It is indicated for women with a result of high risk for trisomy 13, 18 and 21. This test has not been validated for low risk women or multiple pregnancies. In our series, the most frequent indication was advanced maternal age. The weight of the patients is important because it is a factor related to the percentage of fetal DNA. In cases with high risk for X monosomy in which the cytogenetic result was 46, XX, it is important to consider as much causes as possible, such as uniparental disomy (UPD), mosaicism and maternal contamination. Only in a case with W-A story the test was conducted specifically for fetal sex determination and confirmed by amniocentesis. In the cases of high-risk results, confirmation by an invasive method, before an obstetric decision, is indispensable. Further studies are still needed to continue the validation of this test by different molecular techniques and in other groups of patients.</t>
  </si>
  <si>
    <t>Ginecol Obstet Mex</t>
  </si>
  <si>
    <t>English Abstract; Journal Article; Review</t>
  </si>
  <si>
    <t>26288069</t>
  </si>
  <si>
    <t>Baer RJ</t>
  </si>
  <si>
    <t>Outcomes of pregnancies with more than one positive prenatal screening result in the first or second trimester.</t>
  </si>
  <si>
    <t>OBJECTIVE: To describe adverse outcomes and fetal abnormalities in women with a positive prenatal screening result for more than one disorder. STUDY DESIGN: Study participants were drawn from a population of 452 901 women pregnant with singletons entering the California Prenatal Screening Program in their first-trimester. Risk assessment was provided for trisomy 21 and trisomy 18 in the first-trimester and trisomy 21, trisomy 18, neural tube defects, and Smith-Lemli-Opitz syndrome in the second-trimester. Inclusion in this study required positive screening for more than one of the screened conditions and a completed outcome of pregnancy survey. RESULTS: A total of 874 women met our study inclusion criteria. Over 25% of these pregnancies had a fetus with a chromosomal abnormality. Of the euploid pregnancies, 6.9% had a fetus with a major birth defect. Of the pregnancies with a fetus with neither a chromosomal abnormality nor a major birth defect, 9.3% ended in fetal demise. Overall, more than 50% of women with multiple positive screening results had either a fetus with a birth defect or a poor pregnancy outcome. CONCLUSION: Although it is rare to screen positive for more than one condition, such results indicate a very high risk for chromosomal abnormality, fetal demise, or structural abnormality.</t>
  </si>
  <si>
    <t>24339153</t>
  </si>
  <si>
    <t>Lau TK</t>
  </si>
  <si>
    <t>Non-invasive prenatal testing for fetal chromosomal abnormalities by low-coverage whole-genome sequencing of maternal plasma DNA: review of 1982 consecutive cases in a single center.</t>
  </si>
  <si>
    <t>OBJECTIVE: To review the performance of non-invasive prenatal testing (NIPT) by low-coverage whole-genome sequencing of maternal plasma DNA at a single center. METHODS: The NIPT result and pregnancy outcome of 1982 consecutive cases were reviewed. NIPT was based on low coverage (0.1×) whole-genome sequencing of maternal plasma DNA. All subjects were contacted for pregnancy and fetal outcome. RESULTS: Of the 1982 NIPT tests, a repeat blood sample was required in 23 (1.16%). In one case, a conclusive report could not be issued, probably because of an abnormal vanished twin fetus. NIPT was positive for common trisomies in 29 cases (23 were trisomy 21, four were trisomy 18 and two were trisomy 13); all were confirmed by prenatal karyotyping (specificity=100%). In addition, 11 cases were positive for sex-chromosomal abnormalities (SCA), and nine cases were positive for other aneuploidies or deletion/duplication. Fourteen of these 20 subjects agreed to undergo further investigations, and the abnormality was found to be of fetal origin in seven, confined placental mosaicism (CPM) in four, of maternal origin in two and not confirmed in one. Overall, 85.7% of the NIPT-suspected SCA were of fetal origin, and 66.7% of the other abnormalities were caused by CPM. Two of the six cases suspected or confirmed to have CPM were complicated by early-onset growth restriction requiring delivery before 34 weeks. Fetal outcome of the NIPT-negative cases was ascertained in 1645 (85.15%). Three chromosomal abnormalities were not detected by NIPT, including one case each of a balanced translocation, unbalanced translocation and triploidy. There were no known false negatives involving the common trisomies (sensitivity=100%). CONCLUSIONS: Low-coverage whole-genome sequencing of maternal plasma DNA was highly accurate in detecting common trisomies. It also enabled the detection of other aneuploidies and structural chromosomal abnormalities with high positive predictive value.</t>
  </si>
  <si>
    <t>Evaluation Study; Journal Article; Review</t>
  </si>
  <si>
    <t>24499760</t>
  </si>
  <si>
    <t>Obstetric, perinatal, and fetal outcomes in pregnancies with false-positive integrated screening results.</t>
  </si>
  <si>
    <t>OBJECTIVE: To assess the risk of adverse obstetric, perinatal, and fetal outcomes for pregnant women participating in prenatal sequential integrated screening through the California Prenatal Screening Program who had a false-positive screening result. METHODS: Women who underwent first- and second-trimester prenatal integrated screening plus nuchal translucency measurement with outcome information available were included. Fetuses and neonates with chromosomal or neural tube defects were excluded. We compared the risk of adverse outcomes for all women with a positive screening result compared with a 10% random sample of women with a negative screening result. Logistic binomial regression was used to compare adverse outcomes in screen-positive compared with screen-negative women. RESULTS: We identified 9,051 screen-positive and 30,928 screen-negative pregnancies with outcome information available. Compared with screen-negative pregnancies, screen-positive women were more likely to be diagnosed with preeclampsia, placenta previa, or abruption (7.6% screen-positive, 3.8% screen-negative; relative risk 1.7, 95% confidence interval [CI] 1.6-1.8) or experience fetal loss before 20 weeks of gestation (1.9% screen-positive, 0.2% screen-negative; relative risk 3.5, 95% CI 3.2-3.8). Women with positive results for more than one screened condition were at substantially greater risk of fetal and neonatal mortality (relative risks 33.6-156.7, 95% CIs 21.8-194.4). CONCLUSION: Among pregnancies without chromosomal or neural tube defects, prenatal sequential integrated screening provides information regarding risk across a variety of adverse pregnancy outcomes.</t>
  </si>
  <si>
    <t>Comparative Study; Evaluation Study; Journal Article</t>
  </si>
  <si>
    <t>24799683</t>
  </si>
  <si>
    <t>Liao C</t>
  </si>
  <si>
    <t>Noninvasive prenatal diagnosis of common aneuploidies by semiconductor sequencing.</t>
  </si>
  <si>
    <t>Massively parallel sequencing (MPS) of cell-free fetal DNA from maternal plasma has revolutionized our ability to perform noninvasive prenatal diagnosis. This approach avoids the risk of fetal loss associated with more invasive diagnostic procedures. The present study developed an effective method for noninvasive prenatal diagnosis of common chromosomal aneuploidies using a benchtop semiconductor sequencing platform (SSP), which relies on the MPS platform but offers advantages over existing noninvasive screening techniques. A total of 2,275 pregnant subjects was included in the study; of these, 515 subjects who had full karyotyping results were used in a retrospective analysis, and 1,760 subjects without karyotyping were analyzed in a prospective study. In the retrospective study, all 55 fetal trisomy 21 cases were identified using the SSP with a sensitivity and specificity of 99.94% and 99.46%, respectively. The SSP also detected 16 trisomy 18 cases with 100% sensitivity and 99.24% specificity and 3 trisomy 13 cases with 100% sensitivity and 100% specificity. Furthermore, 15 fetuses with sex chromosome aneuploidies (10 45,X, 2 47,XYY, 2 47,XXX, and 1 47,XXY) were detected. In the prospective study, nine fetuses with trisomy 21, three with trisomy 18, three with trisomy 13, and one with 45,X were detected. To our knowledge, this is the first large-scale clinical study to systematically identify chromosomal aneuploidies based on cell-free fetal DNA using the SSP and provides an effective strategy for large-scale noninvasive screening for chromosomal aneuploidies in a clinical setting.</t>
  </si>
  <si>
    <t>Proc Natl Acad Sci U S A</t>
  </si>
  <si>
    <t>25027965</t>
  </si>
  <si>
    <t>Hill M</t>
  </si>
  <si>
    <t>Evaluation of non-invasive prenatal testing (NIPT) for aneuploidy in an NHS setting: a reliable accurate prenatal non-invasive diagnosis (RAPID) protocol.</t>
  </si>
  <si>
    <t>BACKGROUND: Non-invasive prenatal testing (NIPT) for aneuploidies is now available through commercial companies in many countries, including through private practice in the United Kingdom (UK). Thorough evaluation of service delivery requirements are needed to facilitate NIPT being offered more widely within state funded healthcare systems such as the UK's National Health Service (NHS). Successful implementation will require the development of laboratory standards, consideration of stakeholder views, an analysis of costs and development of patient and health professional educational materials. METHODS/DESIGN: NIPT will be offered in an NHS setting as a contingent screening test. Pregnant woman will be recruited through six maternity units in England and Scotland. Women eligible for Down's syndrome screening (DSS) will be informed about the study at the time of booking. Women that choose routine DSS will be offered NIPT if they have a screening risk ≥ 1:1000. NIPT results for trisomy 21, 18, 13 will be reported within 7-10 working days. Data on DSS, NIPT and invasive testing uptake, pregnancy outcomes and test efficacy will be collected. Additional data will be gathered though questionnaires to a) determine acceptability to patients and health professionals, b) evaluate patient and health professional education, c) assess informed choice in women accepting or declining testing and d) gauge family expenses. Qualitative interviews will also be conducted with a sub-set of participating women and health professionals. DISCUSSION: The results of this study will make a significant contribution to policy decisions around the implementation of NIPT for aneuploidies within the UK NHS. The laboratory standards for testing and reporting, education materials and counselling strategies developed as part of the study are likely to underpin the introduction of NIPT into NHS practice. NIHR PORTFOLIO NUMBER: 13865.</t>
  </si>
  <si>
    <t>25053891</t>
  </si>
  <si>
    <t>Gekas J</t>
  </si>
  <si>
    <t>Identification of trisomy 18, trisomy 13, and Down syndrome from maternal plasma.</t>
  </si>
  <si>
    <t>Current prenatal diagnosis for fetal aneuploidies (including trisomy 21 [T21]) generally relies on an initial biochemical serum-based noninvasive prenatal testing (NIPT) after which women who are deemed to be at high risk are offered an invasive confirmatory test (amniocentesis or chorionic villi sampling for a fetal karyotype), which is associated with a risk of fetal miscarriage. Recently, genomics-based NIPT (gNIPT) was proposed for the analysis of fetal genomic DNA circulating in maternal blood. The diffusion of this technology in routine prenatal care could be a major breakthrough in prenatal diagnosis, since initial research studies suggest that this novel approach could be very effective and could reduce substantially the number of invasive procedures. However, the limitations of gNIPT may be underappreciated. In this review, we examine currently published literature on gNIPT to highlight advantages and limitations. At this time, the performance of gNIPT is relatively well-documented only in high-risk pregnancies for T21 and trisomy 18. This additional screening test may be an option for women classified as high-risk of aneuploidy who wish to avoid invasive diagnostic tests, but it is crucial that providers carefully counsel patients about the test's advantages and limitations. The gNIPT is currently not recommended as a first-tier prenatal screening test for T21. Since gNIPT is not considered as a diagnostic test, a positive gNIPT result should always be confirmed by an invasive test, such as amniocentesis or chorionic villus sampling. Validation studies are needed to optimally introduce this technology into the existing routine workflow of prenatal care.</t>
  </si>
  <si>
    <t>Appl Clin Genet</t>
  </si>
  <si>
    <t>23887195</t>
  </si>
  <si>
    <t>Yee LM</t>
  </si>
  <si>
    <t>Perinatal outcomes in euploid pregnancies with 'double-positive' first trimester prenatal screening for trisomy 18 and 21.</t>
  </si>
  <si>
    <t>OBJECTIVE: The objective of this study was to investigate whether women who screened positive for both trisomy 18 (T18) and trisomy 21 (T21) yet had euploid karyotypes were at increased risk for adverse pregnancy outcomes. STUDY DESIGN: This was a retrospective cohort study of women who had first trimester aneuploidy screening. Double-positive subjects had risks greater than screening cutoffs for T21 and T18 and confirmed euploid karyotypes. Singleton subjects were matched 1:2 by maternal age to controls with normal screening. Perinatal outcomes were investigated using t-tests and χ(2)-tests; statistical significance was set at P&lt;0.05. RESULT: Of 9733 women who had first trimester screening, 33 euploid pregnancies screened positive for both T21 and T18. Compared with controls, these study subjects were more likely to have abnormalities identified by prenatal ultrasounds, including renal, fetal membrane and fluid, as well as multiple anomalies (P=0.01). In addition, double-positive subjects had a lower mean gestational age at birth (P=0.02) and lower mean birth weight (P=0.03) than controls. Maternal outcomes were not significantly different. CONCLUSION: Pregnancies with double false-positive first trimester aneuploidy screening were associated with pregnancy/fetal abnormalities.</t>
  </si>
  <si>
    <t>24156088</t>
  </si>
  <si>
    <t>Elsayed GM</t>
  </si>
  <si>
    <t>The importance of rapid aneuploidy screening and prenatal diagnosis in the detection of numerical chromosomal abnormalities.</t>
  </si>
  <si>
    <t>OBJECTIVES: Evaluation of Fluorescent in situ hybridization (FISH) as a tool for rapid aneuploidy screening (RAS) of high risk pregnancies, before its approval in the national antenatal screening and genetic diagnosis program in Egypt. METHODS: The cytogenetic data of prenatal specimens, and results of FISH of 100 patients performed between, January 2009 and December 2009, at the Medical Genetics Center (MGC) laboratory were retrieved and reviewed. AneuVysion Assay kit was used for detection of 13, 21, X, Y, 18 aneuploidies. RESULTS: Maternal age varied from 21 to 44 years (mean was 35.6 year). Ninety percent of pregnancies had normal chromosomes and 10% of the cases had numerical chromosomal abnormalities. Trisomy 21 was the most frequent chromosomal disorder across all indications (5%), followed by Turner syndrome (2%), trisomy 18 (2%), and trisomy 13 (1%). When comparing the FISH data with karyotype results for chromosomes 13, 18, 21, X, and Y in the 83 individual tested, no false positive or negative results were detected by the FISH assay. The result obtained by FISH and the banding cytogenetic were in complete accordance. CONCLUSION: This study supports the integration of amniotic fluid (AF) FISH as a RAS test, in to routine antenatal practice for identification of chromosome aneuploidies. There are trends towards delayed childbearing and most cases of Down Syndrome (DS) are currently detected post-nataly in the Egyptian population. Consequently, the live birth prevalence of DS has increased, which might lead to a serious negative public health effects.</t>
  </si>
  <si>
    <t>Springerplus</t>
  </si>
  <si>
    <t>21592687</t>
  </si>
  <si>
    <t>Papaioannou GK</t>
  </si>
  <si>
    <t>Sonographic markers of aneuploidies at 6-10 weeks of gestation.</t>
  </si>
  <si>
    <t>OBJECTIVES: To determine if sonographic features of live embryos at 6-10 weeks' gestation are altered in aneuploidies. METHODS: Embryonic crown rump length (CRL), embryonic heart rate, gestational sac diameter (GSD) and yolk sac diameter (YSD) were measured by transvaginal sonography in 5603 live embryos from singleton pregnancies at 6-10 weeks' gestation. The measurements were expressed as differences from the expected normal mean for CRL (delta values) and median delta values in the aneuploid cases were compared to the euploid group. RESULTS: 5393 pregnancies resulted in the live birth of phenotypically normal neonates and these cases constituted the euploid group. In 55 cases there was subsequent prenatal diagnosis of aneuploidies (trisomy 21, n=28; trisomy 18, n=10; trisomy 13, n=10; triploidy, n=4; Turner syndrome, n=3). The median and interquartile range (IQR) of delta embryonic heart rate in trisomy 18 was -19.44 (-23.77 to -7.20)bpm and in trisomy 13 it was 11.12 (7.25 to 20.39)bpm, which were significantly lower and higher, respectively, than in euploid embryos (median -0.05, IQR -6.18 to 6.21bpm). The median delta YSD in trisomy 21 was higher than in euploid fetuses (median 0.56, IQR 0.23 to 0.79 and median -0.17, IQR -3.11 to 2.82 mm). There were no other significant differences in measurements between the groups. CONCLUSION: At 6-10 weeks' gestation there are sonographically detectable differences between euploid and trisomic embryos.</t>
  </si>
  <si>
    <t>Early Hum Dev</t>
  </si>
  <si>
    <t>20730796</t>
  </si>
  <si>
    <t>Kazerouni NN</t>
  </si>
  <si>
    <t>Ancillary benefits of prenatal maternal serum screening achieved in the California program.</t>
  </si>
  <si>
    <t>OBJECTIVE: To evaluate the extent of fetal structural abnormalities, other than neural tube and abdominal wall defects (AWDs), identified by California's Prenatal Screening Program. METHODS: The Quad Marker Prenatal Screening records of 516,172 women were examined for screening interpretation and the diagnosis of structural abnormalities detected via follow-up. Women who were screen-positive for trisomy 21, trisomy 18, neural tube defects (NTDs) or Smith-Lemli-Opitz syndrome (SLOS) received follow-up services at state-approved Prenatal Diagnosis Centers (PDCs). Detailed reports of services and diagnostic information were linked in a database to the original screening results. RESULTS: A total of 26 323 women received follow-up ultrasound services at the PDCs in the study time period. Of these women, 1085 (4.1%) were identified as having fetuses with significant structural abnormalities, other than NTDs (n = 207) or AWDs (n = 254). In addition to the structural abnormalities, 225 cases of fetal demise, 4 molar pregnancies, 15 cases of twin-to-twin transfusion, and 92 cases with placental abnormalities were identified. CONCLUSION: While Prenatal Screening Programs do not explicitly screen for structural abnormalities other than NTDs and AWDs, clearly many other structural abnormalities may be associated with a screen-positive status. Thus, the detection of these additional structural defects can be considered an ancillary program benefit.</t>
  </si>
  <si>
    <t>20925041</t>
  </si>
  <si>
    <t>Lai S</t>
  </si>
  <si>
    <t>Is ultrasound alone enough for prenatal screening of trisomy 18? A single centre experience in 69 cases over 10 years.</t>
  </si>
  <si>
    <t>OBJECTIVES: To evaluate ultrasound scan and other prenatal screening tests for trisomy 18 in a regional obstetric unit and to review the management approach for women with positive trisomy 18 screening results. METHODS: Prenatal diagnosis databases were accessed to identify fetuses that had confirmed trisomy 18 karyotypes or were at high risk for trisomy 18 on second-trimester biochemical screening or first-trimester combined screening tests over a period of 10 years from 1 September 1997 to 30 September 2007. RESULTS: Sixty-nine women were confirmed to have trisomy 18 fetuses by karyotyping either prenatally (n = 61) or postnatally/post-miscarriage (n = 8) during the study period. The detection rate of ultrasound scan ≤ 14 weeks and 18 to 21 weeks to detect trisomy 18 was 92.7 and 100%, respectively. A total of 80 and 87% of fetuses had two or more ultrasound abnormalities detected in the ≤ 14 weeks and 18 to 21 weeks anomaly scans, respectively. Forty-eight women screened positive for trisomy 18 by second-trimester biochemical screening with human chorionic gonadotrophin (hCG) and alpha fetoprotein (AFP). Only one was true positive (positive predictive value = 1/48 or 2%). Eleven women screened positive for trisomy 18 by first-trimester combined screening with nuchal translucency scan and maternal serum for pregnancy-associated plasma protein A (PAPP-A) and hCG between 11 and 13 + 6 weeks. Three were true positive (positive predictive value = 3/11 or 27%). All four cases with positive screening had ultrasound abnormalities. CONCLUSIONS: Ultrasound scan for fetal anomalies is the most effective screening test for trisomy 18. A policy of conservative management for women with positive second-trimester biochemical screening or first-trimester combined screening for trisomy 18 is reasonable in the absence of ultrasound fetal abnormalities. Unnecessary invasive tests can be avoided.</t>
  </si>
  <si>
    <t>21961367</t>
  </si>
  <si>
    <t>Grether-González P</t>
  </si>
  <si>
    <t>[Prenatal diagnosis by amniocentesis. Clinical and cytogenetic experience in 1,500 cases].</t>
  </si>
  <si>
    <t>BACKGROUND: Genetic amniocentesis is performed in México 25 years ago but only few works have been published. OBJECTIVE: To analyze clinical and cytogenetic findings in consecutive patients submitted to genetic amniocentesis. MATERIAL AND METHOD: An analysis was made of the clinical features, amniocentesis results and pregnancy outcome in 1500 consecutive cases of genetic amniocentesis. RESULTS: Sixty-eight fetuses with chromosomopathy (4.5%) were detected and two, with an inborn error of metabolism. The most frequent abnormalities were trisomy 21 (32 cases), trisomy 18 (10 cases), trisomy 13(6 cases), 45,X (6 cases), 47,XXY (4 cases). Pregnancy outcome is known in 474 patients (32%). There were five fetal losses (1%). Of the 68 cases with chromosomopathy, the outcome is known in 45, of which, 29 (64%) decided to have an abortion while 16 (35%) continued the pregnancy, six had a spontaneous abortion or perinatal death and ten had an alive new born. Among fetuses with normal or balanced karyotype and normal ultrasound, 11 out of 419 (2.6%) had congenital anomalies. Two of them had a condition known to be related with epigenetic regulation, (Russell Silver and Angelman syndrome). CONCLUSIONS: Amniocentesis is a reliable and low risk method. Cytogenetic findings in this series are similar to those reported in the literature. Most patients with fetal disease decided to have an abortion. The finding of two patients with a condition related with abnormal epigenetic regulation suggests that the magnitude of this risk remains to be defined.</t>
  </si>
  <si>
    <t>English Abstract; Journal Article</t>
  </si>
  <si>
    <t>19546758</t>
  </si>
  <si>
    <t>Triple-marker prenatal screening program for chromosomal defects.</t>
  </si>
  <si>
    <t>OBJECTIVE: To examine screening performance of California's triple-marker screening program, using data from a statewide registry for chromosomal defects. METHODS: This study included 752,686 women who received a screening risk and had an expected date of delivery between July 2005 and the end of June 2007. Follow-up diagnostic services for screen-positive women were performed at state-approved centers. Data on diagnostic outcomes from these visits were entered into the California Chromosomal Defect Registry (CCDR). Other CCDR sources include mandatory reporting by all cytogenetic laboratories and hospitals and outcome data forms submitted by prenatal care providers. RESULTS: The observed detection rate for Down syndrome (N=1,217) was 77.4%. It varied significantly by gestational dating method and maternal age. The rates for women aged younger than 35 years and 35 years and older were 62.4% and 94.0%, respectively. The detection rates were 81.3% for ultrasound-dated pregnancies and 67.5% for last menstrual period-dated pregnancies. For Turner syndrome, trisomy 18, triploidy, and trisomy 13, the detection rates were 79.4%, 82.5%, 98.1%, and 36.0%, respectively. The positive rate for Down syndrome was 5.4%. Of women with a Down syndrome fetus who were screen positive, only 49.5% opted for amniocentesis. Of women who obtained results from amniocentesis indicating a Down syndrome fetus, 61.4% had an elective termination, 26.2% had a live birth, 4.5% had a death or miscarriage, and 7.9% had an unknown outcome. CONCLUSION: The observed performance of this large triple-marker screening program exceeds generally predicted detection rates for Down syndrome. This study methodology will be used to measure the performance of subsequent screening enhancements. LEVEL OF EVIDENCE: III.</t>
  </si>
  <si>
    <t>18239237</t>
  </si>
  <si>
    <t>Leung WC</t>
  </si>
  <si>
    <t>Rapid aneuploidy testing (knowing less) versus traditional karyotyping (knowing more) for advanced maternal age: what would be missed, who should decide?</t>
  </si>
  <si>
    <t>OBJECTIVES: The application of rapid aneuploidy testing as a stand-alone approach in prenatal diagnosis is much debated. The major criticism of this targeted approach is that it will not detect other chromosomal abnormalities that will be picked up by traditional karyotyping. This study aimed to study the nature of such chromosomal abnormalities and whether parents would choose to terminate affected pregnancies. DESIGN: Retrospective study on a cytogenetic database. SETTING: Eight public hospitals in Hong Kong. PARTICIPANTS: The karyotype results of 19 517 amniotic fluid cultures performed for advanced maternal age (&gt;or=35 years) from 1997 to 2002 were classified according to whether they were detectable by rapid aneuploidy testing. The outcomes of pregnancies with abnormal karyotypes were reviewed from patient records. RESULTS: In all, 333 (1.7%) amniotic fluid cultures yielded abnormal karyotypes; 175 (52.6%) of these were detected by rapid aneuploidy testing, and included trisomy 21 (n=94, 28.2%), trisomy 18 or 13 (n=21, 6.3%), and sex chromosome abnormalities (n=60, 18.0%). The other 158 (47.4%) chromosomal abnormalities were not detectable by rapid aneuploidy testing, of which 63 (18.9%) were regarded to be of potential clinical significance and 95 (28.5%) of no clinical significance. Pregnancy outcomes in 327/333 (98.2%) of these patients were retrieved. In total, 143 (42.9%) of these pregnancies were terminated: 93/94 (98.9%) for trisomy 21, 20/21 (95.2%) for trisomy 18 or 13, 19/60 (31.7%) for sex chromosome abnormalities, and 11/63 (17.5%) for other chromosomal abnormalities with potential clinical significance. There were no terminations in the 95 pregnancies in which karyotyping results were regarded to be of no clinical significance. CONCLUSIONS: 'Knowing less' by the rapid aneuploidy stand-alone testing could miss about half of all chromosomal abnormalities detectable by amniocentesis performed for advanced maternal age. Findings from two fifths of the latter were of potential clinical significance, and the parents chose to terminate one out of six of the corresponding pregnancies. If both techniques are available, parents could have enhanced autonomy to choose.</t>
  </si>
  <si>
    <t>Hong Kong Med J</t>
  </si>
  <si>
    <t>18697378</t>
  </si>
  <si>
    <t>Sirichotiyakul S</t>
  </si>
  <si>
    <t>Transabdominal chorionic villus sampling: experience at Maharaj Nakorn Chiang Mai Hospital.</t>
  </si>
  <si>
    <t>OBJECTIVE: To describe the experience of transabdominal chorionic villus sampling (CVS) at Maharaj Nakorn Chiang Mai Hospital. MATERIAL AND METHOD: Between January 2004 and July 2006, 185 pregnant women chose to have CVS for prenatal diagnosis after counseling. Transabdominal CVS under ultrasound guidance was performed in all cases under local anesthesia using spinal needle 20-gauge with back and forth movement technique. The sample was immediately examined under a microscope to determine if the villi were obtained and to remove the decidua (maternal cells) from the villi. RESULTS: The mean gestational age was 12.25 +/- 1.05 weeks (range 10-20 weeks). The procedure was successful in all cases, 168 cases (90.9%) with one attempt. The indications for prenatal diagnosis included fetal risk for chromosomal abnormalities (110 cases; 59.46%), severe thalassemia syndrome (57 cases; 30.81%), both of them (17 cases; 9.19%) and for HLA typing in one case. The results could not be obtained in 11 cases (5.95%) due to laboratory failure. In the present study, abnormal chromosomes were detected in chorionic villi from 12 fetuses, including 45,X (3), trisomy 18 (3), trisomy 21 (2), trisomy 7 (1) and mosaicism (3). Additionally, 18 fetuses with severe thalassemia syndrome were identified; five homozygous beta-thalassemia, 11 beta-thalassemia/Hb E disease, and two homozygous alpha-thalassemia (Hb Bart's). The complications found in the present study included one case (0.54%) of fetal loss following the procedure and one case (0.54%) of vaginal bleeding. No case with limb reduction defect, infection, or rupture of membranes following the procedure was seen. CONCLUSIONS: Transabdominal CVS is a rather safe and reliable prenatal diagnostic technique. The fetal loss rate following the procedure in the present study was 0.54%. However operator' experience and skill in ultrasound-directed needle guidance procedure are essential.</t>
  </si>
  <si>
    <t>J Med Assoc Thai</t>
  </si>
  <si>
    <t>18785270</t>
  </si>
  <si>
    <t>Jelliffe-Pawlowski LL</t>
  </si>
  <si>
    <t>Using second trimester ultrasound and maternal serum biomarker data to help detect congenital heart defects in pregnancies with positive triple-marker screening results.</t>
  </si>
  <si>
    <t>Congenital heart defects (CHDs) are the most common of all birth defects. For many newborns with a CHD, prenatal versus postnatal detection is associated with substantially decreased morbidity and mortality risks. Although technological advances in fetal echocardiography have led to an increased capacity to detect CHDs prenatally, pregnancies without an identified risk factor are not routinely screened. With the aim of identifying pregnancies at increased risk for CHDs, this study examined the relationship between CHDs and typically collected second trimester biomarker data collected on a large population-based sample of singleton pregnancies with one or more second trimester screen positive result for Down syndrome, trisomy 18 (T-18), Smith-Lemli-Opitz syndrome (SLOS), or a neural tube defect (NTD). Where possible, logistic models for cases and controls were built and potential referral models were tested among study subsamples with information on the presence or absence of CHDs reported pre- and perinatally. When considered in combination, screen positive for T-18, screen positive for SLOS, nuchal fold measurement &gt; or = 5 mm, and/or having an adjusted hCG multiple of the median &gt; or = the 95th centile detected 42.7% of all pregnancies with a CHD in the combined subsample (where co-occurrence with chromosomal defects was not considered) and detected 29.7% of all pregnancies with a CHD in the no-chromosomal defect subsample. A nuchal fold measurement &gt; or = 5 mm detected 18.2% of those with a CHD in the Down syndrome subsample and an adjusted hCG multiple of the median (MoM) &lt; or = 5th centile detected 92.9% of those with a CHD in the T-18 subsample.</t>
  </si>
  <si>
    <t>18923654</t>
  </si>
  <si>
    <t>Daniilidis A</t>
  </si>
  <si>
    <t>A four-year retrospective study of amniocentesis: one centre experience.</t>
  </si>
  <si>
    <t>AIM: Monitor the performance of the amniocentesis procedure for prenatal diagnosis and particularly the acquisition of results (time to get, success in getting them). MATERIALS AND METHODS: This is a retrospective review of case notes of all pregnant women undergone amniocentesis in our department during the period 2002-2005. Two main operators performed the procedure, using 22 gauze needle usually and 20 gauze should longer needle was needed. Sevendy three patients undergone amniocentesis. The reasons for having this procedure were: increased risk for Down syndrome in 68% (50/73), maternal request in 24% (18/73), suspicious ultrasound findings in 4% (3/73) and family history in 3% (2/73). Maternal age ranged from 20 to 45 years and the gestation time that amniocentesis was performed was 15 to 23 weeks. Fluorescence in situ hybridization (FISH) and culture were used in order to obtain karyotype results. RESULTS: In 92% (67/73) of cases one needle pass was needed. FISH and culture were performed in 96% (70/73) of cases, FISH only in 3% (2/73) and culture only in 1% (1/73). The chromosome results were normal in 93% (68/73) of cases, Down's syndrome in 4% (3/73) and Edwards syndrome in 3% (2/73). The outcome of pregnancies was: live births in 89% (65/73), stillbirths at 32 weeks and 35 weeks in 3% (2/73), miscarriages in 1% (1/73 at 19 weeks, 3 weeks after the amniocentesis), terminations in 7% (5/73, due to chromosomal abnormalities). Sixty one women delivered at term (84%) and 6 women (8%) delivered preterm. CONCLUSION: The post amniocentesis rate of miscarriage is calculated at 1% in our centre. FISH analysis can relieve stress of couples by reducing the waiting time for results.</t>
  </si>
  <si>
    <t>Hippokratia</t>
  </si>
  <si>
    <t>17333228</t>
  </si>
  <si>
    <t>Schmidt P</t>
  </si>
  <si>
    <t>Comparison of Nicolaides' risk evaluation for Down's syndrome with a novel software: an analysis of 1,463 cases.</t>
  </si>
  <si>
    <t>OBJECTIVE: The individual risk assessment of fetal Down's syndrome based on measurement of nuchal translucency (NT) according to Nicolaides, optionally complemented by the determination of PAPP-A and free beta HCG has progressively supplanted other search strategies for fetal aneuploidies. It could be shown that this diagnostic strategy equally detects other numeric aneuploidies at a comparable rate. A positive test result is also predictive for the presence of a fetal malformation. In this field, several computer programs are available for clinical use. The objective of our study was to re-evaluate the first consecutive 1463 NT-risk calculations determined by Nicolaides' method and to compare the risk calculation to the JOY software (NT-risk calculation module, JOY Patient Database) introduced in 2002. MATERIAL AND METHODS: At the Department of Obstetrics and Gynecology, Hannover Medical School, 1463 consecutive complete data sets comprising first trimester screening performed between May 2, 2000 and June 26, 2003 and corresponding fetal outcome were analysed using risk assessment based on the Nicolaides method (PIA Fetal Database NT-Module) and compared with the risk evaluation as determined by the JOY software (JOY Patient Database NT module). A risk exceeding 1:300 was considered to indicate the need for further invasive testing. In a first step, only cytogenetically detectable chromosomal aberrations were analysed. Then, a second evaluation including fetal malformations was performed. RESULTS: Among the 1463 cases, 1445 (98.77%) fetuses revealed to be cytogenetically healthy. Both softwares showed identical detection rates at the genetic and somatic level:13 cases of Down-Syndrome (0.89%), 2 cases of trisomy 18 (0.14%), one case of triploidy, one Turner-Syndrome, one Klinefelter-Syndrome (0.07% each) were detected. A positive test result was found in 15 cases ending in a spontaneous abortion, intrauterine death or peripartum death (1.03%) and in 22 cases of fetal malformation (1.50%). At the level of genetic detection the test positive rate dropped from 92 (PIA) to 71 (JOY) (-22.8%). At the level of combined adverse outcome the test positive rate was reduced from 100 (PIA) to 76 (JOY) (-22.0%), thus yielding in a marked improvement of the characteristic test performance parameters. CONCLUSION: The novel, recently developed JOY software package allowed reliable evaluation of the risk for aneuploidy with increased specificity whereas sensitivity was unchanged. Our data suggest an improvement of the screening for aneuploidy when using this novel software: With an identical detection rate, the number of unnecessary invasive measures may be reduced.</t>
  </si>
  <si>
    <t>17501960</t>
  </si>
  <si>
    <t>Jaques AM</t>
  </si>
  <si>
    <t>Follow up and evaluation of the Victorian first-trimester combined screening programme for Down syndrome and trisomy 18.</t>
  </si>
  <si>
    <t>OBJECTIVE: The objective of this study was to follow up and evaluate the statewide first-trimester combined screening programme for Down syndrome and trisomy 18 at Genetic Health Services Victoria, Australia. DESIGN: Retrospective population cohort. SETTING: Maternal Serum Screening Laboratory records. SAMPLE: All women screened between February 2000 and June 2002 (16,153 pregnancies). METHODS: Screening results were matched to Victorian perinatal and birth defect data via record linkage, with an ascertainment of 96.8% of pregnancy outcomes. Manual follow up with health professionals increased ascertainment to more than 99%. MAIN OUTCOME MEASURES: Fetal Down syndrome or trisomy 18, and combined screen results, to calculate test characteristics. RESULTS: Using a risk threshold of 1 in 300 at time of ultrasound, the sensitivities for standard first-trimester combined screening and augmented 13-week combined screening for Down syndrome were 87.3 and 90.5% and the false-positive rates (FPR) were 4.1 and 3.9%, respectively. The sensitivity for trisomy 18 was 66.7% (10/15, 95% CI 42.8-90.5%) with a 0.4% FPR and 15.2% positive predictive value (1 in 250 risk threshold). CONCLUSIONS: The combined use of record linkage and manual follow-up techniques was effective in ascertaining more than 99% of pregnancy outcomes for calculations of accurate test characteristics of the combined screen. The sensitivity for Down syndrome at Genetic Health is comparable to similar populations. However, the sensitivity for trisomy 18 is lower than that elsewhere, which may reflect the overall low birth prevalence of trisomy 18 and associated small numbers in this particular cohort.</t>
  </si>
  <si>
    <t>BJOG</t>
  </si>
  <si>
    <t>17963197</t>
  </si>
  <si>
    <t>Zidere V</t>
  </si>
  <si>
    <t>Implications of bidirectional flow in the great arteries at the 11-14-week scan.</t>
  </si>
  <si>
    <t>OBJECTIVE: To determine the implications of a bidirectional Doppler flow pattern detected in one or both of the fetal great arteries in the first trimester. METHODS: Database records were reviewed for cases of bidirectional flow found on fetal echocardiography performed at less than 15 weeks of gestation between January 1999 and October 2006 inclusive. Bidirectional flow consisted of antegrade flow in systole and retrograde flow in diastole. Data including indication for fetal echocardiography, gestational age at diagnosis, the anatomical features, karyotype, nuchal translucency measurement and outcome were collected. RESULTS: From almost 2500 scans, bidirectional flow was detected in a total of 15 fetuses. The abnormal flow pattern was confined to the aorta in four, to the pulmonary artery in four, and was present in both great arteries in a further seven fetuses. Eight of the 15 fetuses had regurgitation at one or both atrioventricular valves. Additional cardiac abnormalities were detected by ultrasound in eight cases. Of the 13 cases for which the karyotype was known, 12 were abnormal and five of these had trisomy 18. None of the fetuses survived. There were two intrauterine deaths and 13 terminations of pregnancy. CONCLUSION: Bidirectional flow in one or both great arteries is an unusual finding at the first-trimester scan and must be distinguished from the retrograde flow occurring only in systole in duct-dependent heart defects. It carries a poor prognosis, which is a consequence of both the high chance of underlying chromosomal abnormality and the hemodynamic compromise associated with severe arterial valve regurgitation.</t>
  </si>
  <si>
    <t>18182347</t>
  </si>
  <si>
    <t>Acar A</t>
  </si>
  <si>
    <t>Evaluation of the results of cordocentesis.</t>
  </si>
  <si>
    <t>OBJECTIVE: To evaluate the results of cordocentesis carried out in our clinic at Meram Medicine Faculty of Selcuk University in Konya, Turkey. MATERIALS AND METHODS: Cytogenetic results and complication data were obtained by cordocentesis from 250 pregnancies performed in our clinic. RESULTS: Adequate amount of cord blood was taken 98% of the time, the successful culture rate was 92.8%, and none of the 18 cases in which no proliferation was detected in the culture accepted a new intervention. Cordocentesis was performed in 14 cases (5.6%), because no results were obtained from amniocentesis carried out for various indications. According to cytogenetic evaluation, chromosomal abnormality was detected in 12 cases (5.17%), including four cases of trisomy 21, four cases of trisomy 18, one case of trisomy 13, one case of triploidy (69,XXX) and two cases of chromosomal inversion. Of the 250 cordocentesis cases, there were 12 (4.8%) cases of fetal loss, including four cases of rupture of membranes, four cases of abdominal pain and vaginal bleeding and four cases of a spontaneous abortus. In 53 (21.2%) cases, cordocentesis was performed because of hydrops fetalis; and of the total 12 losses, six were in this group. The fetal loss rate was 11.32% in the hydrops fetalis group. CONCLUSION: If cordocentesis is carried out by highly skilled physicians and optimal culture conditions are available, cordocentesis is an invasive prenatal diagnostic and therapeutic procedure that is performed secondary to amniocentesis with high accuracy and safety. In cases of hydrops fetalis in which cordocentesis is carried out, fetal loss is more likely to occur.</t>
  </si>
  <si>
    <t>16569299</t>
  </si>
  <si>
    <t>Using record linkage and manual follow-up to evaluate the Victorian maternal serum screening quadruple test for Down's syndrome, trisomy 18 and neural tube defects.</t>
  </si>
  <si>
    <t>OBJECTIVES: The Genetic Health Services Victoria maternal serum screening (MSS) quadruple test has been available to pregnant women in Victoria since 1996. The objectives of this study were to follow up the pregnancies screened by MSS between July 1998 and June 2000 and to determine the performance characteristics of the test for Down's syndrome, trisomy 18 and neural tube defects (NTDs). METHODS: MSS results were matched to pregnancy outcome information from the Perinatal Data Collection Unit and Birth Defects Register, using automated probabilistic record linkage. For unmatched pregnancies, manual follow-up was carried out by contacting referring doctors and hospitals, resulting in a very high follow-up rate of 99.2% (18,989/19,143). RESULTS: The sensitivity of MSS for Down's syndrome was 85% (23/27-95%CI 72-99%) with a falsepositive rate (FPR) of 6.8% (risk threshold &gt;or= 1 in 250). While using a fixed 5% FPR, the sensitivity for Down's syndrome was slightly lower (78%). The sensitivity for trisomy 18 was 44% (4/9 - 95% CI 12-77%) with a FPR of 0.5% (risk threshold of &gt;or= 1 in 200). 11 of the 15 (73 - 95%CI 51-97%) cases of open NTDs were detected from screening, with a 1% FPR (risk threshold alpha-fetoprotein [AFP] &gt;or=2.5 MoM). All cases of anencephaly had increased AFP levels. CONCLUSION: Probabilistic record linkage and manual follow-up is an efficient method for ascertainment of pregnancy outcomes, with a higher follow-up rate than that reported in similar studies. MSS should remain an available option for all pregnant women in Victoria, with test characteristics comparable with other recent reports of the quadruple test.</t>
  </si>
  <si>
    <t>16238533</t>
  </si>
  <si>
    <t>Maymon R</t>
  </si>
  <si>
    <t>The best marker combination using the integrated screening test approach for detecting various chromosomal aneuploidies.</t>
  </si>
  <si>
    <t>AIMS: To evaluate the cross-trimester multiple marker correlation and the minimum marker combination needed for detecting various chromosomal aneuploidies. MATERIALS AND METHODS: Parturient women with singleton pregnancies who underwent non-interventional sequential screening test and followed prospectively were recruited. They all underwent first trimester combined nuchal translucency (NT), pregnancy-associated plasma protein-A (PAPP-A), and free beta-human chorionic gonadotrophin (f-betahCG), followed by second trimester measurement of unconjugated estriol (uE3), human chorionic gonadotrophin (hCG) and alpha-fetoprotein (AFP). Pearson correlation was applied to compute any cross-trimester marker correlation and logistic regression analysis was used to determine the minimum marker combination for detecting various categories of chromosomal aneuploidies. RESULTS: The current study included 552 normal and 43 chromosomal-affected pregnancies (24 Down's syndrome [DS], 7 Turner's syndrome, 8 Edward's syndrome, 4 Klinefelter syndrome and 5 triploidy) for which the results of both the screening tests and the pregnancy outcome were available. In the normal cases, a significant correlation was found between f-betahCG and hCG (r=0.52), as well as between PAPP-A and uE3 (r=0.174). In DS pregnancies, the NT correlated with both hCG (r=0.45) and uE3 (r=-0.39). In Turner's syndrome, uE3 correlated both with PAPP-A (r=0.97) and f-betahCG (r=0.97). No other significant correlations were found. Furthermore, with the exception of f-betahCG and hCG in the unaffected cases, all other markers correlation appeared very weak. For detecting all the above categories of aneuploidies, the combination of NT, PAPP-A and uE3 and the maternal age background risk were found adequate, with a 74% detection rate (DR) for a 5% false positive rate (FPR). For DS only, the combination of maternal age-related background risk and the combination of NT, PAPP-A, hCG and AFP yielded a 79% DR for a 5% FPR. CONCLUSIONS: The current study agrees with a previous report that, overall, there is no strong correlation between first and second trimester markers. The extension of the integrated test for detecting various categories of common chromosomal aneuploidies using NT, PAPP-A and uE3 deserves further evaluation.</t>
  </si>
  <si>
    <t>Evaluation Study; Journal Article; Research Support, Non-U.S. Gov't</t>
  </si>
  <si>
    <t>14691994</t>
  </si>
  <si>
    <t>Drummond CL</t>
  </si>
  <si>
    <t>Fetal karyotyping after 28 weeks of gestation for late ultrasound findings in a low risk population.</t>
  </si>
  <si>
    <t>OBJECTIVE: To analyze the indications and the results of invasive testing for fetal karyotyping for ultrasound abnormality in the third trimester of pregnancy, when first- and second-trimester screening tests were negative. METHODS: Retrospective study of 171 consecutive pregnancies that underwent invasive testing after 28 weeks of gestation in 2 institutions between January 1999 and December 2001. Forty-one patients did not have any form of screening for fetal aneuploidy beforehand. One hundred and thirty of them had a normal first-trimester scan and a low risk of fetal aneuploidy by nuchal translucency and/or maternal serum screening and were included in the statistical analysis. RESULTS: Mean maternal age, gestational age at diagnosis and at invasive testing were 30.5 years; 29.3 weeks and 32.5 weeks respectively. Amniocentesis and fetal blood sampling were performed in 97 and 33 cases respectively. The most frequent indications for invasive testing in the third trimester were major fetal malformations (51%) and intrauterine growth restriction (19%) detected on routine second- or third-trimester ultrasound examination. Ultrasound markers of aneuploidy and polyhydramnios accounted for 17 and 11% of the indications respectively. Fetal karyotype was normal in 121/130 cases. A gene mutation was found in one case. The karyotype was abnormal in nine cases, including seven cases of aneuploidy (one Turner syndrome, three trisomy 18, and three trisomy 21) and two cases of structural chromosomal abnormalities (46,XX, del 4 p16.1 and 46,XX, dup1). One hundred cases resulted in the delivery of a normal baby. Thirty cases led to termination of pregnancy or intrauterine death due to major fetal malformations (N = 25), abnormal karyotype in six of these, and severe IUGR (N = 5) with normal karyotype. Fetal US markers of aneuploidy and isolated polyhydramnios were associated with a favorable outcome in all cases.A significant increase in the risk of chromosomal anomaly was seen when two or more anomalies were found, rising from 2% with one anomaly to 21% when two or more anomalies were present. CONCLUSION: In low risk patients, fetal karyotyping in the third trimester may be justified when the diagnosis of fetal malformation is made in the third trimester of pregnancy. Two or more anomalies increase the risk of fetal aneuploidy even with a negative-screening test in the first and second trimester of pregnancy.</t>
  </si>
  <si>
    <t>12135803</t>
  </si>
  <si>
    <t>Benn PA</t>
  </si>
  <si>
    <t>Advances in prenatal screening for Down syndrome: I. general principles and second trimester testing.</t>
  </si>
  <si>
    <t>BACKGROUND: Down syndrome is one of the most important causes of mental retardation in the population. In the absence of prenatal screening and diagnosis, prevalence at birth in the United States would currently exceed 1:600. The purpose of prenatal screening is to identify those women at the increased risk for an affected pregnancy and to maximize the options available to these women. TESTS AVAILABLE: Second trimester serum screening involves combining the maternal age-specific risk for an affected pregnancy with the risks associated with the concentrations of maternal serum alpha-fetoprotein (MSAFP), unconjugated estriol (uE3), and human chorionic gonadotropin (hCG) (triple testing). A forth analyte, inhibin-A (INH-A), is increasingly being utilized (quadruple testing). Optimal second trimester screening requires the integration of a number of clinical variables, the most important of which is an accurate assessment of gestational age. In addition to Down syndrome, the triple and quadruple tests preferentially identify fetal trisomy 18, Turner syndrome, triploidy, trisomy 16 mosaicism, fetal death, Smith-Lemli-Opitz syndrome, and steroid sulfatase deficiency. Some programs modify the Down syndrome risks generated through maternal serum screening tests with fetal biometric data obtained by ultrasound. Other second trimester tests have shown promise, including the analysis of maternal urine and fetal cells in the maternal circulation, but none are in routine clinical use. CONCLUSION: The second trimester triple and quadruple tests provide benchmarks for evaluating new screening protocols. The combination of fetal biometry, new test development as well as clarification of the role of co-factors that affect the concentrations of analytes in existing tests should lead to greater efficacy in second trimester screening for Down syndrome.</t>
  </si>
  <si>
    <t>Clin Chim Acta</t>
  </si>
  <si>
    <t>11432311</t>
  </si>
  <si>
    <t>Tsai MS</t>
  </si>
  <si>
    <t>Combined measurement of fetal nuchal translucency, maternal serum free beta-hCG, and pregnancy-associated plasma protein A for first-trimester Down's syndrome screening.</t>
  </si>
  <si>
    <t>PURPOSE: It has been proposed that first-trimester Down's syndrome screening has a higher detection rate compared to second-trimester biochemical screening. This study investigated the accuracy of Down's syndrome screening during gestational weeks 10 to 13 using the combination of fetal nuchal translucency (NT) measurement with maternal serum concentrations of free beta-human chorionic gonadotropin (beta-hCG) and pregnancy-associated plasma protein-A (PAPP-A). METHODS: A total of 1,514 women with singleton pregnancies were enrolled in this study. Fetal NT was measured using the criteria published by the Fetal Medicine Foundation. Maternal serum concentrations of free beta-hCG and PAPP-A were determined by microtiter-plate ELISA. Down's syndrome risk was calculated using multivariate Gaussian distribution and Alpha software. RESULTS: Seventeen (1.12%) of the 1514 screened pregnancies had a fetal NT of at least 3 mm, and 41.2% of these had a poor pregnancy outcome, including four fetal aneuploidies. The odds of a fetal aneuploidy when the NT was greater than 2.0 multiples of median (MoM) was 90, when serum PAPP-A concentration was less than 0.45 MoM, it was 8.6, and when serum free beta-hCG concentration was greater than 2.2 MoM, it was 4.7. Using a risk cut-off level of 1 in 400, nine of 10 fetal aneuploidies were identified with a 4.7% false-positive rate, including two with trisomy 21, one with trisomy 18, and three with Turner's syndrome. CONCLUSIONS: This study demonstrated that Down's syndrome screening using the combined test in the first trimester had a higher detection rate than that of serum screening in the second trimester. Implementation of NT measurement in the first trimester provides substantial advantages for Down's syndrome detection and early diagnosis of fetal structural abnormalities.</t>
  </si>
  <si>
    <t>J Formos Med Assoc</t>
  </si>
  <si>
    <t>11494290</t>
  </si>
  <si>
    <t>Ryall RG</t>
  </si>
  <si>
    <t>Karyotypes found in the population declared at increased risk of Down syndrome following maternal serum screening.</t>
  </si>
  <si>
    <t>Of the 65 328 pregnancies of South Australian mothers screened by the South Australian Maternal Serum Antenatal Screening (SAMSAS) Programme between 1 January 1991 and 31 December 1997, 3431 (5.25%) were declared at increased risk of fetal Down syndrome. Fetal or neonatal karyotype was determined in 2737/3431 (79.8%) of these pregnancies, including 16 with early fetal loss. Interrogation of the database of the South Australian Neonatal Screening Service showed 643 live-born infants whose phenotype was not subsequently questioned among the 694 pregnancies whose karyotype was not determined. Of the remaining 51/3431 pregnancies, 19 ended in early fetal loss without karyotyping and no newborn screening or other records could be found for 32 cases. The 129 instances of abnormal karyotype found were Down syndrome (84), trisomy 18 (four), trisomy 13 (three), triploidy (two), female sex chromosome aneuploidy (six) and male sex chromosome aneuploidy (five), inherited balanced rearrangements (19), mosaic or de novo balanced abnormalities (four) and unbalanced karyotypes (two). In the pregnancies declared at increased risk of fetal Down syndrome, only the karyotype for Down syndrome occurred with a frequency greater than that expected for the general, pregnant population.</t>
  </si>
  <si>
    <t>11518881</t>
  </si>
  <si>
    <t>Hogge WA</t>
  </si>
  <si>
    <t>Maternal serum screening for fetal trisomy 18: benefits of patient-specific risk protocol.</t>
  </si>
  <si>
    <t>OBJECTIVE: Our goal was to evaluate the effectiveness of two approaches to screen pregnancies for trisomy 18. STUDY DESIGN: We analyzed the outcome of all pregnancies that were screen positive for trisomy 18 by multiple marker screening (alpha-fetoprotein, unconjugated estriol, and human chorionic gonadotropin) from May 1993 to June 1998. We compared the results of a fixed cutoff protocol to a protocol that incorporates maternal age to generate a patient-specific risk figure. RESULTS: A total of 45,145 patients were screened. By using the fixed cutoff protocol, 113 patients (0.25%) were screen positive. The risk-based approach was associated with a 0.55% screen-positive rate (250 patients). Eight of 12 cases (67% detection rate) of trisomy 18 were identified by using the risk method, and only 5 cases (42% detection rate) were detected by using the fixed cutoff method. By using the risk-based protocol, 21 pregnancies with chromosomal abnormalities (8, trisomy 18; 7, triploidy; 5, trisomy 21; and 1, mosaic 45X/46XX) were detected. Subsequent fetal death occurred for 42 patients whose fetuses were chromosomally normal and without structural malformations. CONCLUSION: The patient-specific risk protocol to screen for trisomy 18 is a beneficial adjunct to screening programs already in place for Down syndrome and neural tube defects. Patients found to be screen positive for trisomy 18 are at significant risk for adverse pregnancy outcome.</t>
  </si>
  <si>
    <t>11755107</t>
  </si>
  <si>
    <t>De Vigan C</t>
  </si>
  <si>
    <t>Contribution of ultrasonographic examination to the prenatal detection of chromosomal abnormalities in 19 centres across Europe.</t>
  </si>
  <si>
    <t>The objective of this study was to evaluate the prenatal detection of chromosomal abnormalities by fetal ultrasonographic examination in a large database provided by 19 Registries of Congenital Anomalies from 11 European countries. This study included 1738 cases of chromosomal abnormalities, liveborn, stillborn or termination of pregnancy regardless of maternal age from a population of 664,340 births during the period 1996 - 1998. The most frequent chromosomal anomalies were Down syndrome (n=1050), trisomy 18 (n=191), Turner syndrome (n=125), trisomy 13 (n=86), and triploidy (n=56). Fetal ultrasonographic examination resulted in the prenatal detection of 37.7% of the chromosomal abnormalities, thereby resulting in a reduction of 28.6% in their prevalence at birth due to terminations of pregnancy. The detection rate by ultrasound examination varied according to local policies of prenatal diagnosis : it was lower in countries where routine scan were not performed and higher in countries in which at least one routine anomaly scan during the second trimester of pregnancy was performed. The ultrasound detection varied according to the specific chromosomal anomaly and was lowest for Klinefelter syndrome (5.7%) and highest for triploidy (78.6%). For Down syndrome it was 26.4%. Termination of pregnancy was performed in 75.9% of the cases. Among the 655 cases detected by ultrasound, the most frequent ultrasound signs by category of chromosomal abnormalities were analysed. This study shows that ultrasound screening is an important tool in the prenatal detection of chromosomal abnormalities in Europe, leading to a significant reduction in the prevalence of livebirth children with chromosomal anomalies.</t>
  </si>
  <si>
    <t>Ann Genet</t>
  </si>
  <si>
    <t>11026581</t>
  </si>
  <si>
    <t>Wax JR</t>
  </si>
  <si>
    <t>Efficacy of community-based second trimester genetic ultrasonography in detecting the chromosomally abnormal fetus.</t>
  </si>
  <si>
    <t>We sought to assess prospectively the efficacy of community-based genetic ultrasonography in detecting chromosomally abnormal fetuses in a high-risk population and determine independent markers of aneuploidy. Patients 18 years old and older who were between 14 and 24 weeks' gestation were included if referred for maternal age greater than 35 years, increased risk of Down syndrome or trisomy 18 by second trimester serum screen, or prior affected offspring. All women had a targeted ultrasonographic examination between April 1997 and June 1999 and were offered fetal chromosomal analysis. Markers of aneuploidy and pregnancy outcomes were recorded prospectively. The primary outcome was prenatally or postnatally detected chromosomal abnormalities. Of the 1030 fetuses seen during the study, 789 had outcome data available and constituted the study group. In this group, 694 (87.9%) ultrasonograms were normal, 73 (9.2%) had one marker present, 17 (2.2%) had two markers present, and 5 (0.6%) had three or more markers present. Fourteen of 17 (82.3%) aneuploid fetuses had an abnormal ultrasonogram (one or more markers present), including 5 of 7 (71.4%) with Down syndrome. Logistic regression showed abnormal four-chamber view, structural anomaly, and intracardiac echogenic focus to be significant aneuploidy markers. The amniocentesis rate was 334 of 1030 (32.4%), and it increased with the number of sonographic markers noted (0 = 29.9%, 1 = 60.2%, 2 = 70.6%, 3 or more = 80%). Genetic ultrasonography is highly effective in identifying chromosomally abnormal fetuses in a community-based practice.</t>
  </si>
  <si>
    <t>J Ultrasound Med</t>
  </si>
  <si>
    <t>11028580</t>
  </si>
  <si>
    <t>Spencer K</t>
  </si>
  <si>
    <t>One stop clinic for assessment of risk for fetal anomalies: a report of the first year of prospective screening for chromosomal anomalies in the first trimester.</t>
  </si>
  <si>
    <t>OBJECTIVE: To evaluate the introduction of a one stop multidisciplinary clinic for screening for fetal chromosomal abnormalities in the first trimester by a combination of maternal serum biochemistry and ultrasonography providing a risk of chromosomal abnormalities within a one hour clinic visit. DESIGN: One year retrospective review of screening performance. POPULATION: All women attending for routine antenatal care. The population included 4,190 singleton pregnancies in women of all ages screened between 10 weeks and 3 days and 13 weeks and 6 days of gestation between the periods 1 June 1998 and 31 May 1999 in a district general hospital antenatal clinic. METHODS: All women booked into the clinic were offered screening by a combination of maternal serum free beta human chorionic gonadotrophin (hCG) and pregnancy associated plasma protein A (PAPP-A) and fetal nuchal translucency thickness. Women at increased risk of carrying a fetus with trisomy 21 or trisomy 18/13 (&gt; or =1 in 300 at sampling) were offered counselling and an invasive diagnostic procedure. Follow up of the outcome of all pregnancies was carried out. MAIN OUTCOME MEASURES: The detection rate for trisomy 21, trisomy 18/13 and all aneuploides, false positive rate, uptake of screening, uptake of chorionic villus sampling in women identified at increased risk and fetal loss after chorionic villus sampling. RESULTS: Overall 97.6% of the women (4,088/4,190) accepted first trimester screening. The rate of detection of trisomy 21 was 86% (6/7), for trisomy 18/13 100% (9/9) and for all aneuploides 95% (18/19). Fetal death at presentation was found in 1.6% of pregnancies (69/4,088). Of women who accepted screening, 6.1% (257/4,088) presented too late for fetal nuchal translucency measurement and 6.5% of the women (271/4,088) presented too early. The false positive rate was 6.7% (253/3,762). Uptake of invasive testing was 83% (207/253). CONCLUSION: First trimester prenatal screening for chromosomal abnormalities using a combination of maternal serum biochemistry and fetal nuchal translucency thickness can achieve detection rates in excess of 90%. These services can be provided in a one stop multidisciplinary clinic.</t>
  </si>
  <si>
    <t>41212742</t>
  </si>
  <si>
    <t>Wan R</t>
  </si>
  <si>
    <t>Prerepair Mortality in Cleft Lip and/or Palate: A Retrospective Analysis of Early Childhood Deaths.</t>
  </si>
  <si>
    <t>ObjectiveThis study aimed to identify specific causes, clinical features, and contributing factors associated with early childhood mortality in a vulnerable subset of patients with cleft lip and/or palate (CL/P) who did not survive to undergo surgical repair.DesignThis was a retrospective chart review study.SettingThe study was conducted at a single tertiary medical center.Patients/ParticipantsWe identified 26 liveborn CL/P patients who died without cleft repair from 1970 to 2024. Their data was compared to a control group of 2070 surgically repaired CL/P patients from the same institution.Main Outcome MeasuresOur primary goal was to characterize the clinical profile of patients experiencing prerepair mortality. Secondary outcomes included identifying causes of death, maternal and prenatal risk factors, and comparing these findings with the surgically repaired patients.ResultsAll 26 unrepaired patients (100%) had genetic syndromes or isolated severe congenital anomalies, a significant difference compared to 24% in the surgically repaired group (P &lt; .0001). Trisomy 13 (30.8%), holoprosencephaly (23.1%), congenital cardiac defects (11.5%), and trisomy 18 (11.5%) were the leading causes of death. The median age at death for unrepaired patients was 25 days (interquartile range 4-125 days), significantly lower than the 61.9 years in the control group (P &lt; .0001). Multivariable logistic regression showed that genetic syndromes or severe congenital anomalies were strongly associated with early mortality (P &lt; .0001). Notably, all unrepaired patients who were born in the United States after 2005 had accurate prenatal diagnoses, which allowed clinical planning before the patients were born.ConclusionsPrerepair mortality in CL/P is significantly driven by underlying genetic syndromes or congenital anomalies. For surgeons, this highlights the importance of genetic testing and prenatal care to guide appropriate surgical management. Considering a wait in surgical intervention until patients are approximately 4 months old may allow for better survival assessment and informed decisions for these high-risk individuals.</t>
  </si>
  <si>
    <t>Cleft Palate Craniofac J</t>
  </si>
  <si>
    <t>E3</t>
  </si>
  <si>
    <t>Outra anomalia como objeto; T18 aparece só como achado associado</t>
  </si>
  <si>
    <t>41725333</t>
  </si>
  <si>
    <t>Hansen S</t>
  </si>
  <si>
    <t>Discrepancy in menstrual and ultrasound-based gestational age is associated with chromosomal aberrations and adverse pregnancy outcomes-Results from a nationwide cohort study.</t>
  </si>
  <si>
    <t>INTRODUCTION: In women with a regular cycle, reliable last menstrual period (LMP), and accurate crown-rump length (CRL) estimation, discrepancies in estimated date of delivery (EDD) may indicate impaired fetal growth and increased risk of morbidity. This study examines whether discrepancies between EDD based on LMP (EDDLMP) and CRL (EDDCRL) are associated with chromosomal aberrations, adverse pregnancy outcomes, and obstetric complications. MATERIAL AND METHODS: A Danish nationwide register-based cohort study including all singleton pregnancies with both CRL and LMP registered between 2008 and 2018. Exclusion criteria were uncertain LMP, irregular menstrual cycle, EDD discrepancies &gt;±28 days, assisted reproductive technology, and missing outcome data. The cohort was stratified into seven groups according to EDDLMP-EDDCRL discrepancy. Negative discrepancies indicated smaller-than-expected CRL, positive discrepancies indicated larger-than-expected CRL, and ±3 days served as reference. Outcomes included chromosomal aberrations, major structural malformations, pregnancy loss, termination of pregnancy, fetal growth restriction, preterm birth, and obstetric complications (preeclampsia, preterm pre-labour rupture of membranes, placenta previa, and placental abruption). Prevalence with 95% confidence intervals and adjusted odds ratios (aOR) were calculated. RESULTS: A total of 262 329 pregnancies were included; 16% had smaller and 21% had larger CRL than expected from LMP. Negative discrepancies were significantly associated with increased risk of chromosomal aberrations, adverse pregnancy outcomes, and obstetric complications. In the -8 to -14 days group, 1.28% had a chromosomal abnormality (aOR 2.77 [95% CI 2.30-3.31]), and risk remained elevated among pregnancies at low combined first-trimester screening risk (aOR 1.95 [1.55-2.43]). For triploidy and trisomy 18, 91% and 59% of cases, respectively, had discrepancies of &lt;-3 days. In the -8 to -14 days group, adverse pregnancy outcome occurred in 11.0% (aOR 1.49 [1.40-1.59]), and 6.5% had obstetric complications, mainly preeclampsia (aOR 1.19 [1.10-1.29]). Conversely, positive discrepancies were associated with reduced risk of chromosomal abnormalities (aOR 0.67 [0.44-0.96]) and adverse pregnancy outcomes (aOR 0.77 [0.69-0.86]) in the +8 to +14 days group. CONCLUSIONS: A smaller than expected CRL was strongly associated with chromosomal aberrations, adverse pregnancy outcomes, and obstetric complications. Incorporating EDD discrepancies into risk algorithms for genetic disease, growth restriction, and preeclampsia may improve prediction and warrants further study.</t>
  </si>
  <si>
    <t>41835691</t>
  </si>
  <si>
    <t>Kreiselmaier P</t>
  </si>
  <si>
    <t>Increased Nuchal Translucency in Fetuses With a Crown-Rump Length of &lt; 45 mm: Clinical Outcomes and Diagnostic Implications.</t>
  </si>
  <si>
    <t>BACKGROUND/OBJECTIVES: Nuchal translucency (NT) measurement is an established first-trimester screening tool for chromosomal abnormalities. However, standardized risk assessment models are only validated for fetuses with a crown-rump length (CRL) between 45 and 84 mm. This study investigates the clinical significance of increased NT in fetuses with a CRL between 35 and 45 mm. METHODS: This retrospective study analyzed 208 singleton pregnancies with a CRL &lt; 45 mm and an NT ≥ 2.5 mm, examined at two tertiary prenatal centers between 2008 and 2024. Data on chromosomal findings, structural anomalies, and pregnancy outcomes were collected through follow-up. Statistical analyses included univariate, bivariate, and receiver operating characteristic curve analysis to determine optimal NT cut-off values for predicting adverse outcomes. RESULTS: Chromosomal abnormalities were present in 67/208 cases (32.2%), with trisomy 18 being the most frequent. Malformations were detected in 46.7% of cases with available follow-up. The optimal NT cut-off for predicting an abnormal karyotype was 3.89 mm (sensitivity 79.1%, specificity 55.3%). Among fetuses with NT ≥ 5.5 mm, the rate of adverse outcomes reached 83.7%. Notably, 29.9% of chromosomal abnormalities would not have been detected by cell-free DNA screening for aneuploidy alone. Overall, the presence of increased NT, even below the standard CRL threshold, was associated with a significantly elevated risk of genetic and structural abnormalities as well as adverse pregnancy outcomes. CONCLUSIONS: NT measurement in fetuses with CRL &lt; 45 mm provides clinically relevant prognostic information. Elevated NT in this early gestational window is significantly associated with chromosomal anomalies, structural defects, and poor pregnancy outcomes. Reliance on cell-free DNA screening for aneuploidy alone in this cohort may miss a substantial proportion of abnormal cases. Early NT assessment should prompt comprehensive diagnostic evaluation and genetic counseling, even when the CRL is below 45 mm.</t>
  </si>
  <si>
    <t>Cureus</t>
  </si>
  <si>
    <t>41841538</t>
  </si>
  <si>
    <t>Ünver G</t>
  </si>
  <si>
    <t>Prenatal sonographic features and outcomes of radial ray defects - a 14 case series with a literature review.</t>
  </si>
  <si>
    <t>OBJECTIVE: In this study, we aimed to present the demographic, ultrasonographic, genetic, obstetric, and postpartum results of 14 patients diagnosed with radial ray defects. MATERIALS AND METHODS: Fourteen patients diagnosed with radial ray defects. Non-development or hypoplasia of any preaxial part of the upper extremity on ultrasonography was considered a radial ray defect. Maternal age, gestational week at diagnosis, laterality of the radial ray defect, genetic results, presence of comorbid anomalies, termination status, and postpartum prognosis were obtained. RESULTS: The range of maternal age at the time of diagnosis was 17-38 years and the gestational age ranged between 14-26 weeks. Four of the radial ray defects were bilateral, and ten were unilateral. Trisomy 18 was identified in two cases. Eight cases accepted the termination procedure. Three cases rejected termination and had spontaneous intrauterine death during pregnancy follow-up. One case was diagnosed with VACTERL association and died postpartum on the 13th day. One case was monitored due to Fanconi aplastic anemia and one case had amniotic band syndrome in etiology and lives with a prosthetic arm. CONCLUSION: The frequency of a radial ray defect accompanied by syndromic and congenital anomalies was high, and visualization of the radial bone or other preaxial bone structures on the 1st trimester fetal ultrasonography will ensure the diagnosis of a radial ray defect in early gestational weeks. In the case of a radial ray defect diagnosis, systemic organ screening should be performed with detailed ultrasonography and the necessary invasive procedure for karyotype examination should be advised to all families.</t>
  </si>
  <si>
    <t>Ceska Gynekol</t>
  </si>
  <si>
    <t>42101568</t>
  </si>
  <si>
    <t>Hata T</t>
  </si>
  <si>
    <t>Embryonic reference values for nuchal translucency thickness and ductus venosus blood flow at 8-10 + 6 gestational weeks.</t>
  </si>
  <si>
    <t>PURPOSE: To measure embryonic nuchal translucency (NT) thickness and ductus venosus (DV) blood flow indices using transvaginal two-dimensional sonography and Doppler ultrasound at 8-10 + 6 weeks. METHODS: Transvaginal scans were performed for 149 normal and three abnormal embryos (trisomy 18 with ventricular septal defect (VSD), tricuspid insufficiency (TR), and intrauterine fetal death with trisomy 21) at 8-10 + 6 weeks. NT thickness, S wave (cm/s), D wave (cm/s), "a" wave (cm/s), S/a, pulsatility index (PI), and resistance index (RI) of DV were measured, and reference values for each parameter were determined. RESULTS: NT, S, D, S/a, PI, and RI increased linearly with advancing gestation (p &lt; 0.01). The 'a' (mean, 5.55 cm/s; SD, 1.8 cm/s) value was constant at 8-10 + 6 weeks of gestation. There were significant linear correlations between NT, S, D, S/a, PI, and RI, and crown-rump length (CRL) (p &lt; 0.01). The "a" value remained unchanged with increasing CRL during this period. NT thickness (2.8 mm) in the trisomy 18 patient with VSD was high at 10 + 6 weeks, and reversed "a" wave was evident in the patient with TR at 10 + 1 weeks. In a fetus with intrauterine fetal death with trisomy 21 at 11 weeks and 6 days, NT thickness was 2.1 mm, and reversed DV flow was noted at 9 weeks and 6 days. CONCLUSION: Our results provide reference values for NT thickness and DV flow parameters, which may advance our understanding of embryonic growth and promote earlier prenatal diagnosis of chromosome abnormalities and/or cardiac anomalies before 11 weeks.</t>
  </si>
  <si>
    <t>J Med Ultrason (2001)</t>
  </si>
  <si>
    <t>42143260</t>
  </si>
  <si>
    <t>Shirazinejad S</t>
  </si>
  <si>
    <t>Natural history and prognostic significance of fetal choroid plexus cysts: a systematic review.</t>
  </si>
  <si>
    <t>OBJECTIVES: Fetal choroid plexus cysts (CPCs) are common incidental findings during mid-trimester ultrasound. Although typically benign, their detection often causes parental concern because of potential associations with chromosomal abnormalities, particularly trisomy 18. This systematic review summarizes current evidence on the natural history, associated anomalies, and prognostic implications of CPCs to guide prenatal counseling. METHODS: We systematically searched PubMed, Scopus, Web of Science, Embase, and the Cochrane Library for original studies published between 2010 and 2025. Eligible studies included fetuses with CPCs diagnosed by ultrasound and reported data on anomalies, genetic testing, or pregnancy outcomes. Case reports and reviews were excluded. Two reviewers independently screened and extracted data. Study quality was assessed using the Newcastle-Ottawa Scale and Joanna Briggs Institute checklists. Findings were synthesized qualitatively due to heterogeneity. RESULTS: Ten studies met inclusion criteria, comprising over 10,600 screened fetuses, with several hundred CPC cases. Prevalence ranged from 0.5% to 2.5%, most detected between 16 and 22 weeks. Isolated CPCs, particularly in pregnancies with normal biochemical screening or negative non-invasive prenatal testing (NIPT), were not significantly associated with chromosomal abnormalities. By contrast, CPCs with additional sonographic findings showed a markedly increased risk of trisomy 18 and clinically significant copy number variations. Most isolated CPCs resolved spontaneously and were followed by favorable neonatal outcomes. CONCLUSIONS: Isolated CPCs in the context of low-risk screening should be regarded as benign variants with excellent prognosis, and invasive testing is unnecessary. Conversely, CPCs with additional risk factors require further evaluation, including chromosomal microarray, supporting a risk-adapted approach.</t>
  </si>
  <si>
    <t>Journal Article; Systematic Review</t>
  </si>
  <si>
    <t>42181563</t>
  </si>
  <si>
    <t>Zhuang J</t>
  </si>
  <si>
    <t>Genetic evaluation and pregnancy outcome of fetuses with digestive system malformations: an eight-year single-center retrospective study.</t>
  </si>
  <si>
    <t>BACKGROUND: Limited reports have investigated the genetic etiology of fetuses with digestive system malformations (DSMs). Our initial aim was to describe supplement data of fetal DSMs and further elucidate the genotype-phenotype correlations in fetuses with DSMs. METHODS: A total of 7,497 pregnancies with various high-risk factors undergoing prenatal diagnosis were enrolled at Quanzhou Women's and Children's Hospital from 2017 to 2024. Among these, 76 fetuses diagnosed with DSMs via prenatal ultrasound were collected for further analysis. All subjects underwent amniocentesis, followed by karyotype analysis and chromosomal microarray analysis (CMA). RESULTS: Karyotype analysis identified 3 cases of trisomy-21, 1 case of trisomy-18, and 1 case of balanced translocation t(10;11), reaching a chromosomal aberration detection rate of 6.58% (5/76). The chromosomal aneuploies detected by karyotype were confirmed by CMA. Additionally, CMA identified 6 cases of likely pathogenic/pathogenic CNVs (pCNVs/lpCNVs) that were missed by karyotype analysis, including 17q12 microdeletion/microduplication, 16p11.2 microduplication, 22q11.21q11.22 microdeletion, 2q13 microdeletion, and 16p13.11 microduplication, yielding an incremental diagnostic rate of 7.89% (6/76) for CMA over karyotype analysis (P = 0.031). CONCLUSION: Several pCNVs/lpCNVs that associate with DSMs were identified. Our findings may strengthen the association between 16p11.2 microduplication syndrome and DSMs, and the correlation between 16p13.11 microduplication syndrome and intestinal malrotation.</t>
  </si>
  <si>
    <t>Front Pediatr</t>
  </si>
  <si>
    <t>42443849</t>
  </si>
  <si>
    <t>Wei X</t>
  </si>
  <si>
    <t>Clinical characteristics and genetic analysis of different Dandy-Walker malformation.</t>
  </si>
  <si>
    <t>BACKGROUND: Dandy-Walker malformation (DWM) is a rare congenital malformation of the central nervous system (CNS). It is characterized by variable hypoplasia of the cerebellar vermis, cystic dilatation of the fourth ventricle, with or without an enlarged cisterna magna. Given that large-sample genetic analysis of DWM has not been conducted to date, this study aims to provide more comprehensive genetic counseling for prenatal diagnosis by summarizing the clinical features and genetic findings of DWM. METHODS: Between January 2010 and May 2025, among 22,048 pregnant women, there were 487 cases of fetal DWM that underwent prenatal diagnosis. Karyotyping, copy number variation sequencing (CNV-seq), single-nucleotide polymorphism array (SNP-array) or whole-exome sequencing (WES) were employed for prenatal genetic diagnosis. The results of ultrasonography, genetic analyses, and prognoses were tabulated. RESULTS: Among the 487 cases, 35 (7.19%) were diagnosed with classic Dandy-Walker malformation (cDWM), 59 (12.11%) with vermian hypoplasia (VH), and 393 (80.70%) with mega cisterna magna (MCM) according to ultrasonography. A total of 245 cases (50.31%) presented with additional ultrasound abnormalities; central nervous system (CNS) abnormalities were the most prevalent (21.36%), among which ventriculomegaly constituted the primary finding. Prenatal genetic abnormalities were detected in 50 cases (10.27%). Karyotyping identified chromosomal abnormalities in 42 cases (8.62%), including numerical abnormalities, structural abnormalities, and chromosomal mosaicism, with trisomy-18 (2.26%) being the most commonly detected. There were 8 cases with normal karyotypes, but among them, 6 cases were detected with chromosomal abnormalities by CNV-seq/SNP-array, and 2 cases were detected with gene mutations by WES. Advanced maternal age was associated with an increased risk of chromosomal abnormalities, a proportion of which may present with DWM. Among the 453 cases that underwent follow-up, the cDWM and VH groups exhibited a significantly higher incidence of pregnancy terminations compared to the MCM group. Subsequent follow-up of cases with continued pregnancies revealed 1 case of neonatal death in the VH group and 5 cases in the MCM group. Additionally, there was 1 case of abnormal postnatal development in the cDWM group and 3 cases in the MCM group. CONCLUSIONS: Pregnant women carrying DWM fetuses should undergo prenatal diagnosis including karyotyping, CNV-seq/SNP-array and WES if necessary, especially for fetuses with cDWM or VH, as the fetuses with cDWM or VH showed higher rates of genetic abnormalities. The pregnancy outcomes of most fetuses with MCM are favorable, while fetuses with cDWM or VH are prone to adverse gestational outcomes.</t>
  </si>
  <si>
    <t>42566411</t>
  </si>
  <si>
    <t>Cao L</t>
  </si>
  <si>
    <t>Molecular genetic and pregnancy outcomes of fetuses with increased Nuchal Translucency.</t>
  </si>
  <si>
    <t>OBJECTIVE: Increased nuchal translucency (NT; ≥ 2.5 mm) is closely associated with various chromosomal abnormalities, structural abnormalities, and genetic diseases. However, research on pathogenic copy number variations (CNVs) affecting pregnancy outcomes in fetuses with increased NT remains limited. This study aimed to summarize the clinical features, chromosomal abnormalities and obstetric outcomes of increased NT to provide a clinical reference for prenatal diagnosis. METHODS: A retrospective analysis was conducted on 180 pregnant women with increased NT who underwent invasive prenatal testing via conventional karyotyping and single nucleotide polymorphism (SNP) array analysis between January 2021 and December 2025. These cases were selected from a cohort of 1,678 pregnant women. RESULTS: Chromosomal karyotyping revealed a total of 24 chromosomal abnormalities. Chromosomal polymorphisms were also observed in four cases, including two cases with pericentric inversion of chromosome 9 [inv(9)(p12q13)], one case with 1qh+, and one case with 21pss (double satellites on the short arm of chromosome 21). In addition, SNP-array analysis detected CNVs in 13 fetuses with normal karyotypes. Among the 24 fetuses harboring pathogenic variants, 21 (87.5%) exhibited aneuploidy. These aneuploid cases included 16 fetuses with trisomy 21 syndrome and 5 fetuses with either trisomy 18 syndrome or Klinefelter syndrome, with trisomy 21 accounting for 76.2% (16/21) of the aneuploid cohort. Among the CNVs detected by SNP-array, one was classified as pathogenic, one as likely pathogenic, and the remaining as variants of uncertain significance (VUS). Postnatal follow-up of 10 infants with VUS revealed growth and speech developmental delays in two cases, while no obvious abnormalities were observed in the remaining eight. CONCLUSIONS: Aneuploidy was found to be the predominant type of abnormality in fetuses with increased NT. This study suggests that high-resolution SNP-array exhibit greater sensitivity in detecting chromosomal microstructural abnormalities and can serve as an effective complement to conventional karyotyping.</t>
  </si>
  <si>
    <t>39603640</t>
  </si>
  <si>
    <t>Tetsuo A</t>
  </si>
  <si>
    <t>Umbilical Cord Cysts from the Second Trimester of Pregnancy: Clinical Insights from 12 Cases of a 22-year Study in a Single Tertiary Center.</t>
  </si>
  <si>
    <t>This study aimed to explore the clinical characteristics of umbilical cord cysts (UCCs) detected from the second trimester onwards in a single tertiary center over a 22-year period. The subjects consisted of a total of 12 cases of UCCs among 11 pregnant women (10 singleton pregnancies and 1 twin pregnancy), diagnosed at ≥ 14 weeks of gestation, and managed at Kurume University Hospital from 2000 to 2021. The maternal backgrounds, characteristics of the cysts, including their location, numbers, sizes, associated fetal/neonatal findings, and outcomes, were analyzed retrospectively. The median maternal age was 28 years, with diagnosis at 18.5 gestational weeks. Cysts were found near the umbilical ring (8 cases), in a free loop (3 cases), and in both of these locations (1 case). Single cysts appeared in 8 cases, and multiple cysts in 4 cases, with the median diameter being 25.0 mm. Sizes varied by gestation, being larger near the umbilical ring without correlation to cyst number. Among the 9 cases with cysts located near the umbilical ring, 5 cases had fetal abnormalities, including trisomy 18 (2 cases), Beckwith-Wiedeman syndrome (1), and intrauterine fetal death (1). Urachal remnants were found in 4 cases and omphalomesenteric duct remnants in 1 case after birth. When UCC is observed, particularly a cyst located near the umbilical ring, comprehensive fetal ultrasound screening is necessary, and attention should be paid to fetal anomalies that may coexist. In cases where these are not identified prenatally, the presence of conditions such as urachal remnants needs to be considered.</t>
  </si>
  <si>
    <t>Kurume Med J</t>
  </si>
  <si>
    <t>39947583</t>
  </si>
  <si>
    <t>Stoll C</t>
  </si>
  <si>
    <t>Co-occurring non-urinary congenital anomalies among cases with congenital anomalies of the kidney and urinary tract.</t>
  </si>
  <si>
    <t>Cases with congenital anomalies of kidney and urinary tract (CAKUT) often have other associated anomalies. The purpose of this investigation was to assess the prevalence and the types of associated anomalies in CAKUT in a well-characterized population from northeastern France. The associated anomalies in CAKUT were collected in all live births, stillbirths and terminations of pregnancy during 29 years in 387,067 consecutive births of known outcome in the area covered by our population-based registry of congenital anomalies. Of the 1946 cases with CAKUT born during this period (prevalence at birth of 50.3 per 10,000), 653 (33.6%) had associated anomalies. There were 138 (7.1%) patients with chromosomal abnormalities including 39 trisomy 18 (2%), and 195 (10%) syndromic conditions including VA(C)TER(L) association (3.3%), Meckel-Gruber syndrome (2.1%), and prune belly syndrome (1.4%). Three hundred twenty (16.4%) of the cases had multiple congenital anomalies (MCA). Anomalies in the musculoskeletal, the digestive, the cardiovascular and the central nervous systems were the most common other non urinary anomalies. Prenatal diagnosis was obtained in 71.5% of the cases with CAKUT. In conclusion the overall prevalence of associated anomalies, which was one out of three cases, emphasizes the need for a thorough investigation of cases with CAKUT. A routine screening for other non urinary anomalies may be considered in cases with CAKUT. One should be aware that the non urinary anomalies associated with CAKUT can be classified into a recognizable anomaly syndrome or pattern in one out of six cases with CAKUT.</t>
  </si>
  <si>
    <t>Eur J Med Genet</t>
  </si>
  <si>
    <t>40283396</t>
  </si>
  <si>
    <t>Nastasia Ș</t>
  </si>
  <si>
    <t>Clinical Significance and Prognosis of Prenatal Diagnosis of Large Umbilical Cord Cysts-A Review Triggered by a Clinical Case.</t>
  </si>
  <si>
    <t>Background/Objectives: Prevalence of umbilical cord cysts is largely unknown, mainly due to small dimensions and to the fact that only placental and fetal insertion of the umbilical cord are usually assessed. Older studies report a total prevalence of about 3%, regardless of the size. To date, no correlation between the gestational age, the size of the cyst at the moment of diagnosis and pregnancy prognosis can be made. Methods: We managed a case of a large umbilical cyst diagnosed in the first trimester. As our experience with this pathology was limited, we performed a systematic review in order to find out the optimal management. Results: We report a case of a large umbilical cord cyst that ended in fetal demise at 13 weeks in the absence of any chromosomal and structural anomalies. Our results differ from what was expected from our literature review. Sixteen papers were included in our analysis. According to the selected papers, single cysts are more frequent than multiple cysts (79% single cysts). The mean value of the maximum diameter of the cyst was 32 mm, and there was no difference in number considering the localization of the cyst. Considering the cases in which genetic testing was performed, there were 22.76% modified results. The most frequent genetic disorder was trisomy 18 (53.57% from the modified results). Conclusions: Large umbilical cord cysts are correlated with uncertain prognosis. We made the conclusion that large umbilical cord cystic lesions might have an unfavorable prognosis. Although there are case series that have shown an unproblematic evolution of the pregnancy, large umbilical cysts could be associated with increased risk of fetal anomalies and intrauterine fetal death.</t>
  </si>
  <si>
    <t>J Clin Med</t>
  </si>
  <si>
    <t>40389136</t>
  </si>
  <si>
    <t>Wang MJ</t>
  </si>
  <si>
    <t>Perinatal outcomes of cystic hygroma: a systematic review and meta-analysis.</t>
  </si>
  <si>
    <t>OBJECTIVES: The aim of this systematic review and meta-analysis was to describe the perinatal outcomes and modifiers of antenatally diagnosed cystic hygroma (CH). DATA SOURCES: The PubMed, Embase and Web of Science Core Collection databases were searched from inception until March 18, 2024. STUDY ELIGIBILITY CRITERIA: Full-text English-language observational cohort studies reporting any pregnancy and postnatal outcomes for fetuses with a CH diagnosed on prenatal ultrasound were included in this study. METHODS: The primary outcome was the incidence of genetic diagnosis and incidence of major structural anomalies. Secondary outcomes included the incidence of perinatal loss, termination of pregnancy, CH resolution, live birth rate and normal postnatal outcomes. Stratified analyses were conducted of cases diagnosed in the first trimester as well as all cases with septations as part of diagnostic criteria. Pooled proportions were calculated for the different outcomes. RESULTS: Fifty-seven studies met inclusion criteria (including 4693 cases of CH); these were cohort studies that included any of our primary search outcomes. The pooled prevalence of genetic diagnosis (56 studies, 3837 fetuses) was 55% (95% CI, 0.51-0.58). For specific aneuploidies, the pooled prevalence was 21% for Turner syndrome, 17% for Trisomy 21, 10% for Trisomy 18, 3% for Trisomy 13, and 5% for other genetic diagnoses. The overall pooled prevalence of major structural anomalies (30 studies, 1987 fetuses) was 42%; across 16 studies (1815 fetuses), 16% of fetuses with CH and an additional structural abnormality had no identified genetic diagnosis. Furthermore, 20% of all CH regressed or resolved during the pregnancy. The findings from the studies that that defined CH by the presence of septations, as well as those focusing solely on first trimester CH were consistent with the overall outcomes. CONCLUSIONS: Our findings confirm that while CHs have a strong association with common trisomies and Turner syndrome, there is a proportion of cases with nonaneuploidy genetic diagnoses. Forty percent of cases are also associated with other structural anomalies that may be able to be elicited with a detailed first trimester anatomic ultrasound. Further studies should explore modifiers of CH outcomes to allow for more accurate and tailored patient counseling.</t>
  </si>
  <si>
    <t>Am J Obstet Gynecol MFM</t>
  </si>
  <si>
    <t>40610927</t>
  </si>
  <si>
    <t>Koçar M</t>
  </si>
  <si>
    <t>Investigation of 10-year one-center single umbilical artery cases and their effects on perinatal outcomes.</t>
  </si>
  <si>
    <t>OBJECTIVES: This study aimed to evaluate the perinatal outcomes of isolated single umbilical artery (iSUA) and incidence of fetuses diagnosed with Single Umbilical Artery (SUA) in the second trimester. MATERIALS AND METHODS: We retrospectively analyzed the data of 40,800 pregnant women who had undergone detailed ultrasonography between September 2011 and September 2021 in the perinatology clinic of tertiary university hospital. Those diagnosed with SUA accompanied by structural and genetic anomalies and maternal diseases among the 402 cases and multiple pregnancies were excluded from the study. The remaining 307 iSUA cases were compared with 650 randomly selected cases Double Umbilical Artery (DUA) by need for cesarean section due to fetal distress or suspicious Non-Stress Test (NST), delivery frequency before 37 and 34 weeks, birth weight, fetal gender, oligohydramnios, small for gestational age (SGA; &lt;10% percentile birth weight)), intrauterine fetal death (IUFD), Apgar scores, and admission to a neonatal intensive care unit (NICU) for antenatal and perinatal outcomes. RESULTS: A total of 402 (0.9%) cases were diagnosed with SUA. Thirty-nine (9.7%) cases had structural anomalies, and 13 (3.2%) had genetic anomalies. While the most frequently detected chromosomal disorder was trisomy 18, central nervous system (CNS) and cardiovascular system (CVS) anomalies were the most prevalent accompanying structural anomalies. Comparing 307 cases with iSUA with 650 cases with DUA, we detected that the group with iSUA yielded significantly lower Apgar scores at 1 st and 5th minutes, lower birth weight, SGA prevalence, higher cesarean section need due to fetal distress and unreliable non-stress test, higher IUFD, and higher preterm birth. CONCLUSION: Overall, we believe that the patients need to be recruited for a detailed ultrasonographic examination, as well as CNS and CVS examinations, following the diagnosis of SUA and that interventional diagnostic tests need to be applied to those with structural anomalies. Although genetic diagnostic tests are not required among iSUA cases, we found that cases with iSUA had higher IUFD in the second trimester, premature birth, low birth weight, and need for cesarean section.</t>
  </si>
  <si>
    <t>40652784</t>
  </si>
  <si>
    <t>Bianchi B</t>
  </si>
  <si>
    <t>Pregnancy outcomes in patients with increased nuchal translucency using non-invasive prenatal testing and first trimester ultrasound.</t>
  </si>
  <si>
    <t>BACKGROUND: Increased nuchal translucency (NT) during first-trimester ultrasound (US1) is linked to genetic and congenital abnormalities. However, its relevance in the era of non-invasive prenatal testing (NIPT) remains debated, and data on pregnancy outcomes in cases of increased NT with normal NIPT results are limited. The purpose of this study was to investigate the correlation between NT thickness and perinatal outcomes considering the results of NIPT and the findings of US1. METHODS: A retrospective cohort study was conducted on fetuses with NT ≥ 2.5 mm detected during US1 from August 2017 to December 2023 at a Belgian referral center. Patients were categorized into four NT groups: 2.5-2.9 mm, 3-3.4 mm, 3.5-3.9 mm, and ≥4 mm. Data on NIPT, invasive genetic testing, ultrasound findings, and pregnancy outcomes were analyzed. RESULTS: Among 490 patients, 432 (88.1 %) underwent NIPT, with 372 (86.1 %) receiving low-risk results. High-risk NIPT findings for trisomy 21 and 18 increased with NT (p &lt; 0.001). Favorable perinatal outcomes decreased as NT increased, with 89.9 % healthy newborns when NT was &lt;3.5 mm. In cases with ultrasound abnormalities, the probability of a healthy newborn declined from 96 % to 71 % (NT 2.5-3.4 mm). Trisomy 18, 13, and 21 were present in 2 % of cases with NT 2.5-3.4 mm and normal ultrasound findings. CONCLUSION: A strongly significant relationship exists between NT measurements, and the results of NIPT/pregnancy outcomes. NIPT and ultrasound help guide counseling and management of cases with increased NT, notably between 2.5- and 3.4-mm. IMPLICATION: The combination of first trimester ultrasound findings and the result of non-invasive prenatal testing is a valuable tool to counsel patients with increased nuchal translucency, notably between 2.5 and 3.4 mm.</t>
  </si>
  <si>
    <t>40762718</t>
  </si>
  <si>
    <t>Prenatal genetic findings using karyotyping and chromosomal microarray analysis in the first-occurrence typical orofacial clefts.</t>
  </si>
  <si>
    <t>BACKGROUND: Orofacial clefts (OFCs), including cleft lip (CL), cleft palate (CP), and cleft lip and palate (CLP), are among the most common congenital anomalies. Prenatal genetic evaluation plays a critical role in guiding pregnancy management. This study aimed to evaluate genetic findings and pregnancy outcomes in first-occurrence fetal OFCs using conventional karyotyping and SNP array analysis. METHODS: We retrospectively reviewed 205 pregnancies diagnosed with first-occurrence OFCs between December 2010 and December 2024. Cases were categorized as non-syndromic or syndromic OFCs based on the presence of additional malformations. All cases underwent conventional karyotyping; 138 also underwent SNP array analysis. Pregnancy outcomes were obtained through medical records and follow-up. RESULTS: Of the 205 cases, 74.6% were classified as non-syndromic OFCs and 25.4% were syndromic OFCs. Chromosomal abnormalities were detected in 11.7% of all OFCs, all occurring within the syndromic group, representing 46.2% of syndromic cases. The most frequent abnormalities were trisomy 13 and trisomy 18. SNP array analysis detected additional four clinically significant CNVs, improving diagnostic yield, particularly in syndromic OFCs. The termination rate was significantly higher in syndromic OFCs (90.2%) compared to non-syndromic cases (25.5%). Follow-up data on subsequent pregnancies were obtained for 45 cases, and no recurrent OFCs were observed. CONCLUSION: Most cases of first-occurrence OFCs are isolated and carry a low risk of chromosomal abnormalities. Genetic evaluation is particularly valuable in syndromic OFCs, where the likelihood of clinically significant chromosomal abnormalities is higher. The combined use of karyotyping and SNP array analysis enhances diagnostic accuracy and provides important guidance for pregnancy management.</t>
  </si>
  <si>
    <t>Mol Biol Rep</t>
  </si>
  <si>
    <t>41020230</t>
  </si>
  <si>
    <t>Wang H</t>
  </si>
  <si>
    <t>Two-dimensional and three-dimensional ultrasonographic diagnosis of congenital auricular anomalies.</t>
  </si>
  <si>
    <t>OBJECTIVE: To evaluate the role of prenatal ultrasound and three-dimensional ultrasound in the diagnosis of fetal congenital auricular malformations. METHODS: The ultrasonographic features of 14 fetuses diagnosed with auricular malformations at Peking Union Medical College Hospital between May 2019 and May 2024 were retrospectively reviewed, and pregnancy outcomes were followed up. RESULTS: The median gestational age at which congenital auricle deformities were detected by ultrasound was 24 weeks 5 days. Of the 14 cases, 5 had bilateral deformities, 5 had right-sided deformities, and 4 had left-sided deformities. The auricular abnormalities detected included microtia, low set ears, accessory auricles, abnormal ear helix and question mark ear, all of which were confirmed by postnatal follow-up or pathological examination after termination. Ten fetuses underwent three-dimensional ultrasound, which provided additional diagnostic details. Eight fetuses presented with other systemic deformities: three had facial deformities such as micrognathia, nasal bone absence, and facial cleft, while five had additional structure anomalies including diaphragmatic hernia, cardiac anomalies, and polydactyly. Genetic testing was performed in nine cases: one fetus had complete trisomy 18, one had Xp22.31 duplication, and seven had normal results. Six pregnancies were electively terminated, while eight fetuses were carried to term. Among the newborns, four had no significant hearing impairment, four others (three with microtia and one with a question mark ear) had hearing loss and required further reconstructive treatment. CONCLUSION: Congenital auricular deformities exhibit characteristic ultrasound features, and in most cases, prenatal diagnosis and evaluation can be achieved through ultrasound. This provides valuable information to support clinical decision-making and prenatal counseling.</t>
  </si>
  <si>
    <t>Front Med (Lausanne)</t>
  </si>
  <si>
    <t>41133498</t>
  </si>
  <si>
    <t>Butureanu TA</t>
  </si>
  <si>
    <t>The Pathophysiology of Wharton's Jelly and Its Impact on Fetal and Neonatal Outcomes: A Comprehensive Literature Review.</t>
  </si>
  <si>
    <t>Wharton's jelly (WJ), the mucoid connective tissue of the umbilical cord, provides essential protection to the umbilical vessels against mechanical stress. While research into WJ-derived stem cells for regenerative medicine has surged, the clinical significance of its in utero pathologies remains less explored. This review synthesizes the current literature on the pathophysiology of WJ abnormalities and their direct impact on fetal and neonatal outcomes. Pathologies are broadly categorized as quantitative (absence/reduction or excess/edema) and structural (pseudocysts, mucoid degeneration). A reduction or segmental absence of WJ critically compromises cord integrity, leading to vascular compression and is a direct cause of stillbirth, fetal growth restriction (FGR), and intrapartum distress. Conversely, excessive WJ or edema is associated with maternal diabetes and fetal hydrops and can also impair hemodynamics. Umbilical cord pseudocysts, arising from focal WJ degeneration, are significant markers for severe chromosomal abnormalities, particularly Trisomy 18 and 13, and other structural defects, especially when persistent or multiple. Sonographic measurement of WJ area shows promise as a surrogate for placental function, with decreased area correlating with placental pathology and FGR. However, significant diagnostic challenges persist, particularly the prenatal detection of segmental WJ absence, a "silent" pathology often discovered only after a catastrophic event. This review highlights the critical role of WJ integrity in determining perinatal outcomes and underscores the urgent need for improved diagnostic modalities and standardized management protocols to mitigate associated risks.</t>
  </si>
  <si>
    <t>Med Sci (Basel)</t>
  </si>
  <si>
    <t>41496816</t>
  </si>
  <si>
    <t>Ali K</t>
  </si>
  <si>
    <t>Esophageal atresia with and without tracheoesophageal fistula: a 2016-2024 single-center cohort study in Saudi Arabia stratified by gap length.</t>
  </si>
  <si>
    <t>OBJECTIVE: To describe phenotype, perioperative events, and early morbidity among infants with esophageal atresia with or without tracheoesophageal fistula (EA/TEF), and to evaluate how gap length relates to postoperative and follow-up outcomes. METHODS: A retrospective single-center cohort study was conducted in a tertiary neonatal and pediatric surgery service, Riyadh, Saudi Arabia. All infants with EA/TEF managed between January 1, 2016 and December 31, 2024. Clinical data include early clinical anastomotic leak (≤14 days), recurrent fistula, anastomotic stricture and time-to-event outcomes including hospital length of stay, time to full oral feeding, duration of postoperative ventilation and duration of parenteral nutrition. Follow-up outcomes included respiratory morbidity and feeding support requirements. RESULTS: Sixty-seven infants were included; gross type C was most frequent (73.1%). Gap length was assessable in 63 non-H-type cases, with 31.7% classified as long-gap EA. Survival to discharge was 86% after excluding three trisomy 18 infants managed palliatively. Primary repair was achieved in 67.2% overall but in only 10% of long-gap infants, among whom staged repair or gastric pull-up predominated. Early anastomotic leak occurred in 26.9%, recurrent fistula in 14.9% and anastomotic stricture in 32.8%. In multivariable logistic regression, long-gap EA was the only independent predictor of stricture (adjusted odds ratio (OR) 4.44; 95% confidence interval (CI) 1.27 to 15.55; p=0.020). Recovery was substantially longer for long-gap infants: median hospital stay 186 vs. 53 days (p&lt;0.001) and time to full oral feeding 209 vs. 29 days (p&lt;0.001). At follow-up (n=55), 34.5% required gastrostomy, 20% had feeding aversion, 36.4% experienced recurrent respiratory infections, and 10.9% had tracheomalacia. CONCLUSIONS: Gap length was the principal determinant of anastomotic stricture and prolonged recovery after EA/TEF repair. These data provide a baseline for ongoing quality improvement and support early referral of long-gap cases to specialized multidisciplinary centers with structured follow-up programs.</t>
  </si>
  <si>
    <t>World J Pediatr Surg</t>
  </si>
  <si>
    <t>37326856</t>
  </si>
  <si>
    <t>Vibert F</t>
  </si>
  <si>
    <t>Accuracy of prenatal detection of facial clefts and relation between facial clefts, additional malformations and chromosomal abnormalities: a large referral-center cohort.</t>
  </si>
  <si>
    <t>PURPOSE: Facial clefts belong to the most common congenital malformations and their prenatal diagnosis is a constant challenge. The aim of this study was to determine the accuracy of prenatal ultrasound in correctly classifying facial clefts. Furthermore, we aimed to specify the distribution of the type of clefts and underlying genetic conditions. METHODS: All fetuses seen with suspected facial cleft in the Department of Obstetrics, Charité - Universitätsmedizin Berlin during a period of 23 years (1999-2022) were included in this retrospective study. Clefts were classified according to the classification of Nyberg. All additional prenatal findings were assessed and correlated with the outcome. The accuracy of prenatal diagnosis was assessed. RESULTS: 292 patients were included in the study. The most common type of clefts were unilateral cleft lip and palate (CL-P) (53.6%) and bilateral CL-P (30.6%), followed by CL (8.1%), CP (5.1%) and median CL-P (2.6%). The overall pre- and postnatal concordance rate corresponding to a correct prenatal diagnosis was high, 88.9%, ranging from 73.7% (CL) to 93.7% (unilateral CL-P). Most of the median clefts (95.2%) and CP (93.3%) were associated with other sonographic abnormalities, as well as 52.2% of bilateral CL-P. Chromosomal abnormalities, mostly trisomy 13 and trisomy 18, were observed in in the median CL-P (47.6%), bilateral CL-P (31.1%) and CP (26.7%) groups, in contrast to the CL (9.1%) and unilateral CL-P (12.9%) groups. It was exceptional to have a chromosomal abnormality without additional malformations (4.8%). The mortality rate including one late miscarriage, 5 IUFD's, 74 TOPs and 6 palliative cares at birth was 29.8%, particularly high for median clefts (90.5%). CONCLUSION: Prenatal ultrasound exhibited a high accuracy to assess the type of facial clefts with an average rate of 88.9% (73.7%-93.7%) and a concordance rate of up to 93.7%, depending on the type of cleft. The search for additional malformations as well as clarifying underlying genetic conditions is essential. This allows for a targeted counseling of the parents and to best prepare for postnatal care, including surgery by the maxillofacial team.</t>
  </si>
  <si>
    <t>37487855</t>
  </si>
  <si>
    <t>Janssen MK</t>
  </si>
  <si>
    <t>Clinical implications of crown-rump length discordance at 11 to 14 weeks in dichorionic twins.</t>
  </si>
  <si>
    <t>BACKGROUND: Crown-rump length discordance, defined as ≥10% discordance, has been investigated as an early sonographic marker of subsequent growth abnormalities and is associated with an increased risk of fetal loss in twin pregnancies. Previous studies have not investigated the prevalence of fetal aneuploidy or structural anomalies in twins with discordance or the independent association of crown-rump length discordance with adverse perinatal outcomes. Moreover, data are limited on cell-free DNA screening for aneuploidy in dichorionic twins with discordance. OBJECTIVE: This study aimed to evaluate whether crown-rump length discordance in dichorionic twins between 11 and 14 weeks of gestation is associated with a higher risk of aneuploidy, structural anomalies, or adverse perinatal outcomes and to assess the performance of cell-free DNA screening in dichorionic twin pregnancies with crown-rump length discordance. STUDY DESIGN: This was a secondary analysis of a multicenter retrospective cohort study that evaluated the performance of cell-free DNA screening for the common trisomies in twin pregnancies from December 2011 to February 2020. For this secondary analysis, we included live dichorionic pregnancies with crown-rump length measurements between 11 and 14 weeks of gestation. First, we compared twin pregnancies with discordant crown-rump lengths with twin pregnancies with concordant crown-rump lengths and analyzed the prevalence of aneuploidy and fetal structural anomalies in either twin. Second, we compared the prevalence of a composite adverse perinatal outcome, which included preterm birth at &lt;34 weeks of gestation, hypertensive disorders of pregnancy, stillbirth or miscarriage, small-for-gestational-age birthweight, and birthweight discordance. Moreover, we assessed the performance of cell-free DNA screening in pregnancies with and without crown-rump length discordance. Outcomes were compared with multivariable regression to adjust for confounders. RESULTS: Of 987 dichorionic twins, 142 (14%) had crown-rump length discordance. The prevalence of aneuploidy was higher in twins with crown-rump length discordance than in twins with concordance (9.9% vs 3.9%, respectively; adjusted relative risk, 2.7; 95% confidence interval, 1.4-4.9). Similarly, structural anomalies (adjusted relative risk, 2.5; 95% confidence interval, 1.4-4.4]) and composite adverse perinatal outcomes (adjusted relative risk, 1.2; 95% confidence interval, 1.04-1.3) were significantly higher in twins with discordance. A stratified analysis demonstrated that even without other ultrasound markers, there were increased risks of aneuploidy (adjusted relative risk, 3.5; 95% confidence interval, 1.5-8.4) and structural anomalies (adjusted relative risk, 2.7; 95% confidence interval, 1.5-4.8) in twins with CRL discordance. Cell-free DNA screening had high negative predictive values for trisomy 21, trisomy 18, and trisomy 13, regardless of crown-rump length discordance, with 1 false-negative for trisomy 21 in a twin pregnancy with discordance. CONCLUSION: Crown-rump length discordance in dichorionic twins is associated with an increased risk of aneuploidy, structural anomalies, and adverse perinatal outcomes, even without other sonographic abnormalities. Cell-free DNA screening demonstrated high sensitivity and negative predictive values irrespective of crown-rump length discordance; however, 1 false-negative result illustrated that there is a role for diagnostic testing. These data may prove useful in identifying twin pregnancies that may benefit from increased screening and surveillance and are not ascertained by other early sonographic markers.</t>
  </si>
  <si>
    <t>Multicenter Study; Journal Article; Research Support, Non-U.S. Gov't</t>
  </si>
  <si>
    <t>38570366</t>
  </si>
  <si>
    <t>Ayhan I</t>
  </si>
  <si>
    <t>Revisiting Atrioventricular Septal Defects: Exploring Chromosomal Abnormalities, Cardiac and Extracardiac Anomalies in a Contemporary Prenatal Cohort.</t>
  </si>
  <si>
    <t>To estimate if there is an association between partial AVSD with chromosomal abnormalities, cardiac and extracardiac malformations, and to report the outcomes of prenatally diagnosed AVSD in a large, contemporary cohort. This is a retrospective cohort study of 190 prenatally diagnosed fetal AVSD between 2014 and 2023. Type of AVSD (complete vs partial), additional cardiac findings, extracardiac findings, presence of a heterotaxy, results of prenatal karyotype, and pregnancy outcomes were documented and analyzed. A total of 190 cases of fetal AVSD were analyzed. Complete AVSDs comprised 141 (74.2%) of the cohort, while partial AVSDs comprised 49 (25.7%). Karyotype was completed in 131 cases, and in 98 (74.8%) cases chromosomal abnormalities were identified, with trisomy 21 being the most common (53/131, 40.5%). Complete AVSDs were associated with trisomy 21 (45.5%, p = 0.04), Isolated cases of complete AVSDs (p = 0.03). Partial AVSDs were associated with trisomy 18 (53.1%, p &lt; 0.001). In cases of partial AVSDs with aneuploidies, 7 (70%) had an ostium primum defect and 20 (90.9%) of AV canal type VSD. Isolated partial AVSD had no clear association with aneuploidies. There were additional cardiac anomalies in 96 (50.5%) and extracardiac anomalies in 134 (70.5%) of the cohort. There were no differences between partial and complete AVSD in rate of additional cardiac and extracardiac anomalies. AVSD was part of a heterotaxy in 47 (24.7%) of cases, and heterotaxy was associated with complete AVSD in the majority of cases (43/47, 91.4%, p = 0.003). Fetal partial AVSDs are associated with trisomy 18. Fetal complete AVSDs, even isolated, are associated with trisomy 21. There were no differences in association of other aneuploidies, additional cardiac findings, or extracardiac anomalies between prenatally diagnosed complete AVSDs and partial AVSDs.</t>
  </si>
  <si>
    <t>38632851</t>
  </si>
  <si>
    <t>Gergely L</t>
  </si>
  <si>
    <t>Post-mortem rapid aneuploidy testing for holoprosencephaly.</t>
  </si>
  <si>
    <t>BACKGROUND: Abortion and fetal death are common in fetuses with holoprosencephaly, so genetic examinations often have to be made in a post-mortem setting. The efficiency of the conventional karyotyping using cultured fibroblasts in these situations is limited due to frequent culture failure. In the current study, archived cases of holoprosencephaly, where post-mortem genetic evaluation was requested and sufficient frozen material was available, were reevaluated using the quantitative fluorescence polymerase chain reaction (QF-PCR) technique. METHODS: Testing for aneuploidies of chromosomes 13, 15, 16, 18, 21, 22, X, and Y with the QF-PCR technique was carried out on DNA isolated from archived frozen chorionic villi in seven cases of holoprosencephaly. RESULTS: QF-PCR was successful in all seven cases. Two cases of trisomy 13, two cases of triploidy, and one case of trisomy 18 was found meaning a 71% diagnostic yield. The success rate of QF-PCR (100%, 7/7) was superior compared to conventional karyotyping (43%, 3/7). CONCLUSIONS: Rapid aneuploidy testing using the QF-PCR technique is a simple, reliable, time- and cost-effective method sufficient to conclude the etiologic investigation in the majority of holoprosencephaly cases post-mortem.</t>
  </si>
  <si>
    <t>38649697</t>
  </si>
  <si>
    <t>Etiologic evaluation and pregnancy outcomes of fetal growth restriction (FGR) associated with structural malformations.</t>
  </si>
  <si>
    <t>This study aimed to evaluate the etiology and pregnancy outcomes of fetuses underwent invasive prenatal diagnosis for fetal growth restriction (FGR) accompanied by structural malformations. Data from 130 pregnancies referred for prenatal diagnosis for FGR accompanied by structural malformations were obtained between July 2011 and July 2023. Traditional karyotyping was conducted for all the subjects. A total of 37 (28.5%) cases of chromosomal abnormalities were detected by karyotyping, including 30 cases of numerical anomalies and seven cases of unbalanced structural anomalies. Trisomy 18 was the most common abnormalities, accounting for 51.4%, significantly higher than any other chromosomal abnormality. The cohort was predominantly comprised of early-onset FGR (88.5%) compared to late-onset FGR (11.5%). The incidences of chromosomal abnormalities in this two groups were 29.6% (34/115) and 20.0% (3/15), respectively (p &gt; 0.05). The majority (74.6%, 97/130) of the cohort were affected by a single system malformation, with chromosomal abnormalities found in 19.6% (19/97) of cases. In pregnancies of structural malformations involving two and multiple systems, the frequencies were 56.5% (13/23), and 50.0% (5/10), respectively. Single nucleotide polymorphism array (SNP array) was performed in parallel for 65 cases, revealing additional 7.7% cases of copy number variants (CNVs) compared to karyotyping. Polymerase chain reaction (PCR) was used for detection of cytomegalovirus (CMV) DNA in 92 cases. All fetuses with FGR associated with two or more system malformations were either terminated or stillborn, irrespective of chromosomal aberrations. Conversely, 71.8% of pregnancies with a single-system malformation and normal genetic testing results resulted in live births. Furthermore, two (2.2%) cases tested positive for CMV DNA, leading to one termination and one case of serious developmental disorder after birth. Our study suggests that structural malformations associated with FGR are more likely to affect a single organ system. When multiple systems are involved, the incidence of chromosomal abnormalities and termination rates are notably high. We advocate for the use of CMA and CMV DNA examinations in FGR cases undergo invasive prenatal diagnosis, as these tests can provide valuable insights for etiological exploration and pregnancy management guidance.</t>
  </si>
  <si>
    <t>39062246</t>
  </si>
  <si>
    <t>Bartek V</t>
  </si>
  <si>
    <t>Prenatal and Postnatal Diagnosis and Genetic Background of Corpus Callosum Malformations and Neonatal Follow-Up.</t>
  </si>
  <si>
    <t>INTRODUCTION: The corpus callosum is one of the five main cerebral commissures. It is key to combining sensory and motor functions. Its structure can be pathological (dysgenesis) or completely absent (agenesis). The corpus callosum dys- or agenesis is a rare disease (1:4000 live births), but it can have serious mental effects. METHODS: In our study, we processed the data of 64 pregnant women. They attended a prenatal diagnostic center and genetic counseling from 2005 to 2019 at the Department of Obstetrics and Gynecology at Semmelweis University. RESULTS: The pregnancies had the following outcomes: 52 ended in delivery, 1 in spontaneous abortion, and 11 in termination of pregnancy (TOP) cases (n = 64). The average time of detection with imaging tests was 25.24 gestational weeks. In 16 cases, prenatal magnetic resonance imaging (MRI) was performed. If the abnormality was detected before the 20th week, a genetic test was performed on an amniotic fluid sample obtained from a genetic amniocentesis. Karyotyping and cytogenetic tests were performed in 15 of the investigated cases. Karyotyping gave normal results in three cases (46,XX or XY). In one of these cases, postnatally chromosomal microarray (CMA) was later performed, which confirmed Aicardi syndrome (3q21.3-21.1 microdeletion). In one case, postnatally, the test found Wiedemann-Rautenstrauch syndrome. In other cases, it found X ring, Di George syndrome, 46,XY,del(13q)(q13q22) and 46,XX,del(5p)(p13) (Cri-du-chat syndrome). Edwards syndrome was diagnosed in six cases, and Patau syndrome in one case. CONCLUSIONS: We found that corpus callosum abnormalities are often linked to chromosomal problems. We recommend that a cytogenetic test be performed in all cases to rule out inherited diseases. Also, the long-term outcome does not just depend on the disease's severity and the associated other conditions, and hence proper follow-up and early development are also key. For this reason, close teamwork between neonatology, developmental neurology, and pediatric surgery is vital.</t>
  </si>
  <si>
    <t>39630766</t>
  </si>
  <si>
    <t>Sahin R</t>
  </si>
  <si>
    <t>Prenatal diagnosis and postnatal follow-ups of 38 clubfoot cases in a tertiary reference center.</t>
  </si>
  <si>
    <t>OBJECTIVE: The objective of this study was to evaluate the descriptive outcomes of 38 prenatally suspected clubfoot cases. METHODS: This is a retrospective cohort study conducted in Ankara Bilkent City Hospital's perinatology clinic. All consecutive cases with the diagnosis of fetal clubfoot between 2020 and 2023 were included. Multiple pregnancies and skeletal dysplasias were excluded from the study. Demographic features, prenatal ultrasound findings, prenatal screening test results, invasive diagnostic test results, clinical approaches, short-term and long-term postnatal outcomes, and treatment types of clubfoot were reported. RESULTS: There were a total of 38 prenatally diagnosed clubfoot cases noted during the study period. The mean gestational age at diagnosis was 15.3±1.4 weeks. Prenatal ultrasound screening noted bilateral clubfoot in 16 (42.1%) cases and unilateral clubfoot in 22 (57.8%) cases. Clubfoot was isolated in 7 (18.4%) cases, and additional anomalies were present in 31 (81.6%) cases. The gender of the fetuses was 26 (68.4%) males and 12 (31.6%) females. The prenatal noninvasive screening test was high risk in 7 (18.4%) patients and low risk in 16 (42.1%) patients. As a result of amniocentesis performed in 16 (42.1%) patients, abnormal karyotypes were detected in 2 patients (trisomy 18, 22q11.2 del). Six pregnancies were terminated before 24 weeks, and 27 pregnancies resulted in live birth at an average of 37.8±2.5 weeks. The diagnosis was correct in 84.2% of the cases, and 84.6% of the pregnancies resulted in live births. CONCLUSION: The outcomes of congenital clubfoot are generally favorable, especially in isolated cases.</t>
  </si>
  <si>
    <t>39767216</t>
  </si>
  <si>
    <t>Kahramanoglu O</t>
  </si>
  <si>
    <t>Prenatal Predictors and Early Postnatal Outcomes in Fetuses Diagnosed with Tricuspid Atresia.</t>
  </si>
  <si>
    <t>Objective: To assess the prenatal course and early postnatal outcomes of fetuses diagnosed with tricuspid atresia and to identify predictors of survival. Methods: This was a retrospective study of 25 fetuses diagnosed with tricuspid atresia in a single tertiary referral center, evaluating prenatal echocardiographic features and postnatal outcomes. Results: A total of 4 of 29 initially diagnosed fetuses were excluded due to changes in diagnosis or loss to follow-up, leaving 25 fetuses for analysis. Of these, 16 (64%) had concordant VA alignment, 8 (32%) had discordant VA connections, and 1 had a double-outlet left ventricle (DOLV). Pulmonary stenosis was observed in 13 fetuses, and 10 (40%) had extracardiac anomalies. Genetic testing, performed in 5 cases, identified a chromosomal anomaly in one case (trisomy 18). Overall, three pregnancies were terminated due to severe associated anomalies. Among the 22 liveborn infants, survival at 12 months was 72%. Restrictive ventricular septal defect (VSD) and the high ductus venosus pulsatility index were significantly associated with lower survival (p = 0.021 and p = 0.034, respectively). Conclusions: Tricuspid atresia can be accurately diagnosed in utero with a thorough echocardiographic evaluation. Restrictive VSD and outflow tract obstructions are critical determinants of early survival, while abnormal DV Doppler patterns may serve as additional markers for adverse outcomes. More extensive studies are needed to validate these findings and improve prognostic counseling.</t>
  </si>
  <si>
    <t>36269386</t>
  </si>
  <si>
    <t>Pan L</t>
  </si>
  <si>
    <t>Assessing the value of second-trimester nasal bone hypoplasia in predicting chromosomal abnormalities: a retrospective chromosomal microarray analysis of 351 fetuses.</t>
  </si>
  <si>
    <t>PURPOSE: To evaluate the value of fetal nasal bone hypoplasia and other prenatal risk factors in predicting chromosomal abnormalities. METHODS: In this retrospective cohort study, we collected data on singleton pregnancies diagnosed with fetal nasal bone hypoplasia during second-trimester ultrasound. Fetal karyotyping and chromosomal microarray analysis (CMA) were performed, and pregnancy outcomes were assessed. The association between fetal nasal bone hypoplasia and chromosomal abnormalities was evaluated according to whether other prenatal risk factors were observed. RESULTS: Our final analysis included 351 pregnancies, of which 62 (17.7%) fetuses had chromosomal abnormalities, including 36 cases of trisomy-21, six cases of trisomy-18, one case each of trisomy-13, and 47, XYY syndrome, and 18 cases of copy number variations (CNVs). Among the 243 cases of isolated nasal bone hypoplasia, 28 (11.5%) cases of chromosomal aberrations were identified. The incidence was significantly higher if other soft markers or structural abnormalities were simultaneously detected. Pregnancy was terminated in 43 aneuploid fetuses and nine fetuses detected with CNVs. The parents of the fetuses diagnosed with 47, XYY syndrome and the other nine CNVs chose to continue the pregnancy, and no abnormalities were detected in the newborns. Furthermore, we found that other prenatal risk factors should be considered in evaluating the likelihood of chromosomal abnormalities in fetuses with nasal bone hypoplasia. CONCLUSIONS: Nasal bone hypoplasia is a highly specific soft marker that is associated with multiple chromosomal abnormalities. The risk of chromosomal abnormalities increases when combined with structural abnormalities or increased nuchal translucency (NT). Chromosomal microarray analysis is a powerful prenatal test for chromosomal abnormalities, which may be warranted in fetuses with nasal bone hypoplasia.</t>
  </si>
  <si>
    <t>36582017</t>
  </si>
  <si>
    <t>Sánchez-Prieto M</t>
  </si>
  <si>
    <t>Fetal Megacystis: Associated Structural Abnormalities and Obstetric Outcomes.</t>
  </si>
  <si>
    <t>Purpose: We evaluated the obstetrical outcomes, ultrasonographic characteristics, and final diagnosis in pregnancies with fetal megacystis (FM). Methods: We evaluated the obstetrical outcomes and associated structural abnormalities of fetuses with FM detected between FM between 2000 and 2021. Results: 17 FM were diagnosed, 16 had follow up. 16 were early megacystis. 14/16 (87.5%) of pregnancies were terminated, 1/16 (6.25%) resulted in intrauterine death, and 1/16 (6.25%) survived. FM was associated with 13 other abnormal sonographic findings in 12/16 (75%) pregnancies. The most common associated ultrasound abnormality was umbilical cord cyst in 3/16 (18.75%). Recognized etiologies included posterior urethral valves (2), trisomy 18 (2), trisomy 13 (1), Prune Belly syndrome (1), and Megacystis-Microcolon-Hypoperistalsis syndrome (1). Conclusion: Most FM are detected in the 2nd trimester, most are electively terminated, are associated with other ultrasonic abnormalities in 75%, most commonly umbilical cord cyst, and have an identifiable cause in 44%.</t>
  </si>
  <si>
    <t>37052892</t>
  </si>
  <si>
    <t>Yucel Celik O</t>
  </si>
  <si>
    <t>Pregnancy outcomes and prenatal traditional karyotype analysis with fetal omphalocele.</t>
  </si>
  <si>
    <t>BACKGROUND: Omphalocele is associated with many aneuploidies, deletions and congenital anomalies. This study evaluates pregnancies diagnosed with omphalocele and its relevance to concomitant genetic disorders. METHODS: The data of patients with the intrauterine diagnosis of omphalocele who had invasive diagnostic testing performed between January 2017 and January 2020 were evaluated retrospectively. The traditional karyotype analysis was performed to prenatal diagnosis for all fetuses. During the study period, all patients were scanned via ultrasonography by an experienced perinatologist, prenatally. RESULTS: We evaluated 22 cases of omphalocele whose genetic testing results were available. The mean maternal age was 25 (18-41) years. The median gestational week at diagnosis was 13 (11-22). Invasive genetic testing revealed aneuploidy in 7 patients (31.8%), 2 with trisomy 13 (9.1%), and 5 with trisomy 18 (22.8%). There were 5 fetuses (22.7%) that had extracorporeal liver: 1 had trisomy 18 (20%), 1 had trisomy 13 (20%), and the other 3 fetuses had a normal karyotype (60%). Further, 14 (63.6%) pregnancies were terminated: 4 had trisomy 18 (28.6%), 1 had trisomy 13 (7.1%), and 9 of the terminated pregnancies (64.3%) had additional congenital anomalies. There were 4 infants who died (50%) born from 8 patients who decided to continue with their pregnancy. The omphalocele sac of 1 infant spontaneously regressed in the ensuing weeks of pregnancy who is now 1 year old. CONCLUSIONS: The chromosomal abnormalities presented in up to 31.8% of cases diagnosed with omphalocele. Moreover, for cases with normal genetic testing results, the propensity for additional structural defects was high and the prognosis remains poor. Counseling parents to consider their option of terminating the pregnancy is appropriate.</t>
  </si>
  <si>
    <t>Minerva Obstet Gynecol</t>
  </si>
  <si>
    <t>37287743</t>
  </si>
  <si>
    <t>Zhang H</t>
  </si>
  <si>
    <t>Chromosomal abnormalities and structural defects in fetuses with increased nuchal translucency at a Chinese tertiary medical center.</t>
  </si>
  <si>
    <t>OBJECTIVES: To explore the pregnancy outcomes of fetuses with increased NT thickness. METHODS: This was a retrospective study of fetuses with increased NT (≥95th centile) at 11-14 weeks of gestation between January 2020 and November 2020. RESULTS: Among 264 fetuses with increased NT, the median of CRL and NT was 61.2 mm and 2.41 mm. Among them, 132 pregnancy women chose invasive prenatal diagnosis (43 cases of chorionic villus sampling (CVS), 89 cases of amniocentesis). Eventually, 16 cases of chromosomal abnormalities were discovered, including 6 cases (6.4%) of trisomy 21, 4 cases (3%) of trisomy 18, 1 case (0.8%) of 45, XO, 1 case (0.8%) of 47, XXY and 4 cases (3.03%) of CNV abnormalities. The major structural defects included hydrops (6.4%), cardiac defects (3%), and urinary anomalies (2.7%). The incidences of chromosomal abnormalities and structural defects in the NT &lt; 2.5 mm group were 1.3 and 6%, while the incidences were 8.8 and 28.9% in the NT≥2.5 group. CONCLUSION: Increased NT was associated with high risk of chromosomal abnormalities and structural anomalies. Chromosomal abnormalities and structural defects could be detected when NT thickness was between 95th centile and 2.5 mm.</t>
  </si>
  <si>
    <t>37418285</t>
  </si>
  <si>
    <t>Burgos CM</t>
  </si>
  <si>
    <t>Syndromic congenital diaphragmatic hernia: Current incidence and outcome. Analysis from the congenital diaphragmatic hernia study group registry.</t>
  </si>
  <si>
    <t>BACKGROUND: The aim of this study was to describe the incidence of Congenital Diaphragmatic Hernia, CDH, associated with known or clinically suspected syndromes, and the postnatal outcomes from a large database for CDH. METHODS: Data from the multicenter, multinational database on infants with CDH (Congenital Diaphragmatic Hernia Study Group Registry) born from 1996 to 2020 were analyzed. Patients with known or suspected syndromes were grouped and outcome data were analyzed and compared to those without syndromic features. RESULTS: A total of 12,553 patients were entered in the registry during the study period, and 421 had reported known syndromes, representing 3.4% of all CDH cases in the registry. A total of 50 different associated syndromes were reported. In addition to those with clinically suspected genetic conditions, a total rate of genetic syndromes with CDH was 8.2%. The overall survival to discharge for syndromic CDH was 34% and for non-syndromic CDH was 76.7%. The most common were syndromes Fryns syndrome (19.7% of all syndromes, 17% survival), trisomy 18 or Edward syndrome (17.5%, 9% survival), trisomy 21 or Down syndrome (9%, 47% survival), trisomy 13 or Patau syndrome (6.7%, 14% survival), Cornelia de Lange syndrome (6.4% of all syndromes, 22% survival) and Pallister-Killian syndrome (5.5% of all syndromes, 39.1% survival). In addition, 379 cases had reported chromosomal anomalies and 233 cases had clinically suspected syndromes, based on two more dysmorphic features or malformations in addition to CDH, but without molecular diagnosis. The syndromic CDH group had lower birth weight and gestational age at birth and increased incidence of bilateral CDH (2.9%) and rates of non-repair (53%). The length of hospital stay was longer, and larger number of patients needed O2 at 30 days. Extracorporeal life support was used only in 15% of the cases. Those who underwent surgical repair had survival to discharge rates of 73%. CONCLUSION: Syndromic CDH is rare and only 3.4% of the reported cases of CDH have a known syndrome or association, but, if including patients with two dysmorphic features malformations, in addition to CDH, altogether as many as 8.2% have a diagnosed or suspected genetic condition. These children have with lower survival rates. Given higher rates of non-repair and decreased extracorporeal life support use, along with a high early mortality, decision-making regarding goals of care clearly influences outcomes. Survival varies depending on the genetic cause. Early genetic diagnosis is important and may influence the decision-making.</t>
  </si>
  <si>
    <t>37726736</t>
  </si>
  <si>
    <t>Que Y</t>
  </si>
  <si>
    <t>Ultrasonographic characteristics, genetic features, and maternal and fetal outcomes in fetuses with omphalocele in China: a single tertiary center study.</t>
  </si>
  <si>
    <t>BACKGROUND: Patients with omphalocele, a midline abdominal wall defect at the umbilical cord base, have a low survival rate. However, the long-term outcomes of fetuses with prenatally diagnosed omphalocele have scarcely been studied. Therefore, we investigated the ultrasonographic features, genetic characteristics, and maternal and fetal outcomes of fetuses with omphalocele and provided a reference for the perinatal management of such cases. METHODS: A total of 120 pregnant females with fetal omphalocele were diagnosed using prenatal ultrasonography at the Fujian Provincial Maternity and Child Health Hospital from January 2015 to March 2022. Amniotic fluid or cord blood samples were drawn at different gestational weeks for routine karyotype analysis, chromosomal microarray analysis (CMA) detection, and whole exome sequencing (WES). The maternal and fetal outcomes were followed up. RESULTS: Among the 120 fetuses, 27 were diagnosed with isolated omphalocele and 93 with nonisolated omphalocele using prenatal ultrasonography. Cardiac anomalies were the most observed cause in 17 fetuses. Routine karyotyping and CMA were performed on 35 patients, and chromosomal abnormalities were observed in five patients, trisomy 18 in three, trisomy 13 in one, and chromosome 8-11 translocation in one patient; all were non-isolated omphalocele cases. Six nonisolated cases had normal CMA results and conventional karyotype tests, and further WES examination revealed one pathogenic variant and two suspected pathogenic variants. Of the 120 fetuses, 112 were successfully followed up. Eighty of the 112 patients requested pregnancy termination. Seven of the cases died in utero. A 72% 1-year survival rate was observed from the successful 25 live births. CONCLUSION: The prognosis of fetuses with nonisolated omphalocele varies greatly, and individualized analysis should be performed to determine fetal retention carefully. Routine karyotyping with CMA testing should be provided for fetuses with omphalocele. WES is an option if karyotype and CMA tests are normal. If the fetal karyotype is normal and no associated abnormalities are observed, fetuses with omphalocele could have a high survival rate, and most will have a good prognosis.</t>
  </si>
  <si>
    <t>38296637</t>
  </si>
  <si>
    <t>Turos JL</t>
  </si>
  <si>
    <t>Perinatal Prognosis of Pregnancies with Single Umbilical Artery in a Romanian Third-Level Unit.</t>
  </si>
  <si>
    <t>Objectives: Single umbilical artery (SUA) is considered the most common abnormality of the umbilical artery. The objective of the study was to evaluate the perinatal prognosis of fetuses with SUA and to describe the associated malformations. The significance of the study is represented by examining whether our findings are in correlation with data already described.Methods: We performed a prospective cohort study on singleton pregnancies complicated with SUA. The study population was composed of women with singleton pregnancies who were examined at the Department of Obstetrics and Gynecology of the Târgu Mures County Emergency Clinical Hospital between 2012 and 2021.Results: The incidence of SUA in the study population was 0.48%. C-section was performed in 40 cases with SUA and in 5258 cases with no SUA (RR:1.56, P&lt;0.05.) From the total number of 2249 premature deliveries, 23 newborns were diagnosed with SUA (RR:2.12, P&lt;0.05.) From the total number of 869 deliveries with low birth weight (LBW) newborns, 13 were associated with SUA (RR: 3.12, P&lt;0.05.) There were 206 pregnancies noted with antenatal fetal demise after 24 weeks of gestation, and only 2 of them were with SUA (RR:2.01, P&gt;0.05.) Fetal and neonatal malformations were described in 290 cases, and 28 were associated with SUA (R:21.96, P&lt;0.05.) In 57 of 85 cases (67.05%), we found iSUA, and 28 newborns (32.95%) had minor, major, or other associated pathologies. We found two cases of trisomy 18 and one case with trisomy 13 associated with SUA. Investigating the malformations associated with SUA, the most common were cardiac and great vessels malformations (12), followed by limb malformations (8), urogenital malformations (7), digestive tract malformations (7), central nervous system malformations (4), and in one case we found cleft palate.Conclusions: Perinatal prognosis regarding SUA is significantly poorer than in cases without this pathology. One-third of fetuses with SUA were associated with fetal anomalies. The most common pathologies associated with SUA were cardiovascular, limb, urogenital, and digestive system malformations. Our data are similar to those described in other studies; therefore, we conclude, we can implement the general recommendations in our region regarding counselling patients.</t>
  </si>
  <si>
    <t>Clin Med Res</t>
  </si>
  <si>
    <t>35291955</t>
  </si>
  <si>
    <t>Tan AG</t>
  </si>
  <si>
    <t>Evaluation of prenatal central nervous system anomalies: obstetric management, fetal outcomes and chromosome abnormalities.</t>
  </si>
  <si>
    <t>OBJECTIVE: To study the outcomes of fetuses who were diagnosed with central nervous system (CNS) anomalies during prenatal period and to describe the obstetric management of those pregnancies. METHODS: In this retrospective study, fetuses who were detected to have central nervous system anomalies by prenatal ultrasound from January 2010 to December 2019 were recruited. Data regarding prenatal diagnosis and obstetric outcomes were retrieved from maternal and paediatric records. The prognosis of fetuses who were born alive was classified based on their neurodevelopmental outcome within two years of life. RESULTS: There were a total of 365 fetuses with CNS anomalies within the 10-year study period, with a mean gestational age of 24.65±7.37 weeks at diagnosis. Ventriculomegaly (23.36%) was the commonest CNS anomalies seen. 198 (54.20%) of these fetuses had associated extra-CNS anomalies, with cardiovascular being the most common system involved. Fetal karyotyping was performed in 111 pregnancies, with chromosomal aberrations detected in 53 (49.07%) cases and culture failure in 3 cases. Majority of the chromosomal abnormalities were Edward syndrome (trisomy 18) and Patau syndrome (trisomy 13). Fetuses with congenital CNS anomalies and abnormal chromosomal karyotyping were more likely to be diagnosed earlier by prenatal ultrasound and tend to have poorer obstetric and neurocognitive prognosis. Prenatally, 86 (23.56%) of the cases were lost to follow up and likely to deliver elsewhere. Among the 279 cases whom their pregnancy outcomes were available, 139 (49.82%) pregnancies resulted in live births, 105 (37.63%) pregnancies were electively terminated, while the remaining 35 (12.54%) pregnancies ended in spontaneous loss. The decision of termination of pregnancy largely depends on mean diagnostic gestational age, presence of chromosomal aberrations and abnormal amniotic fluid volume in those fetuses. Two years after delivery, only 75 (53.96%) children out of 139 live births were still alive, 43 (30.93%) died and 21 (15.11%) cases were lost to follow-up. 32 (23.02%) children with prenatally diagnosed CNS anomalies had normal neurodevelopmental outcome. The presence of multiple CNS anomalies and involvement of extra-CNS anomalies indicated a poorer neurodevelopmental prognosis. CONCLUSION: Less than 50% of fetuses with prenatally diagnosed CNS anomalies resulted in live births. Even if they survive till delivery, 36.45% of them passed away within 2 years and 62.79% of children who survived till 2 years old had neurodevelopmental disability.</t>
  </si>
  <si>
    <t>33914334</t>
  </si>
  <si>
    <t>Akcabay C</t>
  </si>
  <si>
    <t>Perinatal outcomes of the antenatally diagnosed omphalocele cases: a single tertiary center experience.</t>
  </si>
  <si>
    <t>OBJECTIVES: To evaluate the perinatal outcomes of antenatally diagnosed omphalocele cases. MATERIAL AND METHODS: This was a retrospective study conducted between July 2014 and February 2020 at the prenatal diagnosis center of a university clinic. Gestational week of diagnosis, associated anomalies, karyotype analysis results, complications during pregnancy, termination/delivery characteristics, and postnatal results were evaluated. RESULTS: The analysis was performed on 58 patients. The median diagnosis time was 14.5 weeks of gestation. Thirty-three cases (57%) were defined in the first trimester. 33 (57%) of 58 patients had one or more concomitant anomalies, while 25 patients (43%) had isolated omphalocele. The most common associated anomaly was a cardiac anomaly which was observed in 17 fetuses (30% of all omphalocele cases). Karyotype analysis was performed in forty-five patients (41 in the prenatal period, 4 in the postnatal period). A normal karyotype was detected in 27 cases (60%). Trisomy 18 was the most common chromosomal anomaly (n = 15, 33.3%). Thirty of 58 patients (52%) requested termination of pregnancy (TOP) in the early pregnancy period. Thirteen of the cases died in-utero (22%). Fifteen pregnancies resulted in live births (26%), of those eight were lost in the first year of life (six of them had additional anomalies, while two of them had isolated omphalocele but the omphalocele pouch was containing the liver in those two babies). CONCLUSIONS: Most of the cases with an omphalocele can be diagnosed in the first trimester. Cardiac anomalies were the most common associated anomalies, while trisomy 18 is the most common chromosomal anomaly. Thus, earlier and effective counseling can be made about the prognosis of pregnancy.</t>
  </si>
  <si>
    <t>34058167</t>
  </si>
  <si>
    <t>Monier I</t>
  </si>
  <si>
    <t>Should prenatal chromosomal microarray analysis be offered for isolated fetal growth restriction? A French multicenter study.</t>
  </si>
  <si>
    <t>BACKGROUND: Compared with standard karyotype, chromosomal microarray analysis improves the detection of genetic anomalies and is thus recommended in many prenatal indications. However, evidence is still lacking on the clinical utility of chromosomal microarray analysis in cases of isolated fetal growth restriction. OBJECTIVE: This study aimed to estimate the proportion of copy number variants detected by chromosomal microarray analysis and the incremental yield of chromosomal microarray analysis compared with karyotype in the detection of genetic abnormalities in fetuses with isolated fetal growth restriction. STUDY DESIGN: This retrospective study included all singleton fetuses diagnosed with fetal growth restriction and no structural ultrasound anomalies and referred to 13 French fetal medicine centers over 1 year in 2016. Fetal growth restriction was defined as an estimated fetal weight of &lt;tenth percentile for gestational age identified in ultrasound reports. For this analysis, we selected fetuses who underwent invasive genetic testing with karyotype and chromosomal microarray analysis results. Data were obtained from medical records and ultrasound databases and postmortem and placental examination reports in case of spontaneous stillbirths and terminations of pregnancy. Following the American College of Medical Genetics and Genomics guidelines, copy number variants were classified into 5 groups as following: pathogenic, likely pathogenic, variant of unknown significance, likely benign, and benign. RESULTS: Of 682 referred fetuses diagnosed with isolated fetal growth restriction, both karyotype and chromosomal microarray analysis were performed in 146 fetuses. Overall, the detection rate of genetic anomalies found by chromosomal microarray analysis was estimated to be 7.5% (11 of 146 [95% confidence interval, 3.3-11.8]), including 10 copy number variants classified as pathogenic and 1 copy number variant classified as likely pathogenic. Among the 139 fetuses with normal karyotype, 5 were detected with pathogenic and likely pathogenic copy number variants, resulting in an incremental yield of 3.6% (95% confidence interval, 0.5-6.6) in chromosomal microarray analysis compared with karyotype. All fetuses detected with pathogenic or likely pathogenic copy number variants resulted in terminations of pregnancy. In addition, 3 fetuses with normal karyotype were detected with a variant of unknown significance (2.1%). Among the 7 fetuses with abnormal karyotype, chromosomal microarray analysis did not detect trisomy 18 mosaicism in all fetuses. CONCLUSION: Our study found that compared with karyotype, chromosomal microarray analysis improves the detection of genetic anomalies in fetuses diagnosed with isolated fetal growth restriction. These results support the use of chromosomal microarray analysis in addition to karyotype for isolated fetal growth restriction.</t>
  </si>
  <si>
    <t>31180600</t>
  </si>
  <si>
    <t>Dall'Asta A</t>
  </si>
  <si>
    <t>Etiology and perinatal outcome of periviable fetal growth restriction associated with structural or genetic anomaly.</t>
  </si>
  <si>
    <t>OBJECTIVE: To investigate the etiology and perinatal outcome of periviable fetal growth restriction (FGR) associated with a structural defect or genetic anomaly. METHODS: This was a retrospective study of singleton pregnancies seen at a referral fetal medicine unit between 2005 and 2018, in which FGR (defined as fetal abdominal circumference ≤ 3rd percentile for gestational age) was diagnosed between 22 + 0 and 25 + 6 weeks of gestation. The study group included pregnancies with periviable FGR associated with a genetic or structural anomaly (anomalous FGR), while the control group consisted of structurally and genetically normal pregnancies with periviable FGR (non-anomalous FGR). Results of genetic testing, TORCH screen and postmortem examination, as well as perinatal outcome, were investigated. RESULTS: Of 255 pregnancies complicated by periviable FGR, 188 were eligible; of which 52 (28%) had anomalous FGR and 136 (72%) had non-anomalous FGR. A confirmed genetic abnormality accounted for 17/52 cases (33%) of anomalous FGR, with trisomy 18 constituting over 50% (9/17; 53%). The most common structural defects associated with FGR were central nervous system abnormalities (13/35; 37%). Overall, 12 (23%) cases of anomalous FGR survived the neonatal period. No differences were found in terms of perinatal survival between pregnancies with anomalous and those with non-anomalous FGR. CONCLUSIONS: Most pregnancies complicated by anomalous FGR were associated with a structural defect. The presence of an associated genetic defect was invariably lethal, while those with a structural defect, in the absence of a confirmed genetic abnormality, survived into infancy in over 90% of cases, with an overall one in three chance of perinatal survival. These data can be used for counseling prospective parents. Copyright © 2019 ISUOG. Published by John Wiley &amp; Sons Ltd.</t>
  </si>
  <si>
    <t>31952847</t>
  </si>
  <si>
    <t>Tan Tanny SP</t>
  </si>
  <si>
    <t>Predictors of Mortality after Primary Discharge from Hospital in Patients with Esophageal Atresia.</t>
  </si>
  <si>
    <t>OBJECTIVE: To describe esophageal atresia mortality rates and their associations in our cohort. STUDY DESIGN: Patients with esophageal atresia, managed at The Royal Children's Hospital, Melbourne (1980-2018), who subsequently died, were retrospectively identified from the prospective Nate Myers Oesophageal Atresia database. Data collected included patient and maternal demographics, vertebral anomalies, anorectal malformations, cardiovascular anomalies, tracheoesophageal fistula, renal anomalies, and limb defects (VACTERL) associations, mortality risk factors, and preoperative, operative, and postoperative findings. Mortality before discharge was defined as death during the initial admission. RESULTS: A total of 88 of the 650 patients (13.5%) died during the study period; mortality before discharge occurred in 66 of the 88 (75.0%); mortality after discharge occurred in 22 of the 88 (25.0%). Common causes of mortality before discharge were palliation for respiratory anomalies (15/66 [22.7%]), associated syndromes (11/66 [16.7%]), and neurologic anomalies (10/66 [15.2%]). The most common syndrome leading to palliation was trisomy 18 (7/66 [10.6%]). Causes of mortality after discharge had available documentation for 17 of 22 patients (77.3%). Common causes were respiratory compromise (6/17 [35.3%]), sudden unexplained deaths (6/17 [35.3%]), and Fanconi anemia (2/17 [11.8%]). Of the patients discharged from hospital, 22 of 584 (3.8%) subsequently died. There was no statistical difference in VACTERL association between mortality before discharge (31/61 [50.8%]) and mortality after discharge (11/20 [55.0%]), nor in incidence of twins between mortality before discharge (8/56 [14.3%]) and mortality after discharge (2/18 [11.1%]). CONCLUSIONS: We identified predictors of mortality in patients with esophageal atresia in a large prospective cohort. Parents of children with esophageal atresia must be counselled appropriately as to the likelihood of death after discharge from hospital.</t>
  </si>
  <si>
    <t>31955448</t>
  </si>
  <si>
    <t>El-Dessouky SH</t>
  </si>
  <si>
    <t>Prenatal ultrasound findings of holoprosencephaly spectrum: Unusual associations.</t>
  </si>
  <si>
    <t>OBJECTIVE: The objective of this study is to evaluate the prenatal diagnosis, postnatal characteristics, and the spectrum of associated findings in fetuses with holoprosencephaly (HPE). METHODS: Fetal neurosonograms, postnatal assessment, and chromosomal analysis were performed in a cohort of 25 fetuses with HPE. RESULTS: The prevalence of HPE in high-risk pregnancies was 4.4:10 000. The alobar subtype was the most frequently encountered, with 17 cases (68%). Interestingly, among them, four cases (16%) presented with the rare agnathia-otocephaly complex. Chromosomal abnormalities were detected in 11 cases (44%), the most frequent being trisomy 13 in seven cases (five alobar, one semilobar, and one lobar HPE), followed by trisomy 18 in two cases with semilobar HPE. One case of alobar HPE had 45, XX, t(18;22) (q10;q10), -18p karyotyping, and one case of semilobar HPE was associated with triploidy. Facial malformations in HPE spectrum ranged from cyclopia, proboscis, and arrhinia that were associated with the alobar subtype to hypotelorism and median cleft that were frequent among the semilobar and lobar subtypes. Associated neural tube defects were identified in 12% of cases. CONCLUSION: Our study illustrates the clinical and genetic heterogeneity of HPE and describes different chromosomal abnormalities associated with HPE.</t>
  </si>
  <si>
    <t>32219563</t>
  </si>
  <si>
    <t>Schmedding A</t>
  </si>
  <si>
    <t>Decentralized surgery of abdominal wall defects in Germany.</t>
  </si>
  <si>
    <t>PURPOSE: Neonatal surgery for abdominal wall defects is not performed in a centralized manner in Germany. The aim of this study was to investigate whether treatment for abdominal wall defects in Germany is equally effective compared to international results despite the decentralized care. METHODS: All newborn patients who were clients of the major statutory health insurance company in Germany between 2009 and 2013 and who had a diagnosis of gastroschisis or omphalocele were included. Mortality during the first year of life was analysed. RESULTS: The 316 patients with gastroschisis were classified as simple (82%) or complex (18%) cases. The main associated anomalies in the 197 patients with omphalocele were trisomy 18/21 (8%), cardiac anomalies (32%) and anomalies of the urinary tract (10%). Overall mortality was 4% for gastroschisis and 16% for omphalocele. Significant factors for non-survival were birth weight below 1500 g for both groups, complex gastroschisis, volvulus and anomalies of the blood supply to the intestine in gastroschisis, and female gender, trisomy 18/21 and lung hypoplasia in omphalocele. CONCLUSIONS: Despite the fact that paediatric surgical care is organized in a decentralized manner in Germany, the mortality rates for gastroschisis and omphalocele are equal to those reported in international data.</t>
  </si>
  <si>
    <t>Pediatr Surg Int</t>
  </si>
  <si>
    <t>31000707</t>
  </si>
  <si>
    <t>van Lennep M</t>
  </si>
  <si>
    <t>Oesophageal atresia.</t>
  </si>
  <si>
    <t>Oesophageal atresia (EA) is a congenital abnormality of the oesophagus that is caused by incomplete embryonic compartmentalization of the foregut. EA commonly occurs with a tracheo-oesophageal fistula (TEF). Associated birth defects or anomalies, such as VACTERL association, trisomy 18 or 21 and CHARGE syndrome, occur in the majority of patients born with EA. Although several studies have revealed signalling pathways and genes potentially involved in the development of EA, our understanding of the pathophysiology of EA lags behind the improvements in surgical and clinical care of patients born with this anomaly. EA is treated surgically to restore the oesophageal interruption and, if present, ligate and divide the TEF. Survival is now ~90% in those born with EA with severe associated anomalies and even higher in those born with EA alone. Despite these achievements, long-term gastrointestinal and respiratory complications and comorbidities in patients born with EA are common and lead to decreased quality of life. Oesophageal motility disorders are probably ubiquitous in patients after undergoing EA repair and often underlie these complications and comorbidities. The implementation of several new diagnostic and screening tools in clinical care, including high-resolution impedance manometry, pH-multichannel intraluminal impedance testing and disease-specific quality of life questionnaires now provide better insight into these problems and may contribute to better long-term outcomes in the future.</t>
  </si>
  <si>
    <t>Nat Rev Dis Primers</t>
  </si>
  <si>
    <t>29164604</t>
  </si>
  <si>
    <t>Du Y</t>
  </si>
  <si>
    <t>Absent fetal nasal bone in the second trimester and risk of abnormal karyotype in a prescreened population of Chinese women.</t>
  </si>
  <si>
    <t>INTRODUCTION: The aim of this study was to evaluate the value of absent fetal nasal bone in the prediction of fetal chromosomal abnormalities, according to whether it was associated with other soft markers or structural abnormalities in a prescreened population of Chinese pregnant women. MATERIAL AND METHODS: In this retrospective cohort study, women whose fetuses had absent nasal bone detected during the second trimester ultrasound scan were followed. Fetal karyotyping was performed and pregnancy outcomes were recorded. The association between absent fetal nasal bone with abnormal karyotype was evaluated according to whether soft markers or structural abnormalities were also observed. RESULTS: Fetal nasal bone was assessed in 56 707 singleton pregnancies. After exclusion of unqualified cases, 71 (71/56 707, 0.13%) fetuses were included in the final analyses, of which 16 (16/71, 22.54%) were detected to have chromosomal abnormalities, including 12 cases of trisomy-21, three of trisomy-18, and one of micro-deletion (in 7q). Among the 42 cases with isolated absence of nasal bone, two had trisomy-21 and one had a micro-deletion. Absence of nasal bone in association with other structural abnormalities had a higher rate of abnormal karyotypes compared with isolated absence of nasal bone [83.33% (10/12) vs. 7.14% (3/42), Fisher's exact test χ2  = 25.620, p &lt; 0.001]. CONCLUSION: Absent fetal nasal bone is a highly specific ultrasonographic soft marker that should be included in the routine second trimester ultrasound scan.</t>
  </si>
  <si>
    <t>30133550</t>
  </si>
  <si>
    <t>Luo S</t>
  </si>
  <si>
    <t>Genetic Testing and Pregnancy Outcome Analysis of 362 Fetuses with Congenital Heart Disease Identified by Prenatal Ultrasound.</t>
  </si>
  <si>
    <t>BACKGROUND: Congenital heart defects (CHD), as the most common congenital anomaly, have been reported to be associated with chromosomal abnormalities. Currently, patients with CHD are routinely offered karyotyping and chromosomal microarray (CMA) testing, but the genotype-phenotype relationship has not yet been fully established. OBJECTIVE: To determine the type and frequency of chromosomal abnormalities in fetuses with CHD and to analyze pregnancy outcomes of fetuses with heart abnormalities caused by different genetic factors. METHODS: A total of 362 cases of CHD were enrolled from 2009 to 2016. Detailed ultrasound and laboratory examinations, including karyotyping and CMA, were performed. Outcome was obtained from discharge summaries. RESULTS: Of the 362 fetuses, 220 were found with an isolated CHD, and 142 had CHD with extracardiac anomaly. Among these 362 fetuses, 140 were identified with a genetic cause, including 111 cases with aneuploidy, 10 cases with abnormality of chromosomal structure by karyotyping and 19 cases with pathogenic or likely pathogenic copy-number variations (CNVs) by CMA. The detection rate is close to 38.7%. Only one (identified as trisomy 18 syndrome) in 140 positive cases resulted in perinatal death, with the others being induced. The remaining 222 cases had negative results for both genetic testing and of these cases, 56 resulted in induced labor, and 77 had natural childbirth or caesarean births. The pregnancy outcome of the remaining 89 cases was uncertain. CONCLUSIONS: Karyotyping and CMA are effective and accurate prenatal genetic techniques for identifying fetal chromosomal abnormalities associated with cardiac defects, and this can assist clinical doctors to perform appropriate genetic counselling with regard to the etiology and outcome of CHD.</t>
  </si>
  <si>
    <t>Arq Bras Cardiol</t>
  </si>
  <si>
    <t>27889224</t>
  </si>
  <si>
    <t>Taghavi K</t>
  </si>
  <si>
    <t>Fetal megacystis: A systematic review.</t>
  </si>
  <si>
    <t>UNLABELLED: Fetal megacystis is variably defined and understood. The literature on fetal megacystis was systematically reviewed, focusing on prenatal diagnosis, associations and outcomes. This yielded a total of 18 primary references and eight secondary references. Fetal megacystis has an estimated first-trimester prevalence of between 1:330 and 1:1670, with a male to female ratio of 8:1. In the first trimester, megacystis is most commonly defined as a longitudinal bladder dimension of ≥7 mm. Later in pregnancy, a sagittal dimension (in mm) greater than gestational age (in weeks) + 12 is often accepted. Megacystis can be associated with a thickened bladder wall, which has been objectively defined as &gt;3 mm. Oligohydramnios is present in approximately half of all cases. The most common underlying diagnosis is posterior urethral valves (57%), followed by urethral atresia/stenosis (7%), prune belly syndrome (4%), megacystis-microcolon-intestinal-hypoperistalsis syndrome (MMIHS) (1%), and cloacal anomalies (0.7%). Karyotype anomalies are found in 15%, and include trisomy 18, trisomy 13 and trisomy 21. Ultrasound imaging alone is often insufficient to enable a definitive diagnosis, although it may indicate that a specific diagnosis is more likely. Overall, about 50% of reported fetuses with megacystis are terminated, but this proportion varies considerably between countries and over time. Prognostic stratification is evolving, with the most important factors being oligohydramnios, gestational age at diagnosis, degree of bladder enlargement, renal hyperechogenicity, karyotype, and sex. CONCLUSIONS: This review demonstrated some consensus on the ultrasound criteria for defining fetal megacystis, and illustrated the spectrum of pathologies and their relative frequencies that can cause this condition. It also underlined important associated karyotype anomalies. To progress understanding of the natural history of enlarged fetal bladders, more accurate diagnostics are required, and risk stratification needs to be refined to facilitate prenatal counseling.</t>
  </si>
  <si>
    <t>J Pediatr Urol</t>
  </si>
  <si>
    <t>27987078</t>
  </si>
  <si>
    <t>Sevilla-Montoya R</t>
  </si>
  <si>
    <t>Heterogeneous Diagnoses Underlying Radial Ray Anomalies.</t>
  </si>
  <si>
    <t>OBJECTIVE: To review perinatal Radial Ray Anomaly (RRA) cases born at the National Institute of Perinatology, Mexico, and to reveal the heterogeneous diagnoses of these patients. METHODS: All patients with RRA over a 18 mo period were included; 4/15 were detected prenatally and 11/15 postnatally. Karyotype was performed for all patients with bilateral RRA; and chromosomal breakage analysis, when the karyotype was normal. RESULTS: Fifteen RRA patients were identified: one with trisomy 18, three with an isolated defect, six with monogenic disease, four with a genetic association and one with diabetic embryopathy. Five were stillborn and two died during the early neonatal period; all of whom presented with multiple defects. Three of the live born patients and one stillborn with multiple defects had Fanconi anemia. RRAs carry a high perinatal mortality rate (47%) when they occur in association with other defects. CONCLUSIONS: The assessment of these patients needs to involve the combined use of ultrasound, clinical, genetic, cytogenetic and molecular testing. The present results indicate that the chromosome breakage test should always be performed to rule out Fanconi anemia in this group.</t>
  </si>
  <si>
    <t>Indian J Pediatr</t>
  </si>
  <si>
    <t>28391132</t>
  </si>
  <si>
    <t>Ronin C</t>
  </si>
  <si>
    <t>Antenatal prognostic factor of fetal echogenic bowel.</t>
  </si>
  <si>
    <t>OBJECTIVE: The aim of this study was to identify antenatal prognostic factors of neonatal outcomes in cases of fetal echogenic bowel (FEB). STUDY DESIGN: A retrospective study in three tertiary referral centers including fetal echogenic bowel over a 10-year period (from January 2003 to December 2013). The echogenicity of the fetal bowel was graded from 1 to 3, according to Slotnick's definition. Associated echographic findings such as bowel dilations, gallbladder abnormalities, calcifications, extra-abdominal abnormalities, intrauterine growth restriction (IUGR) and a decrease in amniotic fluid volume, if present were also recorded. This was followed by the FEB's sonographic evolution. The sonographic evolution was considered favorable if it was stable or decreasing and unfavorable if the echogenicity of the bowel increased or if additional sonographic findings appeared. Neonates had a pediatric examination in the delivery room and upon discharge from the maternity hospital. An outcome was considered good in the case of on-term delivery of a newborn with normal clinical examination and meconium elimination. RESULTS: Complete pregnancy outcome data were available for 409 pregnancies. 338 newborns had uneventful outcomes (82.6%). Antenatal exploration diagnosed 4 cases of aneuploidy (1 case of trisomy 13, 1 case of trisomy 18 and 2 cases of triploidies), 16 cases of congenital infections, 9 cases of cystic fibrosis and 11 cases of bowel abnormalities. After a multivariate analysis, we discovered the sonographic grade of the echogenic bowel was not a prognostic factor of neonatal outcome. The isolated fetal echogenic bowel had a 6.6-fold increase chance of uneventful outcomes (adjusted odd ratio (aOR) 6.6, 95% CI 3-14.4). Notably, favorable sonographic evolution (aOR 8.1, 95% CI 4.1-16) and late gestational age at the time of the diagnosis (aOR 1.17, 95% CI 1.07-1.27) are independent, good prognostic factors of good neonatal outcomes. None of the 180 fetuses with isolated fetal echogenic bowel and favorable sonographic evolution had adverse outcomes. Among these, 4 cases (0.98%) of aneuploïdy, 17 cases (4.2%) of congenital infections and 9 cases (2.2%) of cystic fibroses were also diagnosed. No cases of Down syndrome (DS) were reported. CONCLUSION: Our study shows that the grade should not be considered a prognostic factor of neonatal outcomes. Our data suggests the need to reevaluate the concept of systematic amniocentesis. Sonographic evolution of fetal bowel is an independent, strong prognostic factor for good neonatal outcomes. It also better defines the FEB prognostic.</t>
  </si>
  <si>
    <t>28627098</t>
  </si>
  <si>
    <t>Jernigan EG</t>
  </si>
  <si>
    <t>Effect of Concomitant Birth Defects and Genetic Anomalies on Infant Mortality in Tetralogy of Fallot.</t>
  </si>
  <si>
    <t>BACKGROUND: A substantial proportion of infants born with tetralogy of Fallot (TOF) die in infancy. A better understanding of the heterogeneity associated with TOF, including extracardiac malformations and chromosomal anomalies is vital to stratifying risk and optimizing outcomes during infancy. METHODS: Using the North Carolina Birth Defects Monitoring Program, infants diagnosed with TOF and born between 2003 and 2012 were included. Kaplan-Meier survival curves were used to estimate cumulative 1-year mortality, stratified by the presence of concomitant birth defects (BDs) and chromosomal anomalies. Multivariable logistic regression was used to estimate the direct effect of each concomitant BD, after adjusting for all others. RESULTS: A total of 496 infants with TOF were included, and 15% (n = 76) died. The number of concomitant BD systems was significantly associated with the risk of death at 1-year, p &lt; 0.0001. Specifically, the risk of mortality was 8% among infants with TOF with or without additional cardiac defects, 16% among infants with TOF and 1 extracardiac BD system, 19% among infants with 2 extracardiac BD systems, and 39% among infants with ≥ 3 extracardiac BD systems. After adjustment, concomitant eye and gastrointestinal defects were significantly associated increased with 1-year mortality, odds ratio 2.83 (95% confidence interval, 1.08-7.32) and odds ratio 4.43 (95% confidence interval, 1.57, 12.45), respectively. Infants with trisomy 13 or trisomy 18 were also significantly more likely to die, p &lt; 0.0001. CONCLUSION: Both concomitant BDs and genetic anomalies increase the risk of mortality among infants with TOF. Future studies are needed to identify the underlying genetic and socioeconomic risk factors for high-risk TOF infants. Birth Defects Research 109:1154-1165, 2017. © 2017 Wiley Periodicals, Inc.</t>
  </si>
  <si>
    <t>28723764</t>
  </si>
  <si>
    <t>Socolov D</t>
  </si>
  <si>
    <t>Increased nuchal translucency in fetuses with a normal karyotype-diagnosis and management: An observational study.</t>
  </si>
  <si>
    <t>The use of nuchal translucency (NT) in 1992 by Nicolaides et al was a major breakthrough in screening for chromosomal aneuploidies at the end of the first trimester. However, pathological conditions other than chromosomal aneuploidies are also associated with increased NT, which can also be detected in normal fetuses. This study sought to evaluate the causes of this ultrasound sign in a group of patients from Iasi, Romania.During the decade-long study period, there were 71 certified cases involving increased NT; the patients in these cases underwent diagnostic amniocentesis and karyotyping.In most of the examined cases (55 cases, 78%), there was no aneuploidy. The remaining cases involved trisomy 21 (T21) (18%), trisomy 18 (T18) (2%), or triploidy (2%). In most cases, the indication for amniocentesis was increased NT alone (81%), whereas the remaining cases also involved advanced maternal age (5.5%), abnormal serologic markers (10%), or other ultrasound signs (3.5%) (2 cases-cardiac anomalies and fetal hydrops). A favorable pregnancy outcome at term was achieved in 40 cases (56% from total, 72% from euploid pregnancies); kidney anomalies or nonlethal cardiac conditions were observed in 12 cases (17%), 6 of which involved complications associated with premature onset of labor, and miscarriages occurred in 6 cases. Three cases were lost at follow-up.Although it is common practice to assume that increased NT is an indication for amniocentesis, both literature results and our study findings indicate that the majority of cases with increased NT involve no aneuploidy and result in a favorable outcome if no other anomaly is present. Better evidence-based management of such cases could be promoted by conducting larger, multicenter studies, and following cases for longer periods.</t>
  </si>
  <si>
    <t>28770124</t>
  </si>
  <si>
    <t>Watanabe S</t>
  </si>
  <si>
    <t>Omphalocele and Gastroschisis in Newborns: Over 16 Years of Experience from a Single Clinic.</t>
  </si>
  <si>
    <t>Infants born with potentially life-threatening conditions of omphalocele and gastroschisis may require long-term hospitalization. We aimed to compare the outcomes of these two conditions occurring over a 16-year period (2001-16). It is a retrospective study of 19 newborns undergoing surgery for these two abdominal wall defects (8 patients with omphalocele and 11 cases of gastroschisis). The average birth weights for the newborns with omphaloceles and gastroschisis were 2554.5 g and 2248.6 g respectively. Associated anomalies included trisomy 18, Beckwith-Wiedemann syndrome, congenital heart disease, Meckel's diverticulum, inguinal hernias, renal deformities, limb deformities, cryptorchidism, body stalk anomalies, and closed gastroschisis. The average hospital stay for the newborns with omphaloceles and gastroschisis were 42.6 days 50.2 days respectively. The time to the start of postoperative nutritional supplementation for the newborns with omphaloceles and gastroschisis were 4.3 days for the infants with omphaloceles and 7.3 days for respectively. The survival rates for the newborns with omphaloceles and gastroschisis were similar, 87.5% and 81.8% respectively. Survival rates in omphalocele correlated negatively with associated anomalies. In gastroschisis cases, strict care is necessary when intestinal dilation is observed via fetal sonography.</t>
  </si>
  <si>
    <t>J Neonatal Surg</t>
  </si>
  <si>
    <t>28879597</t>
  </si>
  <si>
    <t>Rubio EI</t>
  </si>
  <si>
    <t>Prenatal congenital vertical talus (rocker bottom foot): a marker for multisystem anomalies.</t>
  </si>
  <si>
    <t>BACKGROUND: Congenital vertical talus is a rare foot anomaly characterized by a prominent calcaneus and rigid forefoot dorsiflexion. While congenital vertical talus has been associated with anomalies such as trisomy 18, myelomeningocele and arthrogryposis, postnatal series have reported cases of isolated congenital vertical talus. OBJECTIVE: The purpose of our study was to determine the incidence of isolated congenital vertical talus prenatally and identify the most common anomalies associated with this finding. MATERIALS AND METHODS: A retrospective review was performed of congenital vertical talus cases identified in our fetal center from 2006 to 2015. The prenatal US and MR imaging appearance of congenital vertical talus was evaluated and differentiation from congenital talipes equinovarus was assessed. Studies were evaluated for additional abnormalities affecting the central nervous system, face, limbs, viscera, growth and amniotic fluid. Imaging findings were recorded and correlated with outcomes when available. RESULTS: Twenty-four cases of congenital vertical talus were identified prenatally (gestational age: 19-36 weeks). All 24 had prenatal US and 21 also underwent fetal MRI on the same day. There were no isolated cases of congenital vertical talus in this series; all 24 had additional anomalies identified prenatally. Sixteen cases had bilateral congenital vertical talus (67%). Additional anomalies were identified in the brain (15), spine (11), face (6), abdominal wall (3), heart (8) and other limbs (12). Chromosomal abnormalities were identified in 6 of 20 patients who underwent genetic testing. Overall, US held some advantage in detecting the abnormality: in 10 cases, US depicted congenital vertical talus more clearly than MRI; in 8 cases, US and MRI were equal in detection and in 3 cases, MRI was superior. In 9/15 cases with intracranial abnormalities, MRI was superior to US in demonstrating structural anomalies. Outcomes included termination (11), intrauterine fetal demise (1), stillbirth or immediate neonatal demise (5), lost to follow-up (1), and 6 survivors with postnatal follow-up. CONCLUSION: In our series, there were no cases of isolated congenital vertical talus, with additional anomalies variably affecting multiple systems including the brain, spine, face, viscera and limbs. When congenital vertical talus is identified prenatally, a thorough search for additional anomalies is indicated. Fetal MRI can be a useful adjunct in confirming the diagnosis and further delineating additional anomalies, particularly in the brain and spine.</t>
  </si>
  <si>
    <t>Pediatr Radiol</t>
  </si>
  <si>
    <t>25720039</t>
  </si>
  <si>
    <t>First trimester severe ductus venosus flow abnormalities in isolation or combination with other markers of aneuploidy and fetal anomalies.</t>
  </si>
  <si>
    <t>BACKGROUND: Altered flow in ductus venosus (DV) may be caused by the changes in preload or afterload. Its association with aneuploidy and congenital heart defects (CHDs) was widely described. OBJECTIVES: The aim of this study was to examine the incidence of a reversed a-wave in DV flow (revDV) and the absence of DV (noDV), their coincidences with other markers of aneuploidy or fetal abnormalities in a mixed-risk population. METHODS: The study group covered women who underwent an ultrasound scan between 11+0 and 13+6 weeks' gestation. Applied inclusion criteria: Singleton pregnancies with known pregnancy outcome and a crown-rump length of 45-84 mm. RESULTS: A total of 5811 cases, including 137 aneuploidies, met the inclusion criteria: 35 subjects of noDV, 189 of revDV and 5587 of normal DV flow. The incidence of noDV in euploidy was 0.47%, and in aneuploidy 5.8%. The incidence of revDV in euploidy was 2.46%, and in aneuploidy 35.7%. Among aneuploidy, the highest prevalence of noDV was found in monosomy 45X. revDV showed the highest prevalence in trisomy 18. Isolated noDV was only found in euploidy. Isolated revDV subjects were only observed in euploidy and trisomy 21. Any combination of revDV with additional markers showed high incidence in major trisomies. Extracardiac anatomy and abnormal cardiac findings showed a higher prevalence in noDV and revDV cases. CONCLUSIONS: The presence of noDV might be useful in suspicion of monosomy X among cases with increased nuchal translucency, as well as in differentiating them from other aneuploidies. The combinations of aneuploidy markers with revDV are strong indicators of aneuploidy. revDV alone is a poor screening tool for aneuploidy and euploidy with CHD.</t>
  </si>
  <si>
    <t>26214050</t>
  </si>
  <si>
    <t>Anglim B</t>
  </si>
  <si>
    <t>The natural history of neural tube defects in the setting of an Irish tertiary referral foetal medicine unit.</t>
  </si>
  <si>
    <t>Neural tube defects (NTDs) carry a heavy burden for affected individuals and their family. Physical and neurological outcome measures may help in counselling couples. The aim of this audit was to review all cases of NTDs seen at a tertiary referral foetal medicine unit. Cases were identified from obstetric, neonatal and neurosurgical records. Thirty-six cases of NTDs were identified. Of the 36, 25% (n = 9, one trisomy 18) opted for termination of pregnancy abroad. Of the remaining 27, 19% (n = 5) died in the antepartum period. 81% (n = 22) were liveborn with four neonatal deaths (one trisomy 18). Of 15 cases, 14 had neurosurgical repair within a median time of 3 days and 9 of these also had a ventriculoperitoneal shunt inserted. Antenatal ultrasound accurately diagnosed lesion level in the majority of cases. The survival rate for babies diagnosed with non-lethal neural tubes defects is high when multidisciplinary care is initiated early.</t>
  </si>
  <si>
    <t>J Obstet Gynaecol</t>
  </si>
  <si>
    <t>26372104</t>
  </si>
  <si>
    <t>Mirza FG</t>
  </si>
  <si>
    <t>Echogenic intracardiac focus on second trimester ultrasound: prevalence and significance in a Middle Eastern population.</t>
  </si>
  <si>
    <t>OBJECTIVE: The association between echogenic intracardiac focus (EIF) and trisomy 21 is well established, with a recognized ethnic variation. Our study aimed to determine the prevalence of EIF in a Middle Eastern population and to examine its association with trisomy 21 and other adverse pregnancy outcomes. METHODS: Retrospective case-control study of second-trimester obstetric sonograms (16-28 weeks) performed at a tertiary care center over a 5-year period. Cases with EIF were retrieved, and a matched control group with no EIF was identified. The incidence of trisomy 21 and other adverse pregnancy outcomes was compared. RESULTS: A total of 9270 obstetric sonograms were examined, with an EIF prevalence of 2.5% (95% CI: 2.2-2.8%). Of patients with available outcome data, EIF was not associated with trisomy 21 (0/163 versus 1/163; p value = 1.00). Additionally, EIF was not associated with trisomy 18, trisomy 13, small for gestational age, preterm birth, fetal demise, cesarean delivery, operative vaginal delivery, or admission to the neonatal intensive care unit. CONCLUSION: In a contemporary Middle Eastern population, EIF is a rare occurrence. As an isolated finding, it is not associated with aneuploidy or other adverse pregnancy outcomes. EIF appears to be incidental with no impact on clinical practice.</t>
  </si>
  <si>
    <t>26519042</t>
  </si>
  <si>
    <t>Zani A</t>
  </si>
  <si>
    <t>Outcome of esophageal atresia/tracheoesophageal fistula in extremely low birth weight neonates (&lt;1000 grams).</t>
  </si>
  <si>
    <t>PURPOSE: To review the outcomes of extremely low birth weight (ELBW, &lt;1000 g) infants with esophageal atresia/tracheoesophageal fistula (EA/TEF). METHODS: Health records of ELBW EA/TEF infants treated at our institution from 2000 to 2014 were reviewed (REB1000046653). Demographics, operative approach and postoperative complications were analyzed. Data are reported as median (range). RESULTS: Of 268 EA/TEF infants, 8 (3 %, five females) were ELBW (930 g, 540-995). Gestational age was 28 weeks (23-32). Seven had type-C EA/TEF and one type B. OUTCOMES: One trisomy 18 infant received no treatment and died; one initially diagnosed as type A had primary repair at 126 days of life (DOL); six underwent TEF ligation (three trans-pleural) with primary repair in one and delayed anastomosis in two (DOL 120 and 178). The remaining three died (gastrostomy dehiscence and peritonitis, liver hemorrhage during peritoneal drain insertion, severe chronic lung disease and brain hemorrhages). At a median follow-up of 3 years (range 15 months-5 years), all survivors are thriving. CONCLUSION: ELBW infants with EA/TEF are rare and result in high morbidity and mortality. Mortality is mainly related to complications not associated with EA/TEF repair. Fistula ligation followed by delayed anastomosis seems to achieve a better outcome in ELBW infants.</t>
  </si>
  <si>
    <t>26739350</t>
  </si>
  <si>
    <t>Sananes N</t>
  </si>
  <si>
    <t>Two-year outcomes after diagnostic and therapeutic fetal cystoscopy for lower urinary tract obstruction.</t>
  </si>
  <si>
    <t>OBJECTIVES: Our objective is to report long-term outcome after fetal cystoscopy for lower urinary tract obstruction (LUTO), as well as to investigate the accuracy of fetal cystoscopy in diagnosing the cause of bladder outlet obstruction. METHODS: This is a retrospective cohort study of all fetuses who underwent cystoscopy for prenatal diagnosis of LUTO in three tertiary referral centers. Fetal diagnostic cystoscopy was performed to determine prenatally the cause of LUTO and to ablate the posterior urethral valves (PUV). RESULTS: A total of 50 fetal cystoscopies were performed, revealing PUV in 31 (62%) fetuses, urethral atresia (UA) in 14 (28%) fetuses, and urethral stenosis (US) in 5 (10%) fetuses. Two fetuses had trisomy 18 diagnosed after fetal cystoscopy and were excluded from the present analysis. Fetal cystoscopy was accurate in the diagnosis of the etiology of LUTO in 32/35 (91.4%). There were no survivors in the UA group. One fetus with US underwent urethral stenting and survived with normal renal function at 2 years of life. Among the infants with PUV, 17/30 (56.7%) infants survived, and 13/17 (76.5%) had normal renal function at 1 year of life; 15/28 (53.6%) infants survived, and 11/15 (73.3%) had normal renal function at 2 years. CONCLUSIONS: Fetal cystoscopy is accurate in the diagnosis of the etiology of LUTO and serves as a guide to the specific prenatal treatment. This procedure is associated with modest long-term survival (54%) but with adequate preserved normal renal function in two thirds of the infants among fetuses with PUV.</t>
  </si>
  <si>
    <t>26934494</t>
  </si>
  <si>
    <t>Scholl J</t>
  </si>
  <si>
    <t>First trimester cystic hygroma: does early detection matter?</t>
  </si>
  <si>
    <t>OBJECTIVE: To describe the association of abnormal outcomes with fetal cystic hygroma detected when crown-rump length measures less than 45 mm, and to compare them to outcomes among fetuses with cystic hygroma detected when crown-rump length measures 45-84 mm. METHODS: We performed a retrospective cohort study of fetuses with first trimester nuchal cystic hygroma from 2005 to 2015. RESULTS: A total of 212 fetuses were included. Abnormal karyotype was found in 20 of 46 (43.4%) fetuses with cystic hygroma detected when crown-rump length measured below 45 mm, compared to 108 of 148 (73%) fetuses with cystic hygroma detected at crown-rump lengths of 45-84 mm (p = 0.001). There were no differences in rates of major structural anomaly (27% vs 36%; p = 0.53) or pregnancy loss (23% vs 7%; p = 0.22) among fetuses with normal karyotype. Those with cystic hygroma diagnosed at crown-rump lengths below 45 mm were more likely to have a normal neonatal outcome compared to cases diagnosed with crown-rump lengths of 45-84 mm (25% vs 11%; p = 0.02). CONCLUSION: Cystic hygroma detected when crown-rump length measures below 45 mm have lower rates of chromosomal abnormalities and a higher proportion of normal birth outcomes when compared to those detected later in the first trimester. © 2016 John Wiley &amp; Sons, Ltd.</t>
  </si>
  <si>
    <t>25968321</t>
  </si>
  <si>
    <t>Nakamura M</t>
  </si>
  <si>
    <t>Repeated Measurement of Crown-Rump Length at 9 and 11-13 Weeks' Gestation: Association with Adverse Pregnancy Outcome.</t>
  </si>
  <si>
    <t>AIMS: To clarify whether ultrasonographic measurements of crown-rump length (CRL) at 11-13 weeks - based on the number of gestational days determined using the CRL at 9 weeks - can predict fetal prognosis. METHODS: A prospective cohort study was conducted to evaluate the association between fetal growth in the first trimester and fetal prognosis. Fetal growth in the first trimester was evaluated measuring CRLs at 11-13 weeks determined using the CRL at 9 weeks. The subjects were divided into short CRL (s-CRL) and normal CRL (n-CRL). The prognoses were compared between the two groups. RESULTS: A total of 126 patients in the s-CRL group and 1,130 patients in the n-CRL group were enrolled. Abortion occurred in 7.1% of s-CRL and 0.9% of n-CRL subjects (p &lt; 0.001). Among the patients with chromosomal abnormalities, the incidence of trisomy 18 was significantly greater in s-CRL (4.8 vs. 0.1%, p &lt; 0.001). Without abortion, placental weight, frequency of small for gestational age (SGA) and birth weight in s-CRL were significantly higher than those in the n-CRL group (12.8 vs. 3.6%, p &lt; 0.001). CONCLUSIONS: Measuring CRL at 9 weeks is useful for determining gestational days prior to measuring CRL at 11-13 weeks. After reconfirming the gestational age at 9 weeks, measuring CRL at 11-13 weeks is useful for predicting the incidence of trisomy 18 as well as SGA later in pregnancy.</t>
  </si>
  <si>
    <t>Fetal Diagn Ther</t>
  </si>
  <si>
    <t>24357398</t>
  </si>
  <si>
    <t>Mathiesen JM</t>
  </si>
  <si>
    <t>Outcome of fetuses with short femur length detected at second-trimester anomaly scan: a national survey.</t>
  </si>
  <si>
    <t>OBJECTIVE: To assess the relationship between the finding of fetal femur diaphysis length (FL) below the 5(th) percentile at the second-trimester scan and pregnancy outcome, in a population in which more than 90% of women attend first-trimester screening. METHODS: This was a retrospective study of all Danish singleton pregnancies with a 17-22-week anomaly scan between 1 January 2008 and 30 June 2011. Information on FL and gestational age (GA) at anomaly scan, on birth weight and GA at delivery and on chromosomal abnormalities was obtained from the Danish Fetal Medicine Database. RESULTS: Short FL was identified in 2718 (1.8%) of 147,766 fetuses and was present in 11 (16.2%) of the 68 fetuses affected by trisomy 21 (positive likelihood ratio (LR+) 8.8 (95% CI, 5.1-15.2)). Trisomy 13/18 and unbalanced autosomal structural abnormalities were also associated with a short FL in three (12.0%, LR+ 6.5 (95% CI, 2.3-18.9)) and eight (32.0%, LR+ 17.4 (95% CI, 9.8-30.9)) of the cases, respectively. The risk of a fetus having trisomy 21, trisomy 18, trisomy 13 or an unbalanced autosomal structural abnormality was 1 : 123 (95% CI, 79-192), given a short FL. Pregnancies with a fetus with short FL were more often affected by early preterm delivery (before 34 weeks) (5.6%; odds ratio (OR) = 4.2 (95% CI, 3.5-4.9)) and small-for-gestational-age (SGA) infants (13.9%; OR = 4.3 (95% CI, 3.8-4.8)). CONCLUSION: Short FL at the second-trimester anomaly scan is associated with a significantly higher relative risk of chromosomal abnormalities, and a substantially higher absolute risk for SGA and early preterm delivery.</t>
  </si>
  <si>
    <t>25178262</t>
  </si>
  <si>
    <t>Birth prevalence and survival of exomphalos in england and wales: 2005 to 2011.</t>
  </si>
  <si>
    <t>BACKGROUND: Exomphalos occurs in 2.2 per 10,000 births with 76% of these babies surviving to discharge. The aim of this study was to determine the birth prevalence and survival of babies with this anomaly in England and Wales. METHODS: Six BINOCAR regional congenital anomaly registers in England and Wales (covering 36% of births) between 2005 and 2011 provided cases for this study. Cases included live births, stillbirths (24+ weeks' gestation), late miscarriages (20-23 weeks' gestation), and terminations of pregnancy with fetal anomaly. RESULTS: The overall birth prevalence was 3.8 (95% confidence interval [CI]: 3.6-4.0) per 10,000 births; 1.4 (1.2-1.6) for isolated cases, 1.2 (1.1-1.4) for cases with multiple anomalies, and 1.2 (1.1-1.4) for cases with chromosomal anomalies. The live birth prevalence was 0.8 (0.7-0.9), 0.5 (0.4-0.6), and 0.1 (0.0-0.1) per 10,000 live births, respectively. Edwards syndrome, congenital heart defects, and nervous system anomalies were the most common anomalies associated with exomphalos. A prenatal diagnosis was made in 83% of isolated, 95% of multiple, and 99% of chromosomal cases. Fifty-five percent of isolated and multiple cases were live born, whereas 85% of cases with chromosomal anomalies resulted in a termination of pregnancy with fetal anomaly. The 1-year survival of live born babies with an isolated exomphalos was 92% compared with 81% in cases with multiple anomalies and 27% in cases with chromosomal anomalies (p &lt; 0.001). CONCLUSION: We report a higher birth prevalence than has previously been reported. The proportion of infants surviving with exomphalos remained unchanged over the time period.</t>
  </si>
  <si>
    <t>26176034</t>
  </si>
  <si>
    <t>Yada K</t>
  </si>
  <si>
    <t>The Role Of Surgical Treatment In The Multidisciplinary Therapy For Hepatoblastoma.</t>
  </si>
  <si>
    <t>BACKGROUND/AIMS: The aim of this study was to evaluate the clinico-patholigical features and effects of multi-disciplinary therapy for pediatric patients with hepatoblastoma (HB). METHODOLOGY: Ten cases who underwent hepatectomy from 1996 to 2013 were studied. Our therapeutic protocol included neoadjuvant chemotherapy (NAC) + hepatectomy + adjuvant chemotherapy (AC). The regimens were CDDP+THP-ADR (n = 2), CITA (n = 1), PLADO (n = 5), and CDDP(n = 1). One case with 18-trisomy underwent only hepatectomy. Medical records were reviewed to evaluate characteristics, the effects of chemotherapy and prognosis. RESULTS: The median age at operation was 1.2 years (male: 7 and female: 3). PRETEXT classification was assigned to groups I (n = 2), II (n = 4), and III (n = 4). 15 years overall survival and disease-free survival rates were 100% and 80%, respectively. Two cases, who had post-operative lung metastasis, underwent chemotherapy with or without complete resection of lung tumors. No further recurrence was observed in these two cases. One case with 18 trisomy underwent right hepatectomy for PRETEXT II HB and is still doing well 67 months after hepatectomy. CONCLUSIONS: It was found that multidisciplinary therapy based on surgery, including complete resections of recurrent lesions, offers long-term survival, even for cases which develop recurrent metastatic tumors or cases complicated with 18 trisomy.</t>
  </si>
  <si>
    <t>Hepatogastroenterology</t>
  </si>
  <si>
    <t>22277886</t>
  </si>
  <si>
    <t>Alamillo CM</t>
  </si>
  <si>
    <t>Increased nuchal translucency in the presence of normal chromosomes: what's next?</t>
  </si>
  <si>
    <t>PURPOSE OF REVIEW: First trimester screening is presently offered to all pregnant women as a means of prenatal screening for Down syndrome, trisomy 18, and trisomy 13. Nuchal translucency measurement is a fundamental component of the screening protocol. A woman whose fetus' nuchal translucency is greater than the 95th percentile is also at increased risk for a multiplicity of other adverse pregnancy and pediatric outcomes, and as a consequence, counseling of patients about their testing options and range of pregnancy outcomes has become complex and difficult. RECENT FINDINGS: The increased risk for chromosome abnormalities, congenital heart malformations, and pregnancy loss in the presence of an increased nuchal translucency is well documented. What has not been clearly defined is the incidence of other genetic syndromes, congenital defects, and adverse pregnancy and pediatric outcomes in the presence of increased nuchal translucency. Currently, Noonan syndrome is the only molecular genetic condition that has been shown to have a clear association with the finding of increased nuchal translucency in the first trimester. SUMMARY: This article reviews the current literature on outcomes in pregnancies with an increased nuchal translucency and a normal karyotype. We summarize the range of outcomes detected in the first trimester with recommendations for further prenatal testing and counseling of patients.</t>
  </si>
  <si>
    <t>23250856</t>
  </si>
  <si>
    <t>Axt-Fliedner R</t>
  </si>
  <si>
    <t>Fetal diagnosis of hypoplastic left heart, associations and outcomes in the current era.</t>
  </si>
  <si>
    <t>PURPOSE: Hypoplastic left heart (HLH) is one of the most common forms of cardiac abnormality detectable during gestation by fetal echocardiography. Antenatal diagnosis allows for appropriate counseling and time to consider treatment options. We report the actual outcome data after fetal diagnosis of HLH. MATERIALS AND METHODS: Retrospective analysis of the outcome in all cases with HLH from 1994 - 2011 presenting in fetal life at two tertiary referral centers for prenatal diagnosis and pediatric cardiology. RESULTS: 105 cases were included and the overall survival is 40.9 % (43/105) after prenatal diagnosis. There was an 81.1 % survival rate in infants undergoing surgery and a 64.1 % survival rate from an intention-to-treat position. Two neonates died due to tamponade and cardiac arrest following balloon septostomy and one neonate from sepsis before surgery. Extracardiac anomalies occurred in three fetuses, and karyotype anomalies in seven fetuses (18.9 %). In 4 of 5 babies born with additional extracradiac or karyotype anomalies, parents opted for compassionate care. The first had trisomy 13, the second had trisomy 18, the third neonate presented with spina bifida, and the fourth presented with hydronephrosis and pulmonary atresia. Termination of pregnancy took place in 17 cases (16.1 %). CONCLUSION: Thorough antenatal evaluation should include karyotyping, detailed extracardiac and intracardiac assessment to accurately predict the risks of surgery. Prenatal counseling might be modified after the exclusion of additional anomalies. These data provide up-to-date information for parental counseling.</t>
  </si>
  <si>
    <t>Ultraschall Med</t>
  </si>
  <si>
    <t>20922779</t>
  </si>
  <si>
    <t>Bilardo CM</t>
  </si>
  <si>
    <t>Low-resistance hepatic artery flow in first-trimester fetuses: an ominous sign.</t>
  </si>
  <si>
    <t>OBJECTIVE: Low-resistance hepatic artery (HA) flow has been reported in severely growth-restricted fetuses. The same finding has been incidentally observed in first-trimester fetuses with enlarged nuchal translucency (NT). The aim of this study was to investigate HA flow in first-trimester fetuses. METHODS: Crown-rump length (CRL), NT, ductus venosus (DV) pulsatility index for veins (PIV) and HA pulsatility index (PI) were measured prospectively in fetuses at increased risk on first-trimester assessment for aneuploidy and in a control group of low-risk fetuses. Outcome of pregnancy was known in all cases. Independent sample t-test was used for intergroup comparison. RESULTS: NT, DV-PIV and HA-PI were measured prospectively in 59 fetuses. Thirty-four had an enlarged NT and underwent karyotyping, which was abnormal in 16 cases (trisomy 21, n = 12; trisomy 18, n = 3; 47,XXY, n = 1). Two pregnancies were terminated in view of fetal anomalies. In three other infants an abnormality was confirmed after birth (Noonan syndrome, unspecified genetic syndrome and cardiac defect). The remaining 13 fetuses with enlarged NT and the 25 with normal NT had an uneventful pregnancy outcome. HA-PI was significantly and inversely correlated with NT and DV-PIV. Mean HA-PI was significantly lower in fetuses with adverse outcome (chromosomal anomalies 1.60; chromosomally normal fetuses with adverse outcome 1.66) than in controls (2.03). CONCLUSIONS: Low-resistance HA flow can be observed in first-trimester fetuses and, based on its association with adverse outcome, it can be regarded as an ominous sign.</t>
  </si>
  <si>
    <t>21234973</t>
  </si>
  <si>
    <t>Edlow AG</t>
  </si>
  <si>
    <t>Monochorionic diamniotic twin gestations discordant for markedly enlarged nuchal translucency.</t>
  </si>
  <si>
    <t>OBJECTIVE: To assess karyotypes and outcomes of monochorionic diamniotic (MCDA) twin pregnancies discordant for markedly enlarged nuchal translucency (NT) in the first trimester. METHOD: Brigham and Women's Hospital's ultrasound database was queried to identify all MCDA gestations in which one twin had NT ≥ 3.5 mm and the co-twin had normal NT. Cytogenetic results, ultrasound findings, and pregnancy outcomes were reviewed. RESULTS: Of 162 MCDA twin pairs, 11 were discordant for NT ≥ 3.5. Chromosomal abnormalities were present in three cases: one twin pair was concordant for trisomy 18; one pair discordant for mosaic trisomy 2; and one pair discordant for confined placental mosaicism (CPM) (high frequency tetraploidy). Adverse outcomes for twins with euploid or unknown karyotypes included twin reverse arterial perfusion (TRAP) sequence, growth discordance, and esophageal atresia with tracheoesophageal fistula. CONCLUSION: Postfertilization nondisjunction leading to mosaicism in one fetus, discordant phenotypes yet concordant karyotypes, and discordance for CPM were documented phenomena, supporting karyotyping of both twins. In this case series, discordant NT was a marker for chromosome abnormalities, as well as for complications specific to monochorionic gestations, including TRAP sequence, amniotic fluid discordance, and structural anomalies. Nonetheless, normal fetal anatomy and karyotype were the most common outcomes.</t>
  </si>
  <si>
    <t>21705735</t>
  </si>
  <si>
    <t>Rice KJ</t>
  </si>
  <si>
    <t>Diagnosis of fetal limb abnormalities before 15 weeks: cause for concern.</t>
  </si>
  <si>
    <t>OBJECTIVES: The purposes of this study were (1) to identify cases of limb abnormalities identified before 15 weeks and correlate with outcomes and (2) to assess first-trimester nuchal translucency examinations to determine how frequently the upper and lower limbs were identified. METHODS: A retrospective review was conducted of sonographic studies up to 15 weeks' gestational age from 2003 to 2010 at our high-risk fetal center. Data were collected regarding fetal gestational age, limb abnormalities, associated anatomic abnormalities, pregnancy outcomes, karyotypes, autopsy results, and the utility of transabdominal sonography, transvaginal sonography, and 3-dimensional sonography. A retrospective analysis of 100 consecutive first-trimester examinations was also conducted to assess the sensitivity of transabdominal sonography in visualization of limb buds. RESULTS: A total of 15 cases were identified with a mean gestational age of 12 weeks 6 days. Club hand was the most common abnormality seen (8 cases), followed by absence of long bones (5 cases), a missing limb (5 cases), club foot (5 cases), shortening of long bones (2 cases), abnormal hands (2 cases), clenched hands (2 cases), and overlapping digits (1 case). Trisomy 18 was present in 9 cases. Transabdominal sonography allowed for detection of all limb buds in 100 consecutive nuchal translucency examinations and 9 of 15 cases of limb abnormalities. Four of the cases resulted in fetal death, and the remaining 11 cases were terminated. CONCLUSIONS: Fetal limb abnormalities can be detected on sonography before 15 weeks' gestational age and are often associated with serious congenital conditions, especially trisomy 18. Transabdominal sonography alone can show most of these abnormalities, although transvaginal and 3-dimensional sonography can provide additional information. Targeted evaluation of fetal limbs during sonography before 15 weeks should be considered in high-risk populations.</t>
  </si>
  <si>
    <t>21709401</t>
  </si>
  <si>
    <t>Ozawa K</t>
  </si>
  <si>
    <t>Congenital omphalocele and polyhydramnios: a study of 52 cases.</t>
  </si>
  <si>
    <t>INTRODUCTION: Unlike gastroschisis, congenital omphalocele is often associated with other anomalies and is frequently complicated by polyhydramnios. We examined the relationships between polyhydramnios, pregnancy outcome and fetal prognosis. PATIENTS AND METHODS: Clinical data from cases diagnosed antenatally with congenital omphalocele from 1993 to 2006 were analyzed retrospectively. RESULTS: Fifty-two cases were diagnosed antenatally with congenital omphalocele, and 38 of these pregnancies resulted in delivered infants. Of these 38 pregnancies, 55.3% were preterm births before 37 weeks of gestation. The mean birth weight was 2,148 g (n = 38). Associated anomalies were recognized in 29 cases (76.3%), including 13 cases (34.2%) of chromosomal aberrations. There were 2 cases of trisomy 13, 10 cases of trisomy 18 and 1 case of trisomy 21. Polyhydramnios was detected in 14 cases (36.8%), and other anomalies were present in all of these cases. DISCUSSION: For antenatal evaluation in cases of congenital omphalocele, it is important to examine the fetus for associated anomalies or underlying disease, especially when polyhydramnios is detected.</t>
  </si>
  <si>
    <t>20549772</t>
  </si>
  <si>
    <t>Dagklis T</t>
  </si>
  <si>
    <t>Isolated single umbilical artery and fetal karyotype.</t>
  </si>
  <si>
    <t>OBJECTIVE: To determine the need for fetal karyotyping in cases of an isolated single umbilical artery (SUA) identified during the second-trimester routine anomaly scan. METHODS: All patients booked for antenatal care and delivery in our hospital are offered two ultrasound scans in pregnancy, one at 11-13 weeks' gestation as part of screening for chromosomal defects and another at 20-23 weeks for detailed fetal examination. In addition we examine patients referred from other hospitals because of suspected fetal abnormalities during their routine second-trimester scan. We performed a search of the database to retrieve all cases with an SUA and reviewed the ultrasound findings, fetal karyotype and pregnancy outcome. RESULTS: There were 643 cases with SUA, including 424 (65.9%) where the condition was isolated, 133 (20.7%) with one major fetal defect and 86 (13.4%) with multiple defects. The incidence of chromosomal abnormalities was 0% in the isolated SUA group, 3.7% in those with one defect and 50.7% in those with multiple defects. The commonest chromosomal abnormalities were trisomy 18, trisomy 13 and triploidy, which together accounted for 82.9% of cases. CONCLUSION: The finding of an SUA should prompt the sonographer to search for fetal defects and if these are found the risk for chromosomal abnormalities is increased. In cases of apparently isolated SUA there is no evidence of increased risk of chromosomal abnormalities.</t>
  </si>
  <si>
    <t>19688956</t>
  </si>
  <si>
    <t>Dane B</t>
  </si>
  <si>
    <t>Fetuses with single umbilical artery: analysis of 45 cases.</t>
  </si>
  <si>
    <t>OBJECTIVE: The aim of this study was to analyze cases and determine the clinical significance of a prenatally detected single umbilical artery (SUA) in our population. MATERIALS AND METHODS: All second and third trimester sonographic examinations carried out between January 2004 and September 2007 in our perinatology unit were reviewed. The postnatal results of the fetuses with SUA were obtained from the medical records and the patients. RESULTS: From a total of 5,620 pregnant patients who were examined by ultrasound (US) scan between 15-36 weeks, a single umbilical artery was found in 45 cases, representing an incidence of 0.8%. Of these, 20 (45%) also presented with other malformations. There were six neonatal deaths, one fetal demise, and six terminations of pregnancy due to severe malformations in this group. Three cases with associated anomalies underwent surgery and one case required intensive care in the neonatal period. The only cytogenetic abnormality was trisomy 18 in one case. Six of 45 fetuses (13%) with single umbilical arteries had abnormal echocardiographic findings. In two of the fetuses associated anomalies (cleft palate and esophageal atresia) were detected after birth. In pregnancies without associated anomalies no aneuploidy was found and they were completely normal at birth and during the neonatal period. CONCLUSIONS: Scanning the umbilical cord is one of the essential parts of US examination. As the rate of cardiac malformations seen with single umbilical arteries is high, fetal echocardiography should be performed in suspected cases. The newborn should be reexamined immediately after birth due to the possibility of undetected anomalies.</t>
  </si>
  <si>
    <t>Clin Exp Obstet Gynecol</t>
  </si>
  <si>
    <t>19697393</t>
  </si>
  <si>
    <t>Gabrielli S</t>
  </si>
  <si>
    <t>Bilateral cleft lip and palate without premaxillary protrusion is associated with lethal aneuploidies.</t>
  </si>
  <si>
    <t>OBJECTIVE: To investigate the clinical implications of two categories of fetal bilateral cleft lip and palate (BCLP): with premaxillary protrusion and with a flattened profile. METHODS: This was a retrospective study of fetuses with a prenatal diagnosis of BCLP at the Department of Obstetrics and Gynecology of the University of Bologna in the period 1991-2005. RESULTS: BCLP was diagnosed prenatally in 14 cases (mean gestational age at diagnosis, 21 (range, 12-36) weeks). In nine of these, there was a premaxillary pseudomass; in the remaining five, the profile was flat. Associated structural and/or chromosomal anomalies were found in two of the nine with a premaxillary pseudomass and in all five of those with a flat profile (P = 0.02). All fetuses with a flat profile had aneuploidies (three trisomy 18, one trisomy 13, one trisomy 8 mosaic), as did one of the nine with a premaxillary pseudomass. Eight of the pregnancies were terminated, including three of those with a premaxillary pseudomass and all five of those without. All continuing pregnancies resulted in live births, although one neonate affected by Krabbe's disease died shortly after birth. CONCLUSIONS: Our findings suggest that a third of cases of BCLP diagnosed in utero have a flat profile and these are at high risk of lethal aneuploidies.</t>
  </si>
  <si>
    <t>18302317</t>
  </si>
  <si>
    <t>Houben CH</t>
  </si>
  <si>
    <t>Current status of prenatal diagnosis, operative management and outcome of esophageal atresia/tracheo-esophageal fistula.</t>
  </si>
  <si>
    <t>Ultrasonographic features suggestive of esophageal atresia with or without tracheo-esophageal fistula (EA/TEF) are only in a small minority of fetuses with EA/TEF (&lt;10%) identifiable on prenatal scans.The prenatal diagnosis of EA/TEF relies in principle, on two nonspecific signs: polyhydramnios and absent or small stomach bubble. Polyhydramnios is associated with a wide range of fetal abnormalities, but most commonly it pursues a benign course. Similarly the sonographic absence of a stomach bubble may point to a variety of fetal anomalies.The combination of polyhydramnios and absent stomach bubble in two small series offers a modest positive predictive value of 44 and 56% respectively. Prenatal scanning for EA/TEF identifies a larger proportion of fetuses with Edwards syndrome; there is also a higher proportion of isolated EA in comparison to postnatal studies.Current ultrasound technology does not allow for a definite diagnosis of EA/TEF and therefore, counseling of parents should be guarded.Postnatal diagnosis of EA is confirmed by the failure to pass a firm nasogastric tube into the stomach; on chest X-ray, the tube is seen curling in the upper esophageal pouch. Corrective surgery for EA/TEF is well established and survival rates of over 90% can be expected.</t>
  </si>
  <si>
    <t>18427812</t>
  </si>
  <si>
    <t>Mullassery D</t>
  </si>
  <si>
    <t>Oesophageal atresia with cleft lip and palate: a marker for associated lethal anomalies?</t>
  </si>
  <si>
    <t>An adverse association between oesophageal atresia (OA) and cleft lip-palate (3% incidence) has been reported. The present study analyses outcomes of this rare association at a UK paediatric surgical centre. Hospital charts of newborns diagnosed with OA were reviewed. Demographics, associated anomalies and prognostic classification (after Spitz 1994) were recorded. Mortality rates and causes of death were examined in OA babies with cleft lip-palate. Of 152 patients treated for OA, five babies (3%) had cleft lip-palate. All of these newborns had common variant OA-TEF and were Spitz group II category. Deaths occurred in 3 of 5 patients (60%) in the OA-cleft group compared to only 8 of 147 patients (5%) without clefts (p &lt; 0.005; Fisher's exact test). OA-cleft non-survivors succumbed to tetralogy of Fallot (n = 2) and trisomy 18 (n = 1; treatment withdrawn). Both survivors with cleft lip-palate had features of the VACTERL sequence: one baby also had Goldenhaar syndrome, the other aortic coarctation. These children now attend mainstream school. Although high-quality survival is possible in OA with cleft lip-palate, this rare phenotype is associated with a substantially decreased survival. Rather than causing death directly, the combination of OA and cleft lip-palate appears to be a marker for further lethal anomalies.</t>
  </si>
  <si>
    <t>17286308</t>
  </si>
  <si>
    <t>Craig WY</t>
  </si>
  <si>
    <t>Major fetal abnormalities associated with positive screening tests for Smith-Lemli-Opitz syndrome (SLOS).</t>
  </si>
  <si>
    <t>OBJECTIVE: Determine the relationship between positive screening interpretations for Smith-Lemli-Opitz syndrome (SLOS) and other fetal abnormalities, to aid counseling and diagnostic activities. METHODS: An SLOS screening algorithm was incorporated into California's second-trimester screening program for Down syndrome and open neural tube defects (ONTDs). Between 2002 and 2004, 777 088 pregnant women were given an SLOS risk interpretation, using alpha-fetoprotein (AFP), unconjugated estriol (uE3), and human chorionic gonadotrophin (hCG) measurements. Outcomes were obtained in 98.8% of screen-positive pregnancies. RESULTS: SLOS screen positives, alone or in combination with screen positives for other fetal disorders (Down syndrome, trisomy 18, ONTD), were associated with a high risk for fetal pathology. Type and frequency of chromosomal or anatomic abnormalities (or fetal death) varied according to screen-positive combination. Among 2018 screen-positive pregnancies, 644 fetal deaths were identified. Among the 1374 viable pregnancies, 519 were screen positive for SLOS alone; two SLOS cases and 51 other serious abnormalities were identified (14 aneuploidies; 37 anatomic). The remaining 855 were also screen positive for at least one other disorder; two SLOS cases and 327 other abnormalities were identified (180 aneuploidies; 157 anatomic). CONCLUSION: For screening programs implementing the SLOS algorithm, the present data may be useful for counseling and to guide diagnostic studies.</t>
  </si>
  <si>
    <t>Evaluation Study; Journal Article; Research Support, N.I.H., Extramural</t>
  </si>
  <si>
    <t>17168984</t>
  </si>
  <si>
    <t>Sugito K</t>
  </si>
  <si>
    <t>Study of 24 cases with congenital esophageal atresia: what are the risk factors?</t>
  </si>
  <si>
    <t>BACKGROUND: Recovery from esophageal atresia (EA) and tracheoesophageal fistula (TEF) has improved markedly over the years. But postoperative complications, however, have remained. This study evaluates recovery, preoperative, and postoperative status of patients with EA/TEF. METHODS: A retrospective study review was undertaken in 24 patients with EA/TEF after primary anastomosis (January 1975 through September 2003). RESULTS: There were no patients who had major cardiac anomalies or trisomy 18. In total, 17 of 24 (70.8%, group A) patients have survived and seven (29.2%, group B) have died. Birthweight and Apgar Scores in group A were significantly higher than in group B. The ratio of GAP (the distance of the location of the blind pouch from the ends of the upper and lower esophagus) to body length in group B was significantly higher than in group A. The birthweight and Apgar Scores in group A were significantly higher than in group B. When the authors compared their sample of cases by means of the Waterston classification, the Montreal classification and the Spitz classification, there were statistically significant differences between the results using the Waterston classification and the results using to the Spitz classification. CONCLUSION: For the cases of EA surgery that were examined, the authors concluded that bodyweight at birth and the existence of pre-surgery respiratory system complications have a significant effect on post-surgery recovery, and that results appear to indicate the importance of classification using the Waterston classification and Spitz classification as a means of assessing the degree of risk. Results also appeared to indicate that the control of Respiratory Distress Syndrome throughout both the pre-surgery and post-surgery periods is critical.</t>
  </si>
  <si>
    <t>Pediatr Int</t>
  </si>
  <si>
    <t>15596271</t>
  </si>
  <si>
    <t>Tanriverdi HA</t>
  </si>
  <si>
    <t>Outcome of cystic hygroma in fetuses with normal karyotypes depends on associated findings.</t>
  </si>
  <si>
    <t>OBJECTIVE: To determine the associated diagnostic findings which are linked with adverse fetal outcome in nuchal cystic hygroma. STUDY DESIGN: Based on a series of 32 cases, we determined the sonographic morphology of the hygroma, associated structural anomalies, karyotypes and autopsy findings. Intrauterine fetal death, spontaneous abortion and abnormal karyotypes were assigned as adverse outcome parameters. RESULTS: The mean gestational age at diagnosis was 14.4 weeks (range 10-21). There were 18 nonseptated and 14 septated hygromas. Besides hygroma, associated sonographic detectable structural anomalies were observed in 17 cases (53.1%). The greatest number of associated sonographic anomalies were hydrops (31.3%), generalised skin oedema (6.3%) and pterygium colli (6.3%). Cytogenetic analysis revealed an abnormal karyotype in 13 of 26 (50%) invasive procedures. Turner syndrome and Trisomy 18 (both 15.4%) were the most frequent cytogenetic abnormalities. Autopsy was performed in 24 cases and 16 cases (66.7%) had an associated autopsy finding to hygroma colli. The most frequent associated autopsy findings were limb and craniofacial anomalies (both 25%). Only 3 (9.4%) mothers gave birth to healthy newborns. The overall fetal adverse outcome rate was 68.8% (22 cases). CONCLUSIONS: Fetuses with NCH are at high risk for adverse outcome and detailed prenatal diagnosis including invasive procedures should be offered. According to the presented autopsy findings, to determine fetal outcome in NCH cases with normal karyotypes, detailed sonography should be concentrated beside the exclusion of fetal heart defects and existence of hydrops fetalis, on the skeletal, urogenital and craniofacial anomalies, as these might cause severe morbidity.</t>
  </si>
  <si>
    <t>15662669</t>
  </si>
  <si>
    <t>Cromi A</t>
  </si>
  <si>
    <t>Sonographic atypical vascular coiling of the umbilical cord.</t>
  </si>
  <si>
    <t>OBJECTIVE: To investigate whether an atypical umbilical coiling pattern at prenatal sonography is associated with adverse pregnancy outcome. METHODS: A targeted sonographic evaluation of the umbilical cord (UC) was performed in 758 women with singleton gestation, and gestational age above 20 weeks. Atypical coiling was defined as the presence of a spring-shape UC (supercoiling) or an unusual, aperiodic coiling pattern (uncoordinated coiling). Umbilical artery Doppler assessment was conducted in cases with atypical coiling. Pregnancy and neonatal outcomes were investigated. RESULTS: Of the study population, 7 and 16 fetuses had an umbilical cord with uncoordinated coiling and supercoiling respectively. Three umbilical cords had a single umbilical artery. Eight patients delivered before 34 weeks of gestation. Eight fetuses were growth restricted. In seven cases, abnormal sonographic findings were detected (three meconium peritonitis, two severe hydronephrosis and two cardiac anomalies). One fetus affected by trisomy 18 presented multiple anomalies. Perinatal death occurred in three cases. Of the surviving newborns, eight were admitted to NICU. Umbilical artery Doppler waveforms presented a systolic notch in seven (30.4%) cases. CONCLUSIONS: The presence of an atypical umbilical cord vascular coiling is associated with an increased risk of unfavourable pregnancy outcome. The identification of an umbilical artery notch at Doppler investigation is frequently associated with an atypical UC coiling pattern.</t>
  </si>
  <si>
    <t>16055577</t>
  </si>
  <si>
    <t>Malone FD</t>
  </si>
  <si>
    <t>First-trimester septated cystic hygroma: prevalence, natural history, and pediatric outcome.</t>
  </si>
  <si>
    <t>OBJECTIVE: To estimate prevalence, natural history, and outcome of septated cystic hygroma in the first trimester in the general obstetric population, and to differentiate this finding from simple increased nuchal translucency. METHODS: Patients at 10.3-13.6 weeks of gestation underwent nuchal translucency sonography as part of a multicenter clinical trial. Septated cystic hygroma cases were offered chorionic villi sampling for karyotype, and targeted fetal anatomical and cardiac evaluations. Survivors were followed up for fetal and long-term pediatric outcome (median 25 months, range 12-50 months). Cases of septated cystic hygroma were also compared with cases of simple increased nuchal translucency. RESULTS: There were 134 cases of cystic hygroma (2 lost to follow-up) among 38,167 screened patients (1 in 285). Chromosomal abnormalities were diagnosed in 67 (51%), including 25 trisomy-21, 19 Turner syndrome, 13 trisomy-18, and 10 others. Major structural fetal malformations (primarily cardiac and skeletal) were diagnosed in 22 of the remaining 65 cases (34%). There were 5 cases (8%) of fetal death and 15 cases of elective pregnancy termination without evidence of abnormality. One of 23 (4%) normal survivors was diagnosed with cerebral palsy and developmental delay. Overall, survival with normal pediatric outcome was confirmed in 17% of cases (22 of 132). Compared with simple increased nuchal translucency, cystic hygroma has 5-fold, 12-fold, and 6-fold increased risk of aneuploidy, cardiac malformation, and perinatal death, respectively. CONCLUSION: First-trimester cystic hygroma was a frequent finding in a general obstetric screening program. It has the strongest prenatal association with aneuploidy described to date, with significantly worse outcome compared with simple increased nuchal translucency. Most pregnancies with normal evaluation at the completion of the second trimester resulted in a healthy infant with a normal pediatric outcome.</t>
  </si>
  <si>
    <t>Journal Article; Multicenter Study; Research Support, N.I.H., Extramural; Research Support, U.S. Gov't, P.H.S.</t>
  </si>
  <si>
    <t>16123179</t>
  </si>
  <si>
    <t>Allen RH</t>
  </si>
  <si>
    <t>Pregnancy outcome of fetuses with a diagnosis of hypoplastic left ventricle on prenatal sonography.</t>
  </si>
  <si>
    <t>OBJECTIVE: The goal of our study was to assess the pregnancy outcome of fetuses with a diagnosis of hypoplastic left heart syndrome (HLHS) on prenatal sonography to determine the frequency of intrauterine fetal demise (IUFD) and any factors associated with IUFD. METHODS: We reviewed all cases with the diagnosis of HLHS on prenatal sonography at our institution from 1992 through 2003. Data collected included gestational age at diagnosis, sonographic findings, karyotype testing, and pregnancy outcome. RESULTS: Our study included 176 fetuses with HLHS. One hundred thirty-four fetuses were liveborn; 32 pregnancies were terminated; 3 IUFDs occurred; and outcome was unknown in 7. Of the 134 liveborn fetuses, 2 had abnormal karyotypes and 30 had other anomalies. Two of the 3 fetuses with IUFD had abnormal karyotypes, 1 with trisomy 13 and 1 with trisomy 18, and both had other anomalies on sonography. The third fetus with IUFD had no other anomalies but was 1 of triplets, and the karyotype was unknown. CONCLUSIONS: Fetuses with HLHS diagnosed prenatally who have normal chromosomes are unlikely to die in utero.</t>
  </si>
  <si>
    <t>16145648</t>
  </si>
  <si>
    <t>Salomon LJ</t>
  </si>
  <si>
    <t>Growth discrepancy in twins in the first trimester of pregnancy.</t>
  </si>
  <si>
    <t>OBJECTIVE: The prevalence and significance of intertwin growth discrepancy in the first trimester of pregnancy are controversial. The aim of this study was to refine the incidence and outcome of this discrepancy in relation to dating of the pregnancy and other biometric parameters. METHODS: This prospective study of twin pregnancies initially evaluated at 11-14 weeks' gestation was conducted between 2001 and 2004. Differences in crown-rump length (CRL) and estimated gestational age (GA) were calculated for each twin pair and their distribution was analyzed according to chorionicity and mode of conception (spontaneous or following assisted reproductive technologies). CRL-based GA and actual GA were compared. Other biometric parameters were also compared for each twin pair. The distribution of discrepancies was analyzed according to pregnancy outcome. RESULTS: A total of 182 twin pregnancies was included. The mean+/-SD discrepancy in CRL was 3.4+/-3.18 mm or 5.1+/-4.69% and the 95th centile was 9.8 mm or 14.3%. There was no influence of chorionicity (P=0.44), mode of conception (P=0.18) and no relation with outcome (P=0.54). In conceptions resulting from assisted technology, the measured CRL of the smaller twin was closer to the actual GA. Cephalic and abdominal biometric measurements were significantly greater in the twin with the smaller CRL (P&lt;0.05). The two cases with a discrepancy&gt;15 mm were affected by trisomy 18 and triploidy, respectively. CONCLUSIONS: CRL discrepancy in twin pregnancies in the first trimester is a frequent finding. Discrepancy&gt;95th centile indicates major growth delay of one twin, which could indicate the presence of aneuploidy. For milder degrees of discordance the CRL of the smaller fetus is a more accurate estimate of the actual GA.</t>
  </si>
  <si>
    <t>16184512</t>
  </si>
  <si>
    <t>Brantberg A</t>
  </si>
  <si>
    <t>Characteristics and outcome of 90 cases of fetal omphalocele.</t>
  </si>
  <si>
    <t>OBJECTIVE: The aim of this study was to describe the outcome of a case series of fetuses with omphalocele. METHODS: Ninety fetuses with omphalocele at the National Center for Fetal Medicine (NCFM) between January 1985 and January 2004 were followed from the time of prenatal diagnosis. Follow-up times ranged from 6 months to 17 years. Omphaloceles were subdivided into epigastric, central and hypogastric types based on their location on the abdominal wall. RESULTS: There were 58 central and 32 epigastric omphaloceles. Abnormal karyotype was found in 40/58 (69%) of the central and in 4/32 (12.5%) of the epigastric omphaloceles. Trisomy 18 was the most frequent abnormality associated with omphalocele. Among the fetuses with normal karyotype, 89% of the central and 71% of the epigastric cases had other anomalies. 38 (66%) of the fetuses with central omphalocele were terminated and 12 (21%) died during pregnancy or after delivery. 11 (34%) of the fetuses with epigastric omphalocele were terminated and eight (25%) died during pregnancy or after delivery. Of the 90 cases followed from the time of diagnosis there were 21 (23%) survivals. Of eight survivals with central omphalocele, only two were considered healthy while six had other anomalies and/or substantially impaired development. Of 13 survivals with epigastric omphalocele, six were considered healthy and seven had other anomalies and/or substantial impairment. CONCLUSIONS: Fetal central and epigastric omphaloceles may be different entities: central omphaloceles are more strongly associated with abnormal karyotype (69%) than are epigastric omphaloceles (12.5%). The outcome of fetuses with omphalocele is poor irrespective of the type of omphalocele, with only eight of the 90 (9%) being alive and healthy at present. The results emphasize the importance of identifying both those fetuses with a potentially good prognosis and favorable outcome and those which are likely to have a fatal outcome.</t>
  </si>
  <si>
    <t>12747226</t>
  </si>
  <si>
    <t>Kalish RB</t>
  </si>
  <si>
    <t>Esophageal atresia and tracheoesophageal fistula: the impact of prenatal suspicion on neonatal outcome in a tertiary care center.</t>
  </si>
  <si>
    <t>AIMS: To determine the impact of antenatal suspicion of esophageal atresia (EA) with or without tracheoesophageal fistula (TEF) on neonatal outcome. METHODS: Retrospective review of all neonates with EA who received prenatal care including fetal ultrasound and delivery at our institution from 1990-2001. Cases with suspected EA on prenatal ultrasound (hydramnios and/or an absent stomach bubble) were identified. Neonatal outcome variables for the group suspected antenatally and the group diagnosed postnatally were compared. Mann Whitney U and Fischer exact tests were used in analysis. RESULTS: Twenty-two patients met inclusion criteria. Nine cases (40.9%) had prenatal ultrasound findings associated with EA/TEF. There was no statistically significant difference in the incidence of preterm delivery, intrauterine growth restriction, respiratory distress syndrome, additional anomalies or neonatal death, birth weight, requirement for preoperative and postoperative mechanical ventilation or length of hospital stay between the prenatally suspected and postnatally diagnosed groups. There were two neonatal demises: one had trisomy 18 and one was born prematurely at 29 weeks. CONCLUSIONS: In our experience, prenatal detection of ultrasound findings associated with EA/TEF does not affect neonatal outcome or identify a group at increased risk for neonatal morbidity and mortality. Our favorable outcomes, with or without prenatal suspicion, may reflect the comprehensive care readily available at a tertiary care facility. Larger series need to be studied to exclude the possibility of a type II error.</t>
  </si>
  <si>
    <t>11922436</t>
  </si>
  <si>
    <t>Fesslova V</t>
  </si>
  <si>
    <t>Spectrum and outcome of atrioventricular septal defect in fetal life.</t>
  </si>
  <si>
    <t>OBJECTIVES OF THE STUDY: to analyse the features and outcomes of different types of atrioventricular septal defects, detected during fetal life, as compared to postnatal data. MATERIAL AND METHODS: We analysed retrospectively the data concerning 82 fetuses with atrioventricular septal defect, diagnosed from 19 through 37 weeks gestation with a median of 26 weeks. In 46 cases (56.1%), the diagnosis has been made before the age of 24 weeks. RESULTS: Characteristics of the series--in 44 fetuses the atrioventricular septal defect was not associated with other cardiac anomalies, while 38 fetuses had a more complex form. Chromosomal anomalies were present in 33 of the fetuses (40.2%), more frequently in cases without associated intracardiac defects (56.8%). Trisomy 21 occurred in just over one quarter the series, and in 43.2% of cases without associated defects. In addition, 11% of fetuses had trisomy 18, and one had trisomy 13. Extracardiac anomalies were present in 12 of the fetuses (14.6%), more frequently in cases without associated abnormalities. Of fetuses with more complex defects, 46.4% had hypoplasia of the left ventricle and aorta. Complete atrioventricular block was present in 10 of the fetuses (12.2%), mainly in fetuses with other malformations, and particularly with left isomerism. Recurrence of congenital heart disease was observed in 5 of the fetuses (6.1%). OUTCOME: In 25 instances (30.5%) the parents opted for termination of pregnancy. Of 57 cases that continued through pregnancy, 9 fetuses died prior to term (15.8%), 32 died postnatally (56.13%) and only 16 fetuses (28.1%) survived. Overall, the mortality was higher in cases with associated malformations, in those with heart failure or those with atrioventricular block. Cardiac surgery was performed in 19 infants, with 5 dying postoperatively, and one late. CONCLUSIONS: Our data show a high prevalence of atrioventricular septal defect associated with other malformations when diagnosed during fetal life. This combination is less frequently associated with chromosomal and extracardiac anomalies, but more often with obstructive lesions of the left heart and with atrioventricular block. The association results in a less favourable outcome.</t>
  </si>
  <si>
    <t>12501073</t>
  </si>
  <si>
    <t>Simchen MJ</t>
  </si>
  <si>
    <t>Fetal hepatic calcifications: prenatal diagnosis and outcome.</t>
  </si>
  <si>
    <t>OBJECTIVE: The purpose of this study was to provide information on the causes and postnatal outcomes of fetal liver calcifications that were detected by ultrasound imaging. STUDY DESIGN: Cases with fetal liver calcifications that were encountered between 1992 and 2001 were evaluated. A detailed fetal ultrasound imaging for associated abnormalities, maternal STORCH (syphilis, cytomegalovirus, herpesvirus 1 and 2, rubella, and Toxoplasma ) analysis, parvovirus serologic condition, and parental cystic fibrosis mutations analysis were performed; amniocentesis was offered in all cases. All infants who were born alive were examined and followed up. RESULTS: Sixty-one pregnant women with fetal liver calcifications were identified. Forty of 61 patients had additional fetal abnormalities; 21 of 61 cases of fetal liver calcifications were isolated; 11/61 patients (18%) had abnormal karyotypes (trisomy 13, 4 patients; trisomy 21, 2 patients; trisomy 18, 1 patient; monosomy X (45,X), 1 patient; 4p-, 22q+, and 8p+, 1 patient). Ten of 11 patients with abnormal karyotypes had other abnormalities that were found on ultrasound imaging. Two patients had intrauterine infection, one patient had cytomegalovirus, and one patient had parvovirus B19 infection. Eighteen of 40 patients underwent pregnancy termination, one fetus died in utero, one newborn infant died, and two infants had neurologic sequelae. Of 21 patients with isolated liver calcifications, one fetus had parvovirus B19 infection and one infant had trisomy 21. The remainder of the infants each had a good outcome. CONCLUSION: Fetal liver calcifications are relatively common. Isolated cases have a good prognosis after aneuploidy and infection have been ruled out. However, additional major abnormalities present a risk for chromosomal abnormalities, mainly trisomy 13.</t>
  </si>
  <si>
    <t>11316935</t>
  </si>
  <si>
    <t>Laberge JM</t>
  </si>
  <si>
    <t>Outcome of the prenatally diagnosed congenital cystic adenomatoid lung malformation: a Canadian experience.</t>
  </si>
  <si>
    <t>UNLABELLED: Congenital cystic adenomatoid malformation of the lung (CCAM) is diagnosed by prenatal ultrasonography with an increasing frequency but controversy persists as to its prognosis and prenatal management. METHOD: A multi-institutional study of cases of CCAM diagnosed antenatally identified by ultrasonographers and by a review of hospital charts. RESULTS: We obtained 48 cases from five centers. We estimate the incidence of CCAM at 1:25,000 to 1:35,000 pregnancies. The incidence of voluntary abortions was 15% (7/48), of spontaneous abortions 2% (1/41) and of postnatal death 10% (4/40). One of the postnatal deaths was from trisomy 18. Of the 7 aborted fetuses, 2 had multiple malformations and 1 had severe hydrops and oligohydramnios; the other 4 had a large mass with mediastinal displacement but without hydrops. When pregnancy was allowed to continue, 56% of the lesions regressed spontaneously, even though one third of these had initial progression. In 17 cases (42%) the mediastinal shift corrected itself, sometimes by simple growth of the fetus but most often by a decrease in the size of the lung mass. In 1 fetus, repeated needle decompressions followed by double-pigtail catheter drainage of large cysts allowed regression of hydrops. Despite this, neonatal death occurred from pulmonary hypoplasia. CONCLUSION: CCAM can lead to fetal or neonatal demise from hydrops, lung hypoplasia, prematurity or severe associated malformations, but has a good prognosis in the majority of cases.</t>
  </si>
  <si>
    <t>11528619</t>
  </si>
  <si>
    <t>Driver CP</t>
  </si>
  <si>
    <t>Phenotypic presentation and outcome of esophageal atresia in the era of the Spitz classification.</t>
  </si>
  <si>
    <t>PURPOSE: The aim of this study was to investigate contemporary patterns of presentation and outcome in newborns with esophageal atresia with or without tracheoesophageal fistula (OA) using modern prognostic criteria to appraise survival. METHODS: Over a 12-year period (1986 through 1997), 134 patients with OA were admitted to a single institution. Patient demographics, the presence of cardiac defects, other associated abnormalities (VACTERL), surgical intervention, and patient outcome were recorded. To identify and evaluate changes in the pattern of clinical presentation, frequency of associated anomalies and outcome, patients were analyzed during 4 consecutive time periods, 1986 to 1988, 1989 to 1991, 1992 to 1994, and 1995 to 1997. RESULTS: A primary repair or delayed primary repair was performed in 113 (84%) patients, with a staged procedure in 19 (14%). Two babies with trisomy 18 did not undergo surgery. Thirty-eight newborns (28%) had a major cardiac malformation (excluding patent ductus arteriosus, unless needing ligation), and 25 (19%) had recognized VACTERL associations. There was a significant increase in the proportion of infants with major cardiac defects diagnosed over the study period, 5 of 34 patients between 1986 and 1988 to 19 of 41 patients between 1995 and 1997 (chi(2) test, P &lt;.001), but the incidence of VACTERL associations remained unchanged. Overall survival rate was 86% in those who underwent surgery. The relative risk of mortality in patients with major cardiac disease and VACTERL associations was 3.47 (95% CI; 1.51 to 7.96) and 2.54 (95% CI; 1.14 to 4.86), respectively. Birth weight was significantly higher in infants who survived (2.68 kg) compared with those who died (2.16 kg, P =.003). Thirty percent of infants with more than one system abnormality died compared with 8% of infants with 1, system abnormality (P =.004). CONCLUSIONS: This study has found a significant increase in the frequency of cardiac abnormalities encountered in a cohort of OA patients during the period under review. Cardiac disease and multiple abnormalities carried a substantial increased risk of mortality. In the era of the Spitz classification, the phenotypic presentation is important to accurately assess caseload severity and prognosis.</t>
  </si>
  <si>
    <t>11733855</t>
  </si>
  <si>
    <t>Hygroma colli cysticum: prenatal diagnosis and prognosis.</t>
  </si>
  <si>
    <t>The objective of this study is to analyze the prenatal management and prognostic factors of hygroma colli cysticum by using cytogenetic tests and sonographic morphological features. All cases with hygroma colli cysticum diagnosed and managed at our Prenatal Diagnostics Unit between January 96 and September 2000 were analyzed. Sonographic morphological features were divided in two groups; nonseptated (n = 18) and septated (n = 12) hygroma colli cysticum lesions were compared with fetal karyotype results and pregnancy outcome data. Statistical analysis was performed by Chi-square test and statistical significance was defined as p &lt;0.05. In 5 years, 30 cases with hygroma colli cysticum were identified. Cytogenetic results were obtained from 23 (76.7%) cases (four chorionic villus sampling and 19 amniocentesis). Chromosomal abnormalities were present in 13 cases (56.5%). The most common chromosomal abnormality was Turner Syndrome (four cases, 17.4%) and Trisomy 18 (four cases, 17.4%). Pregnancy outcome data were available for 29 patients. Those fetuses with septated hygroma colli cysticum tended to have a worse fetal outcome, without statistical significance (p &gt;0.05), compared with the nonseptated hygroma colli cysticum cases (75 vs. 61.1%, respectively). Fetal hygroma colli cysticum, either septated or not, carries high risks of aneuploidies and adverse fetal outcome. Recommended management includes karyotyping and if parents decide to continue the pregnancy ultrasound scan at 20 to 22 weeks' gestation is necessary, for excluding associated anomalies. At birth, if the cystic hygroma persists, it should be noted that a respiratory difficulty can happen and a pediatrician should standby as a precaution.</t>
  </si>
  <si>
    <t>11076432</t>
  </si>
  <si>
    <t>Hsieh YY</t>
  </si>
  <si>
    <t>Accuracy of sonography in predicting the outcome of fetal congenital diaphragmatic hernia.</t>
  </si>
  <si>
    <t>BACKGROUND: The outcome of congenital diaphragmatic hernia (CDH) remains poor despite recent advances in neonatal care. This study was designed to evaluate the role of sonography in predicting the outcome of CDH. METHODS: Pregnancies with CDH were studied. Fetal survival, morbidity, combined anomalies and mortality were recorded. Seven parameters were recorded, including the presence of hydramnios, side of herniation, cardiac deviation, stomach presence, gestational age at the time of finding the CDH and time of postpartum herniorrhaphy. The predictive values of these parameters for fetal outcome were analyzed. RESULTS: A total of 31 pregnancies were studied. There were 11 cases (35.5%) of termination, seven cases (22.6%) of perinatal death, four cases (12.9%) of late death and nine cases of survival (29%). The survivor group included four cases (44.4%) of complete recovery and five cases (55.6%) with persistent morbidity. There were 15 cases of simple CDH including eight cases of cardiac anomalies (ventricular-septal defect, atrial-septal defect, patent ductus arteriosus and ventricular dilatation). There were eight cases with severe anomalies (3 with trisomy 18, 2 with Cantrell's pentalogy, 1 with trisomy 13, 1 with cystic hygroma and one with Tetralogy Fallot). Among the seven parameters studied, gestational age at the time of finding the CDH and hydramnios were related to fetal survival. CONCLUSIONS: Sonography assists in predicting the postnatal outcome of CDH. Diagnosis of CDH at less than 25 weeks' gestation and the existence of hydramnios are associated with higher mortality. Postnatal therapy and prenatal surgical intervention are necessary to salvage fetuses in the presence of these two situations. The survival rate of infants with CDH was 45%. Of these, 55.6% had persistent morbidity. Prenatal counseling should reflect this.</t>
  </si>
  <si>
    <t>Zhonghua Yi Xue Za Zhi (Taipei)</t>
  </si>
  <si>
    <t>41975697</t>
  </si>
  <si>
    <t>Dinu MD</t>
  </si>
  <si>
    <t>Therapeutic Termination of Pregnancy Under the Umbrella of Environmental, Socio-Economic Factors and High-Risk Pregnancy.</t>
  </si>
  <si>
    <t>Therapeutic termination of pregnancy (TToP) represents an intervention that is performed for medical reasons, such as risks to maternal health or severe fetal anomalies. Advances in prenatal screening and diagnostic tools-including serum markers, ultrasound, cell-free fetal DNA, chorionic villus sampling and amniocentesis-have significantly improved early detection and clinical decision-making. This narrative review synthesizes current knowledge on the genetic, environmental and psychosocial determinants that influence the decision of the patients to pursue TToP. The literature search was performed primarily using PubMed database, while Scopus and Google Scholar were used to identify additional relevant studies. Some of the selected studies, as well as certain sections of this review, address both therapeutic and voluntary termination of pregnancy, whereas others focus exclusively on TToP. Moreover, this review describes the types of abortion (medical or surgical/aspiration) along with their management strategies to prevent or address potential complications. It is well known that demographic, cultural and socio-economic factors continue to influence the access to TToP, as well as the perceptions of it. Psychiatric comorbidities (such as anxiety, affective and psychotic disorders) are observed with a higher prevalence among women undergoing TToP and may influence both the decision and psychological outcomes post-procedure. While most women report emotional relief after TToP, some of them experience depression, post-traumatic stress disorder or substance misuse. Legal and ethical considerations further complicate access to safe abortion, leading to situations where patients may resort to unsafe procedures, which result in higher rates of morbidity and mortality. Data from the EUROCAT network show rising trends in congenital anomalies like trisomy 13, trisomy 18 and caudal regression syndrome (conditions commonly associated with TToP). Therefore, it is mandatory to form a multidisciplinary team in these cases, integrating medical, psychological and ethical dimensions. Ensuring safe, evidence-based and compassionate access to TToP remains a critical component of reproductive healthcare.</t>
  </si>
  <si>
    <t>E4</t>
  </si>
  <si>
    <t>Sem dados próprios (revisão narrativa, diretriz, opinião) e sem utilidade direta</t>
  </si>
  <si>
    <t>40404742</t>
  </si>
  <si>
    <t>Pio L</t>
  </si>
  <si>
    <t>Hepatoblastoma.</t>
  </si>
  <si>
    <t>Hepatoblastoma is the most common primary liver cancer in children, with an incidence of approximately 1.5 cases per million children per year. Most cases are sporadic, typically presenting at a median age of 18 months, with only 5% occurring after 4 years of age. Clinical presentation often includes an abdominal mass and, less commonly, abdominal pain, weight loss, jaundice and precocious puberty. Low birth weight is a significant risk factor, along with genetic conditions such as Beckwith-Wiedemann syndrome, Simpson-Golabi-Behmel syndrome, familial adenomatous polyposis and trisomy 18. Screening protocols for hepatoblastoma are recommended for children with predisposing conditions. Medical imaging is crucial for hepatoblastoma diagnosis and staging, with abdominal ultrasonography being the initial modality of choice, followed by abdominal contrast MRI for detailed evaluation and monitoring. Chest computer tomography is indicated to evaluate potential lung metastases. The Pretreatment Extent of Disease (PRETEXT) system is employed for hepatoblastoma staging and for guiding treatment strategies such as surgical resection and chemotherapy. Patients with advanced hepatoblastoma may require liver transplantation. Advancements in surgery and chemotherapy have improved survival rates, with 5-year survival rates exceeding 80-90% in localized disease. However, challenges remain in treating individuals with high-risk and metastatic hepatoblastoma. Ongoing research into treatment stratification, the introduction of novel therapies, including targeted and immune therapies, and the application of otoprotectants are essential to address refractory or recurrent hepatoblastoma and to increase the overall survival of patients. Long-term quality of life and the management of treatment-related sequelae are becoming increasingly important as survival rates improve.</t>
  </si>
  <si>
    <t>41355336</t>
  </si>
  <si>
    <t>Merlocco A</t>
  </si>
  <si>
    <t>Xenotransplantation and Disability Contraindications to Pediatric Heart Transplantation: Are We at the Horizon of Organ Transplantation for any Person That May Benefit?</t>
  </si>
  <si>
    <t>If cardiac xenotransplantation (XTx) can resolve the critical shortage of human organs, then we have an ethical obligation to reconsider it for select pediatric patients who are currently ineligible for allotransplantation but who may still benefit from a transplanted organ. This is especially true for children with genetic diseases who are often excluded due to unfavorable risk-benefit assessments rooted in the scarcity of donor hearts. While the overall potential of XTx remains uncertain, its ability to mitigate scarcity forces us to reevaluate who might benefit from a transplant. This commentary argues that if XTx resolves at least some concerns regarding immediate organ availability and quantity, then we should support further evaluation for transplantation in pediatric patients who may benefit but who were previously deemed ineligible for cardiac allotransplantation. While not all patients may cross the risk-benefit threshold, many deserve at least this evaluation, and failing to even evaluate is rooted in disability bias. Primarily focusing on the precedent trisomy 21 (T21) patients and the evolution in perceptions of transplantation suitability, we argue that if these patients will physiologically be stable after XTx, then we should consider the benefits XTx could provide-prolonged survival, symptom resolution, and improved quality of life (QOL) even if baseline QOL is limited (as in patients with other disabilities)-as justifying the attendant risks. This argument may also extend beyond T21 to other patient populations with genetic conditions, including select patients with trisomy 18 (T18).</t>
  </si>
  <si>
    <t>Xenotransplantation</t>
  </si>
  <si>
    <t>38884762</t>
  </si>
  <si>
    <t>Pfitzer C</t>
  </si>
  <si>
    <t>Human Genetics of Hypoplastic Left Heart Syndrome.</t>
  </si>
  <si>
    <t>Hypoplastic left heart syndrome (HLHS) is a severe congenital cardiovascular malformation characterized by hypoplasia of the left ventricle, aorta, and other structures on the left side of the heart. The pathologic definition includes atresia or stenosis of both the aortic and mitral valves. Despite considerable progress in clinical and surgical management of HLHS, mortality and morbidity remain concerns. One barrier to progress in HLHS management is poor understanding of its cause. Several lines of evidence point to genetic origins of HLHS. First, some HLHS cases have been associated with cytogenetic abnormalities (e.g., Turner syndrome). Second, studies of family clustering of HLHS and related cardiovascular malformations have determined HLHS is heritable. Third, genomic regions that encode genes influencing the inheritance of HLHS have been identified. Taken together, these diverse studies provide strong evidence for genetic origins of HLHS and related cardiac phenotypes. However, using simple Mendelian inheritance models, identification of single genetic variants that "cause" HLHS has remained elusive, and in most cases, the genetic cause remains unknown. These results suggest that HLHS inheritance is complex rather than simple. The implication of this conclusion is that researchers must move beyond the expectation that a single disease-causing variant can be found. Utilization of complex models to analyze high-throughput genetic data requires careful consideration of study design.</t>
  </si>
  <si>
    <t>Adv Exp Med Biol</t>
  </si>
  <si>
    <t>35478319</t>
  </si>
  <si>
    <t>Nussbaumer G</t>
  </si>
  <si>
    <t>Hepatoblastoma in molecularly defined, congenital diseases.</t>
  </si>
  <si>
    <t>Beckwith-Wiedemann spectrum, Simpson-Golabi-Behmel syndrome, familial adenomatous polyposis and trisomy 18 are the most common congenital conditions associated with an increased incidence of hepatoblastoma (HB). In patients with these genetic disorders, screening protocols for HB are proposed that include periodic abdominal ultrasound and measurement of alpha-fetoprotein levels. Surveillance in these children may contribute to the early detection of HB and possibly improve their chances of overall survival. Therefore, physicians must be aware of the high HB incidence in children with certain predisposing genetic diseases.</t>
  </si>
  <si>
    <t>36241341</t>
  </si>
  <si>
    <t>SOGC Guideline Retirement Notice No. 2.</t>
  </si>
  <si>
    <t>These documents have been archived because they contain outdated information. They should not be consulted for clinical use, but for historical research only. Please visit the journal website for the most recent guidelines. The Use of Magnetic Resonance Imaging in the Obstetric Patient [J Obstet Gynaecol Can 36 (2014) 349-355] AUTHORS Yves Patenaude, MD, Sherbrooke, QC Denise Pugash, MD, Vancouver, BC Kenneth Lim, MD, Vancouver, BC Lucie Morin, MD, Montreal, QC The Role of Surgery in Endometrial Cancer [J Obstet Gynaecol Can 35 (2013) 370-371] AUTHORS Christopher Giede, MD, Saskatoon, SK Tien Le, MD, Ottawa, ON Patti Power, MD, St John's, NL Female Genital Cutting [J Obstet Gynaecol Can 35 (2013) 1028-1045] AUTHORS Liette Perron, MSW, Ottawa, ON Vyta Senikas, MD, Ottawa, ON Margaret Burnett, MD, Winnipeg, ON Victoria Davis, MD, Scarborough, ON Technical Update on Pessary Use [J Obstet Gynaecol Can 35 (2013) 664-674] AUTHORS Magali Robert, MD, Calgary, AB Jane A. Schulz, MD, Edmonton, AB Marie-Andrée Harvey, MD, Kingston, ON Cancer Chemotherapy and Pregnancy [J Obstet Gynaecol Can 35 (2013) 263-278] AUTHORS Gideon Koren, MD, Toronto, ON Nathalie Carey, BSc, Toronto, ON Robert Gagnon, MD, Montréal, QC Cynthia Maxwell, MD, Toronto, ON Irena Nulman, MD, Toronto, ON Vyta Senikas, MD, Ottawa, ON Current Status in Non-Invasive Prenatal Detection of Down Syndrome, Trisomy 18, and Trisomy 13 Using Cell-Free DNA in Maternal Plasma [J Obstet Gynaecol Can 35 (2013) 177-181] AUTHORS Sylvie Langlois, MD, Vancouver, BC Jo-Ann Brock, MD, Halifax, NS Mifepristone [J Obstet Gynaecol Can 25 (2003) 235] The Presence of a Third Party During Breast and Pelvic Examinations [J Obstet Gynaecol Can 25 (2003) 237] Midwifery [J Obstet Gynaecol Can 25 (2003) 239] Emergency Contraception [J Obstet Gynaecol Can 25 (2003) 673-678] Tension-Free Vaginal Tape (TVT) Procedure [J Obstet Gynaecol Can 25 (2003) 692-694] Uterine Fibroid Embolization (UFE) [J Obstet Gynaecol Can 26 (2004) 899-911] AUTHORS Guylaine G. Lefebvre, MD, Toronto, ON George Vilos, MD, Toronto, ON Murray Asch, MD, Oshawa, ON The Prevention of Early-Onset Neonatal Group B Streptococcal Disease [J Obstet Gynaecol Can 26 (2004) 826-832] AUTHORS Deborah M. Money, MD, FRCSC, Vancouver, BC Simon Dobson, MD, FRCPC, Vancouver, BC Cell-Free Fetal DNA in the Maternal Circulation and its Future Uses in Obstetrics [J Obstet Gynaecol Can 27 (2005) 54-57] AUTHOR R. Douglas Wilson, MD, Philadelphia, PA Cystic Fibrosis Carrier Testing in Pregnancy in Canada [J Obstet Gynaecol Can 24 (2002) 644-647] Amniocentesis and Women with Hepatitis B, Hepatitis C, or Human Immunodeficiency Virus [J Obstet Gynaecol Can 25 (2003) 145-148] Fetal Health Surveillance in Labour [J Obstet Gynaecol Can 24 (2002) 250-262] Management of the Third Stage of Labour to Prevent Postpartum Hemorrhage [J Obstet Gynaecol Can 25 (2003) 952-953] Cervical Cancer Prevention in Low-Resource Settings [J Obstet Gynaecol Can 26 (2004) 205-206] Hirsutism: Evaluation and Treatment [J Obstet Gynaecol Can 24 (2002) 62-67] Breast Cancer, Pregnancy, and Breastfeeding [J Obstet Gynaecol Can 24 (2002) 164-171] Parvovirus B19 Infection in Pregnancy [J Obstet Gynaecol Can 24 (2002) 727-734] Diversity [J Obstet Gynaecol Can 25 (2003) 1042] Conflict of Interest [J Obstet Gynaecol Can 25 (2003) 1044] Canadian Contraception Consensus [J Obstet Gynaecol Can 26 (2004) 347-387] School-Based and School-Linked Sexual Health Education and Promotion in Canada [J Obstet Gynaecol Can 26 (2004) 596-600] Gestational Trophoblastic Disease [J Obstet Gynaecol Can 24 (2002) 434-439] FIGO Professional and Ethical Responsibilities Concerning Sexual and Reproductive Rights [J Obstet Gynaecol Can 26 (2004) 1097-1099] FIGO / ICM Global Initiative to Prevent Post-Partum Hemorrhage [J Obstet Gynaecol Can 26 (2004) 1102] Intimate Partner Violence Consensus Statement [J Obstet Gynaecol Can 27 (2005) 365-388] The Management of Nausea and Vomiting of Pregnancy [J Obstet Gynaecol Can 24 (2002) 817-823] Canadian Contraception Consensus [J Obstet Gynaecol Can 26 (2004) 143-156] Present Role of Stem Cells for Fetal Genetic Therapy [J Obstet Gynaecol Can 27 (2005) 1038-1042] Amended Canadian Guideline for Prenatal Diagnosis (2005) Change to 2005-Techniques for Prenatal Diagnosis [J Obstet Gynaecol Can 27 (2005) 1048-1054] Umbilical Cord Blood Banking: Implications for Perinatal Care Providers [J Obstet Gynaecol Can 27 (2005) 263-274] Breast Cancer and Abortion [J Obstet Gynaecol Can 27 (2005) 491] AUTHOR Robert H. Lea, MD, Halifax, NS Postural Health in Women: The Role of Physiotherapy [J Obstet Gynaecol Can 27 (2005) 493-500] AUTHORS S.J. Britnell, BScPT, Vancouver, BC J.V. Cole, BScPT, Vancouver, BC L. Isherwood, BScPT, Vancouver, BC M.M. Sran, PT, BScPT, Vancouver, BC N. Britnell, BScPT, Vancouver, BC S. Burgi, BScPT, Vancouver, BC G. Candido, BScPT, Vancouver, BC L. Watson, BScPT, Vancouver, BC The Management of Uterine Leiomyomas [J Obstet Gynaecol Can 25 (2003) 396-405] Guidelines for Vaginal Birth after Previous Caesarean Birth [J Obstet Gynaecol Can 26 (2004) 660-670] Fetal Health Surveillance in Labour [J Obstet Gynaecol Can 24 (2002) 342-348] Number of Births to Maintain Competence [J Obstet Gynaecol Can 24 (2002) 359] Sexual Abuse by Physicians [J Obstet Gynaecol Can 25 (2003) 862] The Use of First Trimester Ultrasound [J Obstet Gynaecol Can 25 (2003) 864-869] Use of Hormonal Replacement Therapy After Treatment of Breast Cancer [J Obstet Gynaecol Can 26 (2004) 49-54] Obstetric Ultrasound Biological Effects and Safety [J Obstet Gynaecol Can 27 (2005) 572-575] Fetal Soft Markers in Obstetric Ultrasound [J Obstet Gynaecol Can 27 (2005) 592-612] Maternal Transport Policy [J Obstet Gynaecol Can 27 (2005) 956-959] Choice of Surgery for Stress Incontinence [J Obstet Gynaecol Can 27 (2005) 964-971] The Use of Fetal Doppler in Obstetrics [J Obstet Gynaecol Can 25 (2003) 601-607] Screening for Gestational Diabetes Mellitus [J Obstet Gynaecol Can 24 (2002) 894-903] Hormone Replacement Therapy and Cardiovascular Disease [J Obstet Gynaecol Can 24 (2002) 577-579] Providing Opinion for Medico-Legal Cases [J Obstet Gynaecol Can 24 (2002) 590-592] Antenatal Corticosteroid Therapy for Fetal Maturation [J Obstet Gynaecol Can 25 (2003) 45-48] Mastalgia [J Obstet Gynaecol Can 28 (2006) 49-57] AUTHORS Vera Rosolowich, RN, SCM, IBCLC, Winnipeg, MB Elizabeth Saettler, MD, Winnipeg, MB Beth Szuck, BA, HEc, CACE, RD, Winnipeg, MB Pregnancy Outcomes After Assisted Reproductive Technology [J Obstet Gynaecol Can 28 (2006) 220-233] AUTHORS Victoria M. Allen, MD, MSc, Halifax, NS R. Douglas Wilson, MD, MSc, Philadelphia, PA Canadian Contraception Consensus-Update on Depot Medroxyprogesterone Acetate (DMPA) [J Obstet Gynaecol Can 28 (2006) 305-308] AUTHOR Amanda Black, MD, Ottawa, ON Guidelines for Training Requirements in Colposcopy and its Related Treatment Modalities [J Obstet Gynaecol Can 28 (2006) 314-316] AUTHOR Susan M. McFaul, MD, Ottawa, ON Pelvic Examinations by Medical Trainees [J Obstet Gynaecol Can 28 (2006) 320-321] AUTHORS Kimberly E. Liu, MD, Edmonton, AB Deborah Robertson, MD, Montréal, QC Glenn Posner, MDCM, Ottawa, ON Sukhbir S. Singh, MD, London, ON Lawrence Oppenheimer, MD, Ottawa, ON Stillbirth and Bereavement: Guidelines for Stillbirth Investigation [J Obstet Gynaecol Can 28 (2006) 540-545] AUTHOR Line Leduc, MD, Montréal, QC Progesterone-Only and Non-Hormonal Contraception in the Breast Cancer Survivor: Joint Review and Committee Opinion of the Society of Obstetricians and Gynaecologists of Canada and the Society of Gynecologic Oncologists of Canada [J Obstet Gynaecol Can 28 (2006) 616-626] AUTHORS Jenna McNaught, MD, Winnipeg, MB Robert L. Reid, MD, Kingston, ON Breast Self-Examination [J Obstet Gynaecol Can 28 (2006) 728-730] AUTHOR Vera Rosolowich, RN, SCM, IBCLC, Winnipeg, MB The Physician Expert in Legal Proceedings [J Obstet Gynaecol Can 28 (2006) 913-915] AUTHORS Titus Owolabi, MD, Toronto, ON George Vilos, MD, Toronto, ON Induced Abortion Guidelines [J Obstet Gynaecol Can 28 (2006) 1014-1027] AUTHOR Victoria Jane Davis, MD Health Professionals Working With First Nations, Inuit, and Métis Consensus Guideline [J Obstet Gynaecol Can 35 (2013) S1-S4] AUTHORS Don Wilson, MD, FRCSC (Co-chair), Hellisuk Nation, Comox, BC Sandra de la Ronde, MD, FRCSC (Co-chair), Ottawa, ON Simon Brascoupé, Kitigan Zibi Anishinabeg, Ottawa, ON Alisha Nicole Apale, MSc, Ottawa, ON Lucy Barney, RN, MSN, Lillooet Nation, Vancouver, BC Bing Guthrie, MD, FRCSC, Yellowknife, NT Elizabeth Harrold, RN, Vancouver, BC Ojistoh Horn, MD, CCFP, Mohawk, Kahnawake, QC Robin Johnson, MD, FRCSC, Esdilagh, First Nation, Williams Lake, BC Darrien Rattray, MD, Tahltan, Halifax, NS Nicole Robinson, MA, Ottawa, ON Introduction [J Obstet Gynaecol Can 35 (2013) S5-S6] Chapter 1 Definitions [J Obstet Gynaecol Can 35 (2013) S7-S8] Chapter 2 Demographics [J Obstet Gynaecol Can 35 (2013) S9-S12] Chapter 3 Social Determinants of Health Among First Nations, Inuit, and Métis [J Obstet Gynaecol Can 35 (2013) S13-S23] Chapter 4 Health Systems, Policies, and Services for First Nations, Inuit, and Métis [J Obstet Gynaecol Can 35 (2013) S24-S27] Chapter 5 First Nations, Inuit, and Métis Women's Sexual and Reproductive Health [J Obstet Gynaecol Can 35 (2013) S28-S32] Chapter 6 First Nations, Inuit, and Métis Maternal Health [J Obstet Gynaecol Can 35 (2013) S33-S36] Chapter 7 Mature Women's Health [J Obstet Gynaecol Can 35 (2013) S37] Chapter 8 Changing Outcomes Through Culturally Competent Care [J Obstet Gynaecol Can 35 (2013) S38-S41] Chapter 9 Conclusion [J Obstet Gynaecol Can 35 (2013) S42-S43] Chapter 10 Case Studies [J Obstet Gynaecol Can 35 (2013) S44-S47] Appendix 1. Apology for the Forced Relocation of Inukjuak and Pond Inlet Families [J Obstet Gynaecol Can 35 (2013) S48] Appendix 2. Apology for the Residential School System [J Obstet Gynaecol Can 35 (2013) S49] Appendix 3. Avoiding Re-Traumatization of Sexual Abuse/Assault Victims During the Birthing Process [J Obstet Gynaecol Can 35 (2013) S50].</t>
  </si>
  <si>
    <t>J Obstet Gynaecol Can</t>
  </si>
  <si>
    <t>37727523</t>
  </si>
  <si>
    <t>Castillo Lam JE</t>
  </si>
  <si>
    <t>[Congenital heart disease associated with the most prevalent chromosomal syndromes: a literature review].</t>
  </si>
  <si>
    <t>Most frequent chromosomal syndromes like Down, Patau, Edwards, Turner, and Williams affect the pediatric population in various ways, and congenital heart disease explains the altered quality of life they suffer. There is a lack of studies reviewing the cardiac anomalies in these syndromes, and the ones that exist are publications from past decades. We reviewed databases such as MEDLINE, LILACS, SCIELO, and Google Scholar, selecting the best possible evidence, and each chromosomal syndrome was investigated in relation to congenital heart disease, constituting five search groups. The article shows the characteristics of each heart disease described in the studies reviewed, the author, date of publication, country, and population studied, as well as a brief description of the frequency of the disease and its mortality. The results described in this review were contrasted with previous existing literature to verify if there was correspondence between the reported frequencies. The most frequent congenital heart diseases were atrioventricular septal defect (AVSD), ventricular septal defect (VSD), atrial septal defect (ASD), and persistent ductus arteriosus (PDA) in Down syndrome patients, PDA, ASD, and VSD in Patau syndrome patients, AVSD, PDA and valvular defects in Edwards syndrome, bicuspid aortic valve, aortic coarctation and aortic stenosis in Turner syndrome, and supravalvular aortic stenosis and pulmonary stenosis in Williams syndrome.</t>
  </si>
  <si>
    <t>Arch Peru Cardiol Cir Cardiovasc</t>
  </si>
  <si>
    <t>31868316</t>
  </si>
  <si>
    <t>Lin AE</t>
  </si>
  <si>
    <t>Congenital heart defects associated with aneuploidy syndromes: New insights into familiar associations.</t>
  </si>
  <si>
    <t>The frequent occurrence of congenital heart defects (CHDs) in chromosome abnormality syndromes is well-known, and among aneuploidy syndromes, distinctive patterns have been delineated. We update the type and frequency of CHDs in the aneuploidy syndromes involving trisomy 13, 18, 21, and 22, and in several sex chromosome abnormalities (Turner syndrome, trisomy X, Klinefelter syndrome, 47,XYY, and 48,XXYY). We also discuss the impact of noninvasive prenatal screening (mainly, cell-free DNA analysis), critical CHD screening, and the growth of parental advocacy on their surgical management and natural history. We encourage clinicians to view the cardiac diagnosis as a "phenotype" which supplements the external dysmorphology examination. When detected prenatally, severe CHDs may influence decision-making, and postnatally, they are often the major determinants of survival. This review should be useful to geneticists, cardiologists, neonatologists, perinatal specialists, other pediatric specialists, and general pediatricians. As patients survive (and thrive) into adulthood, internists and related adult specialists will also need to be informed about their natural history and management.</t>
  </si>
  <si>
    <t>32419096</t>
  </si>
  <si>
    <t>Swanson TM</t>
  </si>
  <si>
    <t>Pediatric Cardiology Specialist's Opinions Toward the Acceptability of Comfort Care for Congenital Heart Disease.</t>
  </si>
  <si>
    <t>In order to evaluate physicians' willingness to seek legal action to mandate surgery when parents refuse surgery for various congenital heart lesions, we surveyed pediatric cardiologists and cardiovascular surgeons at 4 children's hospitals. We asked whether physicians would support parental refusal of surgery for specific heart defects and, if not, whether they would seek legal action to mandate surgery. We then analyzed associations between physicians' willingness to mandate surgery and national operative mortality rates for each lesion. We surveyed 126 cardiologists and 9 cardiac surgeons at four tertiary referral centers. Overall response rate was 77%. Greater than 70% of physicians would seek legal action and mandate surgery for the following lesions: ventricular septal defect, coarctation of the aorta, complete atrioventricular canal, transposition of the great arteries, tetralogy of Fallot, and unobstructed total anomalous pulmonary venous return. Surgery for all of these lesions has reported mortality rates of &lt; 5%. Physicians were less likely to seek legal action when parents refused surgery for Shone complex, any single ventricle lesion, or any congenital heart disease accompanied by Trisomy 13 or Trisomy 18. Among experts in pediatric cardiology, there is widespread agreement about the appropriate response to parental refusal of surgery for most congenital heart lesions, and these lesions tended to be heart defects with lower surgical mortality rates. Lesions for which there was greater consensus among experts were those with the best outcomes. There was less consensus for lesions with higher mortality rates. Such surveys, revealing disagreement among expert professionals, can provide an operational definition of the current professional "gray zone" in which parental preferences should determine treatment.</t>
  </si>
  <si>
    <t>27087248</t>
  </si>
  <si>
    <t>Roberts W</t>
  </si>
  <si>
    <t>Anatomy of trisomy 18.</t>
  </si>
  <si>
    <t>Trisomy 18 is the second most common aneuploidy after trisomy 21. Due to its multi-systemic defects, it has a poor prognosis with a 50% chance of survival beyond one week and a &lt;10% chance of survival beyond one year of life. However, this prognosis has been challenged by the introduction of aggressive interventional therapies for patients born with trisomy 18. As a result, a review of the anatomy associated with this defect is imperative. While any of the systems can be affected by trisomy 18, the following areas are the most likely to be affected: craniofacial, musculoskeletal system, cardiac system, abdominal, and nervous system. More specifically, the following features are considered characteristic of trisomy 18: low-set ears, rocker bottom feet, clenched fists, and ventricular septal defect. Of particular interest is the associated cardiac defect, as surgical repairs of these defects have shown an improved survivability. In this article, the anatomical defects associated with each system are reviewed. Clin. Anat. 29:628-632, 2016. © 2016 Wiley Periodicals, Inc.</t>
  </si>
  <si>
    <t>Clin Anat</t>
  </si>
  <si>
    <t>19038077</t>
  </si>
  <si>
    <t>Gagnon A</t>
  </si>
  <si>
    <t>Obstetrical complications associated with abnormal maternal serum markers analytes.</t>
  </si>
  <si>
    <t>OBJECTIVE: To review the obstetrical outcomes associated with abnormally elevated or decreased level of one or more of the most frequently measured maternal serum marker analytes used in screening for aneuploidy. To provide guidance to facilitate the management of pregnancies that have abnormal levels of one of more markers and to assess the usefulness of these markers as a screening test. OPTIONS: Perinatal outcomes associated with abnormal levels of maternal serum markers analytes are compared with the outcomes of pregnancies with normal levels of the same analytes or the general population. EVIDENCE: The Cochrane Library and Medline were searched for English-language articles published from 1966 to February 2007, relating to maternal serum markers and perinatal outcomes. Search terms included PAPP-A (pregnancy associated plasma protein A), AFP (alphafetoprotein), hCG (human chorionic gonadotropin), estriol, unconjugated estriol, inhibin, inhibin-A, maternal serum screen, triple marker screen, quadruple screen, integrated prenatal screen, first trimester screen, and combined prenatal screen. All study types were reviewed. Randomized controlled trials were considered evidence of the highest quality, followed by cohort studies. Key individual studies on which the recommendations are based are referenced. Supporting data for each recommendation are summarized with evaluative comments and references. The evidence was evaluated using the guidelines developed by the Canadian Task Force on Preventive Health Care. VALUES: The evidence collected was reviewed by the Genetics Committee of the Society of Obstetricians and Gynaecologists of Canada. BENEFITS, HARMS, AND COSTS: The benefit expected from this guideline is to facilitate early detection of potential adverse pregnancy outcomes when risks are identified at the time of a maternal serum screen. It will help further stratification of risk and provide options for pregnancy management to minimize the impact of pregnancy complications. The potential harms resulting from such practice are associated with the so called false positive (i.e., uncomplicated pregnancies labelled at increased risk for adverse perinatal outcomes), the potential stress associated with such a label, and the investigations performed for surveillance in this situation. No cost-benefit analysis is available to assess costs and savings associated with this guideline. SUMMARY STATEMENTS: 1. An unexplained level of a maternal serum marker analyte is defined as an abnormal level after confirmation of gestational age by ultrasound and exclusion of maternal, fetal, or placental causes for the abnormal level. (III) 2. Abnormally elevated levels of serum markers are associated with adverse pregnancy outcomes in twin pregnancies, after correction for the number of fetuses. Spontaneous or planned mutifetal reductions may result in abnormal elevations of serum markers. (II-2) RECOMMENDATIONS: 1. In the first trimester, an unexplained low PAPP-A (&lt; 0.4 MoM) and/or a low hCG (&lt; 0.5 MoM) are associated with an increased frequency of adverse obstetrical outcomes, and, at present, no specific protocol for treatment is available. (II-2A) In the second trimester, an unexplained elevation of maternal serum AFP (&gt; 2.5 MoM), hCG (&gt; 3.0 MoM), and/or inhibin-A (&gt; or =2.0 MoM) or a decreased level of maternal serum AFP (&lt; 0.25 MoM) and/or unconjugated estriol (&lt; 0.5 MoM) are associated with an increased frequency of adverse obstetrical outcomes, and, at present, no specific protocol for treatment is available. (II-2A) 2. Pregnant woman with an unexplained elevated PAPP-A or hCG in the first trimester and an unexplained low hCG or inhibin-A and an unexplained elevated unconjugated estriol in the second trimester should receive normal antenatal care, as this pattern of analytes is not associated with adverse perinatal outcomes. (II-2A) 3. The combination of second or third trimester placenta previa and an unexplained elevated maternal serum AFP should increase the index of suspicion for placenta accreta, increta, or percreta. (II-2B) An assessment (ultrasound, MRI) of the placental-uterine interface should be performed. Abnormal invasion should be strongly suspected, and the planning of delivery location and technique should be done accordingly. (III-C) 4. A prenatal consultation with the medical genetics department is recommended for low unconjugated estriol levels (&lt;0.3 MoM), as this analyte pattern can be associated with genetic conditions. (II-2B) 5. The clinical management protocol for identification of potential adverse obstetrical outcomes should be guided by one or more abnormal maternal serum marker analyte value rather than the false positive screening results for the trisomy 21 and/or the trisomy 18 screen. (II-2B) 6. Pregnant woman who are undergoing renal dialysis or who have had a renal transplant should be offered maternal serum screening, but interpretation of the result is difficult as the level of serum hCG is not reliable. (II-2A) 7. Abnormal maternal uterine artery Doppler in association with elevated maternal serum AFP, hCG, or inhibin-A or decreased PAPP-A identifies a group of women at greater risk of IUGR and gestational hypertension with proteinuria. Uterine artery Doppler measurements may be used in the evaluation of an unexplained abnormal level of either of these markers. (II-2B) 8. Further research is recommended to identify the best protocol for pregnancy management and surveillance in women identified at increased risk of adverse pregnancy outcomes based on an abnormality of a maternal serum screening analyte. (III-A) 9. In the absence of evidence supporting any specific surveillance protocol, an obstetrician should be consulted in order to establish a fetal surveillance plan specific to the increased obstetrical risks (maternal and fetal) identified. This plan may include enhanced patient education on signs and symptoms of the most common complications, increased frequency of antenatal visits, increased ultrasound (fetal growth, amniotic fluid levels), and fetal surveillance (biophysical profile, arterial and venous Doppler), and cervical length assessment. (III-A) 10. Limited information suggests that, in women with elevated hCG in the second trimester and/or abnormal uterine artery Doppler (at 22-24 weeks), low-dose aspirin (60-81 mg daily) is associated with higher birthweight and lower incidence of gestational hypertension with proteinuria. This therapy may be used in women who are at risk. (II-2B) 11. Further studies are recommended in order to assess the benefits of low-dose aspirin, low molecular weight heparin, or other therapeutic options in pregnancies determined to be at increased risk on the basis of an abnormal maternal serum screening analyte. (III-A) 12. Multiple maternal serum markers screening should not be used at present as a population-based screening method for adverse pregnancy outcomes (such as preeclampsia, placental abruption, and stillbirth) outside an established research protocol, as sensitivity is low, false positive rates are high, and no management protocol has been shown to clearly improve outcomes. (II-2D) When maternal serum screening is performed for the usual clinical indication (fetal aneuploidy and/or neural tube defect), abnormal analyte results can be utilized for the identification of pregnancies at risk and to direct their clinical management. (II-2B) Further studies are recommended to determine the optimal screening method for poor maternal and/or perinatal outcomes. (III-A).</t>
  </si>
  <si>
    <t>18182338</t>
  </si>
  <si>
    <t>Chen CP</t>
  </si>
  <si>
    <t>Chromosomal abnormalities associated with neural tube defects (I): full aneuploidy.</t>
  </si>
  <si>
    <t>Fetuses with neural tube defects (NTDs) carry a risk of chromosomal abnormalities. The risk varies with maternal age, gestational age at diagnosis, association with other structural abnormalities, and family history of chromosome aberrations. This article provides an overview of chromosomal abnormalities associated with NTDs in embryos, fetuses, and newborn patients, and a comprehensive review of numerical chromosomal abnormalities associated with NTDs, such as trisomy 18, trisomy 13, triploidy, trisomy 9, trisomy 2, trisomy 21, trisomy 7, trisomy 8, trisomy 14, trisomy 15, trisomy 16, trisomy 5 mosaicism, trisomy 11 mosaicism, trisomy 20 mosaicism, monosomy X, and tetraploidy. NTDs may be associated with aneuploidy. Perinatal identification of NTDs should alert one to the possibility of chromosomal abnormalities and prompt a thorough cytogenetic investigation and genetic counseling.</t>
  </si>
  <si>
    <t>41994687</t>
  </si>
  <si>
    <t>Malhotra R</t>
  </si>
  <si>
    <t>Spectrum of Chromosomal Abnormalities in Abortus and Medically Terminated Fetal Samples From a Tertiary Care Center in the Sub-Himalayan Region of North India.</t>
  </si>
  <si>
    <t>BACKGROUND: Chromosomal abnormalities are a major cause of spontaneous abortions and medically terminated pregnancies. Molecular characterization of abortus tissue plays a critical role in establishing etiological diagnosis, enabling accurate genetic counselling and recurrence risk assessment. However, region-specific molecular data from the sub-Himalayan population remain limited. OBJECTIVE:  To evaluate the spectrum and frequency of chromosomal abnormalities in spontaneous abortus and medically terminated fetal samples using molecular genetic techniques at a tertiary care center in North India. METHODOLOGY: This cross-sectional observational study included 39 fetal samples obtained following spontaneous abortion or medically indicated termination of pregnancy between August 2022 and February 2026 at a tertiary care referral center serving the sub-Himalayan region of North India. Following detailed gross examination and dissection, genomic DNA was extracted from fetal tissue and analyzed using the Devyser Extended Aneuploidy quantitative fluorescence polymerase chain reaction (QF-PCR) assay targeting chromosomes 13, 15, 16, 18, 21, X, and Y. The samples underwent additional evaluation using Sanger sequencing for confirmation and further characterization of detected chromosomal abnormalities. Molecular findings were correlated with clinical characteristics and prenatal imaging data. RESULTS: Chromosomal abnormalities were identified in 10 of 39 cases (25.6%). Trisomy 21 was the most frequently detected abnormality (7, 17.9%), followed by trisomy 18 (1, 2.6%). Trisomy 22 was identified in one case (2.6%) and monosomy X in one case (2.6%). Central nervous system anomalies constituted the most common structural abnormalities and were frequently observed in fetuses with chromosomal defects. The majority of cases (29, 74.4%) demonstrated a normal euploid genotype, suggesting potential contribution of non-chromosomal or maternal factors. CONCLUSIONS:  Chromosomal abnormalities contribute significantly to pregnancy loss in this study, with autosomal trisomies representing the predominant genetic findings. QF-PCR provides a rapid and reliable diagnostic approach for detecting common aneuploidies in abortus tissue. Routine incorporation of molecular testing may enhance etiological clarification and improve genetic counselling and reproductive planning in affected couples.</t>
  </si>
  <si>
    <t>E5</t>
  </si>
  <si>
    <t>Sem desfecho de sobrevida ou gestacional (morbidade, genética, fenótipo, utilização de serviços)</t>
  </si>
  <si>
    <t>42056489</t>
  </si>
  <si>
    <t>Stuempflen M</t>
  </si>
  <si>
    <t>Phenotyping trisomies 13 and 18 and CHARGE syndrome in fetal MRI-a proposed phenome-based, morphological disease severity score, and network medicine analysis.</t>
  </si>
  <si>
    <t>OBJECTIVES: CHARGE syndrome (CS) and trisomy 13 (T13) and 18 (T18) are heterogeneous diseases with overlapping morphological features. Historically, T13 and T18 were deemed incompatible with life. Recently, numerous studies have reported prolonged survival for some affected patients. Consequently, the question of individual counseling has arisen. This study aimed to analyze the fetal MRI-based phenome of CS, T13, and T18. MATERIALS AND METHODS: Fetal MRI-based phenotyping was conducted, and a morphological disease severity score that assessed 16 anatomical regions was proposed. Furthermore, a co-occurrence analysis was generated to visualize the overlapping and differentiating features of CS, T13, and T18. RESULTS: Forty-eight fetuses who underwent fifty-seven fetal MRI scans were analyzed. Disease severity scores ranged from 1-25 (mean 12.7) and highlighted heterogeneous disease manifestations among investigated patients. In the co-occurrence analysis the T13 network showed the highest complexity. CONCLUSION: Considering recent trends towards a change in management from mostly palliative to therapeutic care for patients with CS, T13, and T18, care providers face challenging decisions regarding management. The proposed preliminary MRI-based phenotyping score and the provided phenome visualization aim to aid physicians in counseling and choosing appropriate management plans. Future studies will be necessary to correlate prenatal imaging findings to outcome data in larger patient collectives. KEY POINTS: Question What are the phenotypical presentations of CHARGE syndrome, trisomy 13, and trisomy 18 in fetal MRI and can prenatal MRI findings help clinicians in predicting postnatal outcomes? Findings MRI phenomes were visualized in co-occurrence networks, and a preliminary disease severity score was proposed, based on available outcome data, to aid in risk stratification. Clinical relevance Recent trends in management, a shift from mostly palliative to therapeutic care for affected patients, have challenged clinicians. The provided phenome visualization of these heterogeneous diseases and the proposed disease severity score may aid physicians in counseling and selecting appropriate pregnancy management.</t>
  </si>
  <si>
    <t>Eur Radiol</t>
  </si>
  <si>
    <t>42605489</t>
  </si>
  <si>
    <t>Machida M</t>
  </si>
  <si>
    <t>Scoliosis in Patients with Trisomy 18 Surviving More Than One Year.</t>
  </si>
  <si>
    <t>INTRODUCTION: Trisomy 18 is a chromosomal abnormality with an estimated prevalence of 4.8 per 10,000 births. The condition is associated with scoliosis; however, the nature of this relationship is incompletely understood, as historically the 1-year mortality rate has ranged from 75% to 95%. With modern treatment, many individuals with trisomy 18 are now surviving beyond their first year of life, and consequently treating teams are encountering a greater number of patients with trisomy 18-associated spinal deformity. This case series makes recommendations for the early identification of deformity in patients with trisomy 18. METHODS: The clinical records and spine or chest radiographs of 18 consecutive patients aged at least one year who were diagnosed with trisomy 18 were reviewed. The results of radiological assessment for the presence, prevalence, and time of onset of associated spinal deformity were described. RESULTS: Seventeen of 18 patients who survived beyond one year from birth demonstrated scoliosis. Eleven patients survived and seven died during follow-up. The average age at diagnosis was 2.1±1.5 years (range: 0.1-6.5), and the average age at final follow-up was 4.4±4.1 years (range: 1.1-19.1). The coronal angular deformity at final follow-up was 35.2°±30.4° (range: 14.0°-141.9°). Five patients were diagnosed with scoliosis before one year of age, two of whom had severe scoliosis greater than 45° at the time of diagnosis. Although one patient was treated with bracing, bracing failed to prevent progression of the coronal deformity. No patients underwent surgical correction due to poor health status. CONCLUSIONS: Individuals with trisomy 18 develop scoliosis with very early onset. Screening for scoliosis from birth is recommended to facilitate early identification and characterization of spinal deformities in patients with trisomy 18.</t>
  </si>
  <si>
    <t>Spine Surg Relat Res</t>
  </si>
  <si>
    <t>41257854</t>
  </si>
  <si>
    <t>Kim JY</t>
  </si>
  <si>
    <t>Epigenome-wide profiling of trisomy 18 specific DNA methylation signatures in first-trimester chorionic villi.</t>
  </si>
  <si>
    <t>BACKGROUND: Trisomy 18 (T18, Edwards syndrome) is a lethal chromosomal disorder characterized by multiple congenital anomalies and high perinatal mortality. Although epigenetic alterations have been described in aneuploidy conditions, their causal role in the pathogenesis of T18 remains unclear. This study aimed to characterize genome-wide DNA methylation changes associated with T18 during early development. MATERIAL AND METHODS: Genomic DNA was extracted from chorionic villi of five T18 and five euploid fetuses, as well as from normal maternal blood, at 11-13 weeks of gestation. High-resolution methyl-capture sequencing (MC-seq) was performed to profile DNA methylation at approximately 3.2 million CpG sites. Differentially methylated CpG sites (DMCs) and regions (DMRs) were identified. Functional and disease-association enrichment analyses were conducted using multiple bioinformatics tools. RESULTS: A global trend of DNA hypermethylation was observed in the chorionic villi of T18 fetuses. A total of 6,510 DMCs were identified, including 4,022 hypermethylated and 2,488 hypomethylated CpG sites. Additionally, 301 DMRs were identified, comprising 233 hypermethylated and 68 hypomethylated regions. Notably, chromosome 18, the disease-causing chromosome, contained the highest number of hypermethylated DMRs. Functional enrichment analysis of the 283 genes, including 301 DMRs, revealed significant involvement in biological processes and disease phenotypes relevant to T18, including nervous system development, anatomical structure morphogenesis, and embryonic morphogenesis (adjusted P &lt; 0.001 for all). Among them, 76 DMRs exhibited completely inverse methylation patterns in maternal blood and were identified as potential epigenetic biomarkers for non-invasive prenatal testing of T18. CONCLUSIONS: To our knowledge, this is the first comprehensive MC-seq-based analysis of T18-specific DNA methylation patterns in first-trimester chorionic villi. These findings suggest that DNA methylation changes may represent downstream consequences of chromosomal imbalance in T18 and provide a foundation for future investigations into its pathophysiology and the development of epigenetic biomarkers for early non-invasive detection.</t>
  </si>
  <si>
    <t>Clin Epigenetics</t>
  </si>
  <si>
    <t>37937891</t>
  </si>
  <si>
    <t>Dress C</t>
  </si>
  <si>
    <t>Airway findings in trisomy 13 and trisomy 18: A 10-year retrospective review.</t>
  </si>
  <si>
    <t>BACKGROUND AND OBJECTIVES: Trisomy 18 and trisomy 13 are the most common autosomal trisomies following trisomy 21, with overall incidence rising. Both diagnoses are characterized by multisystem involvement and were previously thought to be incompatible with life. New data suggest that prolonged survival is possible, and thus many families are opting for more aggressive medical interventions. This study aims to describe airway findings in trisomy 18 and trisomy 13, as these have not been comprehensively studied and can impact medical decision-making. We hypothesize that most children with trisomy 18 and trisomy 13 will have abnormal findings on airway endoscopy. METHODS: This a 10-year retrospective analysis of children with trisomy 13 or trisomy 18 who underwent endoscopic airway evaluation at a single center between 2011 and 2021. A total of 31 patients were evaluated. RESULTS: Thirty-one patients were included and underwent flexible bronchoscopy by a pediatric pulmonologist, often in conjunction with rigid bronchoscopy performed by pediatric otolaryngology. Findings were typically complimentary. All patients had at least one clinically significant finding on evaluation, and most patients had both upper and lower airway, as well as static and dynamic airway findings. The most common airway findings in children with trisomy 13 and 18 include tracheomalacia, bronchomalacia, laryngomalacia, hypopharyngeal collapse, glossoptosis, and bronchial compression. CONCLUSION: These findings can have significant implications for clinical care, and thus knowledge of trends has the potential to improve counseling on expected clinical course, presurgical planning, and informed consent before interventions.</t>
  </si>
  <si>
    <t>Pediatr Pulmonol</t>
  </si>
  <si>
    <t>38038141</t>
  </si>
  <si>
    <t>Shravya MS</t>
  </si>
  <si>
    <t>Comprehensive phenotyping of fetuses with trisomy 18: a perinatal center experience.</t>
  </si>
  <si>
    <t>Trisomy 18 is the second most common aneuploidy after trisomy 21. It presents with varying degrees of heterogeneous clinical phenotypes involving multiple organ systems, with a high mortality rate. Clinical assessment of fetal trisomy 18 is always challenging. In this study, we describe the phenotypes of the fetuses with trisomy 18 from a perinatal cohort. We reviewed fetuses with trisomy 18 in referrals for perinatal autopsy over the period of 15 years. A detailed phenotyping of the fetuses with trisomy 18 was executed by perinatal autopsy. Appropriate fetal tissues were obtained to perform genomic testing. We observed trisomy 18 in 16 fetuses (2%) in our cohort of 784 fetal/neonatal losses and a perinatal autopsy was performed on all of them. Abnormal facial profile was the most frequent anomaly (10/16, 62%) followed by anomalies of the extremities (9/16, 56%), and cardiac defects (6/16, 37%). We also observed esophageal atresia, diaphragmatic hernia, and neural tube defect. The study represents one of the largest cohorts of trisomy 18 from a perinatal center from a developing country and highlights the clinical heterogeneity attributed to trisomy 18. We also report a recurrence of trisomy 18 in a family.</t>
  </si>
  <si>
    <t>Clin Dysmorphol</t>
  </si>
  <si>
    <t>38062644</t>
  </si>
  <si>
    <t>Sato R</t>
  </si>
  <si>
    <t>Cause, severity, and efficacy of treatment for hearing loss in children with Trisomy 18: A single institution-based retrospective study.</t>
  </si>
  <si>
    <t>Trisomy 18 is a common chromosomal aberration syndrome, characterized by variable clinical manifestations, including cardiovascular, pulmonary, genitourinary, and musculoskeletal findings, leading to a shorter survival and severe developmental delay in survivors. However, recently, intensive therapeutic intervention has allowed for prolonging survival. In terms of otological complications, only a limited number of relevant reports have been published. To demonstrate the characteristic of hearing loss (HL) in children with Trisomy 18, we retrospectively evaluated 22 patients (44 ears) by comprehensive auditory evaluation with the auditory steady-state response (ASSR) test and temporal bone computed tomography (CT). ASSR revealed that 20 patients (91%) had bilateral moderate to profound HL, more frequent and severe than that in Trisomy 21; among 42 ears having HL, 12 ears (29%) had conductive HL, and 26 ears (62%) had mixed HL. CT scans of 38 ears revealed that 34 ears (89%) had an external and middle ear malformation. Hearing aids (HA) were fitted in 17 patients (air and bone-conduction HAs). The threshold hearing with HA was improved in all of them. Accurate otological evaluation using ASSR and CT and intervention by HAs could be a feasible choice for children with Trisomy 18.</t>
  </si>
  <si>
    <t>38955626</t>
  </si>
  <si>
    <t>Ziogas IA</t>
  </si>
  <si>
    <t>Management and Outcomes of Hepatoblastoma in Patients With Trisomy 18: A Systematic Review and Pooled Analysis of 70 Patients.</t>
  </si>
  <si>
    <t>INTRODUCTION: Predicted 1-year survival of children with trisomy 18 (T18) has increased to 59.3%. We aimed to systematically review the characteristics, management, and outcomes of children with T18 and hepatoblastoma. METHODS: A systematic literature review of the PubMed, Embase, Scopus, Web of Science, and Cochrane Library databases was performed according to the PRISMA 2020 statement (end-of-search date: 03/03/2024). RESULTS: Fifty studies reporting on 70 patients were included. The median age at diagnosis was 11.5 months, 85.9% were female (n = 55/64), and 15.0% had mosaic T18 (n = 6/40). Diagnosis was made during symptom evaluation (most commonly hepatomegaly or abdominal mass) in 45.5% (n = 15/33), incidentally in 24.2% (n = 8/33), during surveillance with abdominal ultrasound in 18.2% (n = 6/33), and at autopsy in 12.1% (n = 4/33). The median tumor size was 6.4 cm, 33.3% had multiple tumors (n = 14/42), and metastasis was present in one patient (3.8%; n = 1/26). Neoadjuvant chemotherapy was administered in 42.6% (n = 26/61) and adjuvant chemotherapy in 31.6% (n = 18/57). Surgical treatment was performed in 64.2% (n = 43/67). Of the patients not diagnosed on autopsy, overall mortality was 35.5% (n = 22/62) over a median follow-up of 11.0 months. Among the 26 deceased patients (including those diagnosed on autopsy), the most common causes of death were cardiopulmonary disease (38.5%, n = 10/26) and tumor progression (30.8%, n = 8/26). CONCLUSIONS: T18 does not preclude resection with curative intent for hepatoblastoma. Combination of surgery and chemotherapy should be considered in children on an individualized basis depending on tumor characteristics and underlying cardiopulmonary comorbidities. Locoregional modalities may have a role in the setting of severe comorbidities. LEVEL OF EVIDENCE: Level IV evidence.</t>
  </si>
  <si>
    <t>37158261</t>
  </si>
  <si>
    <t>Benson J</t>
  </si>
  <si>
    <t>Otolaryngologic Manifestations of Trisomy 13 and Trisomy 18 in Pediatric Patients.</t>
  </si>
  <si>
    <t>OBJECTIVE: The survival rate of patients with trisomy 13 and trisomy 18 has increased dramatically over the past two decades. We sought to comprehensively describe the otolaryngologic clinical characteristics and procedures required for these patients at our institution. METHODS: We performed algorithmic identification of patients with a diagnosis of trisomy 13 and trisomy 18 for whom the otolaryngology service provided inpatient or outpatient care at our institution between the dates of February 1997 and March 2021. RESULTS: Of the 47 patients studied, 18 patients had a diagnosis of trisomy 13, and 29 had a diagnosis of trisomy 18. Complete trisomy was present in 44% (8/18) of trisomy 13 patients and 55% (16/29) of trisomy 18 patients. 81% of patients were living at the time of the study. About 94% (44/47) of patients required consultation with another specialty in addition to Otolaryngology. Overall, the most common diagnoses among this cohort were gastroesophageal reflux disease (47%), dysphagia (40%), otitis media (38%), and obstructive sleep apnea (34%). Nearly three-quarters (74%) of patients studied required an otolaryngologic procedure. The most common surgical procedure was tonsillectomy and/or adenoidectomy. Patients with trisomy 18 were significantly more likely to have external auditory canal stenosis and obstructive sleep apnea whereas patients with trisomy 13 were more likely to have cleft lip and palate. CONCLUSIONS: Patients with a diagnosis of trisomy 13 or 18 often require multidisciplinary management and the range of required care spans the breadth of otolaryngology. LEVEL OF EVIDENCE: 4 Laryngoscope, 133:1501-1506, 2023.</t>
  </si>
  <si>
    <t>Laryngoscope</t>
  </si>
  <si>
    <t>Journal Article; Research Support, Non-U.S. Gov't; Research Support, N.I.H., Extramural</t>
  </si>
  <si>
    <t>37303261</t>
  </si>
  <si>
    <t>Czosek RJ</t>
  </si>
  <si>
    <t>Incidence and outcome of arrhythmias and electrical disease in patients with Trisomy 18.</t>
  </si>
  <si>
    <t>Patients with Trisomy 18 have a high incidence of cardiac anomalies and are associated with early death. Because of early mortality, electrical system disease and arrhythmia has been difficult to delineate and the incidence remain unknown. We sought to describe the association and clinical outcomes of electrical system disease and cardiac tachy-arrhythmias in patients with Trisomy 18. This was a retrospective, single institutional study. All patients with Trisomy 18 were included in the study. Patient characteristics, congenital heart disease (CHD), conduction system and clinical tachy-arrhythmia data were collected on all patients. Outcomes including cardiac surgical interventions, electrical system interventions and death were collected until the time of study. Patients with tachy-arrhythmias/electrical system involvement were compared to those without to identify potential associated variables. A total of 54 patients with Trisomy 18 were included in analysis. The majority of patients was female and had associated CHD. AV nodal conduction system abnormalities with either first or second degree AV block were common (15%) as was QTc prolongation (37%). Tachy-arrhythmias were common with 22% of patients having at least one form of tachy-arrhythmia and associated with concomitant conduction system disease (p = 0.002). Tachy-arrhythmias were typically treatable with monitoring or medication with eventual resolution without need for procedural intervention. Although early death was common, there were no causes of death associated with tachy-arrhythmia or conduction system disease. In conclusion, patients with Trisomy 18 have a high incidence of conduction system abnormalities and burden of clinical tachy-arrhythmias. Although frequent, electrical system disease did not affect patient outcome or difficultly of care delivery.</t>
  </si>
  <si>
    <t>36401256</t>
  </si>
  <si>
    <t>Zhang M</t>
  </si>
  <si>
    <t>Integrative analyses of maternal plasma cell-free DNA nucleosome footprint differences reveal chromosomal aneuploidy fetuses gene expression profile.</t>
  </si>
  <si>
    <t>BACKGROUND: Chromosomal aneuploidy is the most common birth defect. However, the developmental mechanism and gene expression profile of fetuses with chromosomal aneuploidy are relatively unknown, and the maternal immune changes induced by fetal aneuploidy remain unclear. The inability to obtain the placenta multiple times in real-time is a bottleneck in research on aneuploid pregnancies. Plasma cell-free DNA (cfDNA) carries the gene expression profile information of its source cells and may be used to evaluate the development of fetuses with aneuploidy and the immune changes induced in the mother owing to fetal aneuploidy. METHODS: Here, we carried out whole-genome sequencing of the plasma cfDNA of 101 pregnant women carrying a fetus with trisomy (trisomy 21, n = 42; trisomy 18, n = 28; trisomy 13, n = 31) based on non-invasive prenatal testing (NIPT) screening and 140 normal pregnant women to identify differential genes according to the cfDNA nucleosome profile in the region around the transcription start sites (TSSs). RESULTS: The plasma cfDNA promoter profiles were found to differ between aneuploid and euploid pregnancies. A total of 158 genes with significant differences were identified, of which 43 genes were upregulated and 98 genes were downregulated. Functional enrichment and signaling pathway analysis were performed based on Gene Ontology (GO) and Kyoto Encyclopedia of Genes and Genomes (KEGG) databases found that these signal pathways were mainly related to the coordination of developmental signals during embryonic development, the control of cell growth and development, regulation of neuronal survival, and immune regulation, such as the MAPK, Hippo, TGF-β, and Rap1 signaling pathways, which play important roles in the development of embryonic tissues and organs. Furthermore, based on the results of differential gene analysis, a total of 14 immune-related genes with significant differences from the ImmPort database were collected and analyzed. These significantly different immune genes were mainly associated with the maintenance of embryonic homeostasis and normal development. CONCLUSIONS: These results suggest that the distribution characteristics of cfDNA nucleosomes in maternal plasma can be used to reflect the status of fetal development and changes of the immune responses in trisomic pregnancies. Overall, our findings may provide research ideas for non-invasive detection of the physiological and pathological states of other diseases.</t>
  </si>
  <si>
    <t>J Transl Med</t>
  </si>
  <si>
    <t>32981701</t>
  </si>
  <si>
    <t>Swanson SK</t>
  </si>
  <si>
    <t>Impact of trisomy 13 and 18 on airway anomalies and pulmonary complications after cardiac surgery.</t>
  </si>
  <si>
    <t>OBJECTIVE: To determine the prevalence and influence of clinically significant airway and/or respiratory abnormalities in patients with trisomy 13 and 18 undergoing cardiac surgery. METHODS: We performed a retrospective, case-control cohort study of all patients with known trisomy 13 or 18 who underwent cardiac operations at our institution from 1994 to 2014. Cases were matched 3:1 by age, surgical date, and cardiac lesion with nontrisomy 13/18 patients. Baseline clinical characteristics and patient outcomes, including postoperative course and management were compared. Descriptive statistics and Wilcoxon rank-sum test or Fisher exact test as appropriate were used to determine significant differences. RESULTS: In the 14 trisomy 13/18 patients who underwent cardiac surgery, there was an increased incidence of postoperative complications. Specifically, 93% had airway or pulmonary complications, including prolonged mechanical ventilation (n = 8), prolonged noninvasive positive pressure ventilation (n = 6), re-intubation (n = 7), tracheitis/pneumonia (n = 6), and tracheostomy (n = 2). The duration of intubation was longer (7.5 vs 2 days; P &lt; .0001) as was the duration of noninvasive positive pressure ventilation (8 vs 2 days; P &lt; .04) with longer hospital length of stay in the trisomy 13/18 cohort. There was 1 in-hospital mortality, with none in the control group. CONCLUSIONS: Although most trisomy 13/18 patients survive cardiac surgery, these patients have an increased incidence of airway complications, requiring longer intensive respiratory support postoperatively that contributes to longer length of stay. Parental guidance before cardiac surgery should include a discussion about postoperative airway management.</t>
  </si>
  <si>
    <t>33644930</t>
  </si>
  <si>
    <t>Birmingham EE</t>
  </si>
  <si>
    <t>Anesthesia for children with complete trisomy 18 (Edwards syndrome): A cohort review of 84 anesthesia encounters in nine patients.</t>
  </si>
  <si>
    <t>BACKGROUND: Trisomy 18 or Edwards syndrome is the second most common aneuploidy with a prevalence between 1/3000 and 1/10 000 live births. The syndrome encompasses malformations of the central nervous, cardiac, respiratory, gastrointestinal, and genitourinary systems. Trisomy 18 carries a poor prognosis with 90% of patients not surviving beyond 1 year of age; however, the current trend toward more aggressive supportive care may prolong survival. The limited anesthesia literature highlights the abnormal airway anatomy but generally describes uneventful airway management and perioperative course. AIM: Our goal was to review all anesthesia encounters recorded for eleven trisomy 18 patients treated at Children's Wisconsin during the study period to explore the frequency of anesthesia encounters and to improve our understanding of the perioperative risks. METHODS: We performed a retrospective chart review of all patients with trisomy 18 who were treated at our institution between 2012 and 2017. Records were screened for anesthesia encounters, perioperative critical events and complications, enrollment in palliative care, code status, and time of death. RESULTS: Eleven children were identified. Children were born between 2001 and 2016. Two children never required anesthesia care. Nine patients had a total of 84 anesthesia encounters for 121 surgical or diagnostic procedures or emergent intubations. Critical events and perioperative complications included difficult mask ventilation (n = 7), difficult intubation (n = 15), and mechanical or pharmacological cardiopulmonary resuscitation (n = 6). Five patients presented with difficult peripheral intravenous access. One patient died in the immediate postoperative period. On five occasions, patients required emergent intubation outside of the operating room. CONCLUSION: Difficult airway management and respiratory compromise were critical concerns during the perioperative period in our patient population, and the inability to ventilate could lead to cardiorespiratory arrest. This case series provides a comprehensive, longitudinal view of complete trisomy 18 patients in the perioperative period and adds information for counseling families and care providers.</t>
  </si>
  <si>
    <t>32522368</t>
  </si>
  <si>
    <t>Kettler EB</t>
  </si>
  <si>
    <t>Sleep disordered breathing in children with trisomy 13 and trisomy 18.</t>
  </si>
  <si>
    <t>PURPOSE: While the prevalence of obstructive sleep apnea (OSA) is well documented in trisomy 21, there has been little published about the incidence in trisomy 13 (T13) and trisomy 18 (T18). Trisomies 13, 18, and 21 have overlapping clinical features that make patients prone to OSA. Because the literature regarding OSA in T13 and T18 children is limited, we performed a retrospective chart review to investigate the characteristics of these patients. METHODS: We reviewed the medical records of children with T13 or T18 seen at seen at a single urban tertiary children's hospital for sleep disordered breathing from 1/1/10 to 5/1/18. Candidates were selected based on ICD-9 diagnosis and procedural codes. RESULTS: We identified 21 T18 patients that had documented symptoms of SDB, of which 3 were diagnosed with OSA, 11 had clinical SDB, and 7 had snoring. Of the T13 patients, 10 had documented symptoms of SDB, of which 1 patient was diagnosed with OSA, 7 with clinical SDB, and 2 with snoring. In both T13 and T18 patients, anatomical features included micrognathia/mandibular hypoplasia, small mouth/small airway, midface hypoplasia, abnormal/difficult airway, glossoptosis, hypotonia, and GERD. Endoscopic findings included laryngomalacia and/or tracheomalacia, adenoid and lingual tonsil hypertrophy, and inferior turbinate hypertrophy. Surgical interventions performed in T13 and T18 patients included adenoidectomy, lingual tonsillectomy, and tracheostomy. Of the 32 T13 and T18 patients, 15 had to be intubated for respiratory insufficiency. CONCLUSION: The results of our study suggest that T13 and T18 patients are at increased risk for OSA due to common features found in this population. These findings indicate a need for otolaryngologist intervention to increase both survival and quality of life in this population.</t>
  </si>
  <si>
    <t>Am J Otolaryngol</t>
  </si>
  <si>
    <t>29049012</t>
  </si>
  <si>
    <t>Volk M</t>
  </si>
  <si>
    <t>Transcriptome Profiling Uncovers Potential Common Mechanisms in Fetal Trisomies 18 and 21.</t>
  </si>
  <si>
    <t>Human trisomies have recently been investigated using transcriptomics approaches to identify the gene expression (GE) signatures characteristic of each of these specific aneuploidy conditions. We hypothesized that the viability of cells with gross genomic imbalances might be associated with the activation of resilience mechanisms that are common to different trisomies and that are reflected by specific shared GE patterns. We report in this article our microarray GE analyses of amniocytes from fetuses with viable trisomy conditions, trisomy 21 or trisomy 18, to detect such common expression signatures. Comparative analysis of significantly differentially expressed genes in trisomies 18 and 21 revealed six dysregulated genes common to both: OTUD5, ADAMTSL1, TADA2A, PPID, PIAS2, and MAPRE2. These genes are involved in ubiquitination, protein folding, cell proliferation, and apoptosis. Pathway-based enrichment analyses demonstrated that both trisomies showed dysregulation of the PI3K/AKT pathway, cell cycle G2/M DNA damage checkpoint regulation, and cell death and survival, as well as inhibition of the upstream regulator TP53. Our data collectively suggest that trisomies 18 and 21 share common functional GE signatures, implying that common mechanisms of resilience might be activated in aneuploid cells to resist large genomic imbalances. To the best of our knowledge, this is the first study to use global GE profiling data to identify potential common mechanisms in fetal trisomies. Studies of other trisomies using transcriptomics and multiomics approaches might further clarify mechanisms activated in trisomy syndromes.</t>
  </si>
  <si>
    <t>OMICS</t>
  </si>
  <si>
    <t>27474103</t>
  </si>
  <si>
    <t>Satgé D</t>
  </si>
  <si>
    <t>A tumor profile in Edwards syndrome (trisomy 18).</t>
  </si>
  <si>
    <t>Constitutional trisomy 18 causes Edwards syndrome, which is characterized by intellectual disability and a particular set of malformations. Although this condition carries high mortality during prenatal and early postnatal life, some of the rare infants who survive the first months develop benign and malignant tumors. To determine the tumor profile associated with Edwards syndrome, we performed a systematic review of the literature. This review reveals a tumor profile differing from those of Down (trisomy 21) and Patau (trisomy 13) syndromes. The literature covers 45 malignancies: 29 were liver cancers, mainly hepatoblastomas found in Japanese females; 13 were kidney tumors, predominantly nephroblastomas; 1 was neuroblastoma; 1 was a Hodgkin disease; and 1 was acute myeloid leukemia in an infant with both trisomy 18 and type 1 neurofibromatosis. No instances of the most frequent malignancies of early life-cerebral tumors, germ cell tumors, or leukemia--are reported in children with pure trisomy 18. Tumor occurrence does not appear to correlate with body weight, tissue growth, or cancer genes mapping to chromosome 18. Importantly, the most recent clinical histories report successful treatment; this raises ethical concerns about cancer treatment in infants with Edwards syndrome. In conclusion, knowledge of the Edwards' syndrome tumor profile will enable better clinical surveillance in at-risk organs (i.e., liver, kidney). This knowledge also provides clues to understanding oncogenesis, including the probably reduced frequency of some neoplasms in infants and children with this genetic condition. © 2016 Wiley Periodicals, Inc.</t>
  </si>
  <si>
    <t>27545023</t>
  </si>
  <si>
    <t>Josephsen JB</t>
  </si>
  <si>
    <t>Procedures in the 1st year of life for children with trisomy 13 and trisomy 18, a 25-year, single-center review.</t>
  </si>
  <si>
    <t>Care of the child born with trisomy 13 or 18 has evolved over the past few decades, leading to increased healthcare utilization. We hypothesized that there has been an increase in procedures across all intensity types, including major, invasive procedures. We performed a retrospective-cohort study of children with trisomy 13 or 18 from 1990 to 2014 in a quaternary, free-standing children's hospital. Children were identified using ICD-9 billing diagnoses. Procedures were identified during these encounters and categorized by intensity (major, intermediate, or minor). One hundred thirty-two children with trisomy 13 or 18 were identified. In children with trisomy 13, major procedures increased from period 1 (1990-1997) to period 3 (2006-2013) from 0.11 to 0.78 procedures per patient. For trisomy 18, the increase between the time periods was from 0.14 to 1.33 procedures per patient. By the end of the study period, nearly all trisomy 13 patients had a major procedure and the majority of those with trisomy 18 had undergone a major procedure. Estimated 1-year survival for those with a major procedure was 30% and 22% for trisomies 13 and 18, respectively. In conclusion, there was an increasing rate of procedures per patient of all intensity levels over the 25-year study period. Given differences in characteristics in those with trisomies 13 and 18, and effects of intervention on survival, an individualized approach to care of these patients should be employed by parents and healthcare providers, using factors such as trisomy type, infant gender, co-morbidities, and parental preference. © 2016 Wiley Periodicals, Inc.</t>
  </si>
  <si>
    <t>26375930</t>
  </si>
  <si>
    <t>Karimnejad K</t>
  </si>
  <si>
    <t>Otolaryngologic surgery in children with trisomy 18 and 13.</t>
  </si>
  <si>
    <t>OBJECTIVES: Trisomy 18 and 13 are the most common autosomal trisomy disorders after Down syndrome. Given the high mortality rate (5-10% one-year survival), trisomy 18 and 13 were historically characterized as uniformly lethal and palliation was the predominant management approach. Management strategy has shifted with recognition that through medical and surgical intervention, children with trisomy 18 and 13 can achieve developmental milestones, live meaningful lives, and exhibit long-term survival. Otolaryngologic surgery in children with trisomy 18 and 13 has not been described. The objective of this article is to describe the role of the otolaryngologist in the management of children with trisomy 18 and 13. METHODS AND MATERIALS: Retrospective cohort analysis of the surgery registry for the Support Organization for Trisomy 18, 13 and Related Disorders for otolaryngologic surgeries reported from 1988 through June 1, 2014. RESULTS: In the database of approximately 1349 children, 1380 procedures were reported, 231 (17%) of which were otolaryngologic. The most common otolaryngologic procedures were tympanostomy tube placement (57/231, 25%), cleft lip repair (40/231, 17%), tracheostomy (38/231, 16.5%), tonsillectomy and/or adenoidectomy (37/231, 16%), and cleft palate repair (30/231, 13%). Of the ten most common procedures reported, four were otolaryngologic. CONCLUSIONS: Seventeen percent of procedures performed in children with trisomy 18 and 13 were otolaryngologic, highlighting the significant role of the otolaryngologist in the treatment of these patients. Surgical intervention may be considered as part of a balanced approach to patient care.</t>
  </si>
  <si>
    <t>Int J Pediatr Otorhinolaryngol</t>
  </si>
  <si>
    <t>24080483</t>
  </si>
  <si>
    <t>Nakamura K</t>
  </si>
  <si>
    <t>Telomere lengths at birth in trisomies 18 and 21 measured by Q-FISH.</t>
  </si>
  <si>
    <t>Trisomies 18 and 21 are genetic disorders in which cells possess an extra copy of each of the relevant chromosomes. Individuals with these disorders who survive birth generally have a shortened life expectancy. As telomeres are known to play an important role in the maintenance of genomic integrity by protecting the chromosomal ends, we conducted a study to determine whether there are differences in telomere length at birth between individuals with trisomy and diploidy, and between trisomic chromosomes and normal chromosomes. We examined samples of peripheral blood lymphocytes (PBLs) from 31 live neonates (diploidy: 10, trisomy 18: 10, trisomy 21: 11) and estimated the telomere length of each chromosome arm using Q-FISH. We observed that the telomeres of trisomic chromosomes were neither shorter nor longer than the mean telomere length of chromosomes as a whole among subjects with trisomies 18 and 21 (intra-cell comparison), and we were unable to conclude that there were differences in telomere length between 18 trisomy and diploid subjects, or between 21 trisomy and diploid subjects (inter-individual comparison). Although it has been reported that telomeres are shorter in older individuals with trisomy 21 and show accelerated telomere shortening with age, our data suggest that patients with trisomies 18 and 21 may have comparably sized telomeres. Therefore, it would be advisable for them to avoid lifestyle habits and characteristics such as obesity, cigarette smoking, chronic stress, and alcohol intake, which lead to marked telomere shortening.</t>
  </si>
  <si>
    <t>Gene</t>
  </si>
  <si>
    <t>24424506</t>
  </si>
  <si>
    <t>Bots J</t>
  </si>
  <si>
    <t>Higher limb asymmetry in deceased human fetuses and infants with aneuploidy.</t>
  </si>
  <si>
    <t>Aneuploidies cause gene-dosage imbalances that presumably result in a generalized decreased developmental homeostasis, which is expected to be detectable through an increase in fluctuating asymmetry (FA) of bilateral symmetric traits. However, support for the link between aneuploidy and FA is currently limited and no comparisons among different aneuploidies have been made. Here, we study FA in deceased human fetuses and infants from a 20-year hospital collection. Mean FA of limb bones was compared among groups of aneuploidies with different prenatal and postnatal survival chances and two reference groups (normal karyogram or no congenital anomalies). Limb asymmetry was 1.5 times higher for aneuploid cases with generally very short life expectancies (trisomy 13, trisomy 18, monosomy X, triploidy) than for trisomy 21 patients and both reference groups with higher life expectancies. Thus, FA levels are highest in groups for which developmental disturbances have been highest. Our results show a significant relationship between fluctuating asymmetry, human genetic disorders and severity of the associated abnormalities.</t>
  </si>
  <si>
    <t>21627552</t>
  </si>
  <si>
    <t>Case AP</t>
  </si>
  <si>
    <t>Prenatal diagnosis and cesarean section in a large, population-based birth defects registry.</t>
  </si>
  <si>
    <t>OBJECTIVE: To describe the patterns of cesarean section (CS) and vaginal delivery by type of birth defect and determine whether prenatal diagnosis predicts a higher or lower likelihood of CS for selected defect categories. METHODS: Data from a large population-based registry were analyzed to determine percentages of vaginal versus CS delivery for each of 49 categories of birth defects. Odds ratios and statistical significance were computed to determine if a record of prenatal diagnosis (PND) predicted delivery mode. Cases were liveborn children with any of these defects born in Texas between 1997 and 2005. RESULTS: Forty-three percent of infants in the study were delivered by CS, with a range of 25.3% (aniridia) to 62.4% (spina bifida). A record of prenatal diagnosis of the primary assigned birth defect was found in 43.0% of all records but varied substantially by defect category. PND significantly predicted higher CS percentages for spina bifida without anencephaly, encephalocele, hydrocephaly, transposition of the great vessels, ventricular septal defect, pulmonary valve atresia/stenosis, craniosynostosis, diaphragmatic hernia, gastroschisis, and trisomy 21. Vaginal delivery was predicted by PND of anencephaly, agenesis, aplasia, or hypoplasia of the lung, renal agenesis or dysgenesis, and trisomy 18. CONCLUSION: Texas children with birth defects are more likely to have been delivered by CS than the population in general. For several types of defects, prenatal diagnosis is predictive of higher odds of CS; for others, especially fatal defects, PND predicts lower CS likelihood.</t>
  </si>
  <si>
    <t>Journal Article; Research Support, U.S. Gov't, P.H.S.</t>
  </si>
  <si>
    <t>21152935</t>
  </si>
  <si>
    <t>Koide K</t>
  </si>
  <si>
    <t>Transcriptomic analysis of cell-free fetal RNA suggests a specific molecular phenotype in trisomy 18.</t>
  </si>
  <si>
    <t>Trisomy 18 is a common human aneuploidy that is associated with significant perinatal mortality. Unlike the well-characterized "critical region" in trisomy 21 (21q22), there is no corresponding region on chromosome 18 associated with its pathogenesis. The high morbidity and mortality of affected individuals has limited extensive investigations. In order to better understand the molecular mechanisms underlying the congenital anomalies observed in this condition, we investigated the in utero gene expression profile of second trimester fetuses affected with trisomy 18. Total RNA was extracted from cell-free amniotic fluid supernatant from aneuploid fetuses and euploid controls matched for gestational age and hybridized to Affymetrix U133 Plus 2.0 arrays. Individual differentially expressed transcripts were obtained by two-tailed t tests. Over-represented functional pathways among these genes were identified with DAVID and Ingenuity(®) Pathways Analysis. Results show that three hundred and fifty-two probe sets representing 251 annotated genes were statistically significantly differentially expressed between trisomy 18 and controls. Only 7 genes (2.8% of the annotated total) were located on chromosome 18, including ROCK1, an up-regulated gene involved in valvuloseptal and endocardial cushion formation. Pathway analysis indicated disrupted function in ion transport, MHCII/T cell mediated immunity, DNA repair, G-protein mediated signaling, kinases, and glycosylation. Significant down-regulation of genes involved in adrenal development was identified, which may explain both the abnormal maternal serum estriols and the pre and postnatal growth restriction in trisomy 18. Comparison of this gene set to one previously generated for trisomy 21 fetuses revealed only six overlapping differentially regulated genes. This study contributes novel information regarding functional developmental gene expression differences in fetuses with trisomy 18.</t>
  </si>
  <si>
    <t>Hum Genet</t>
  </si>
  <si>
    <t>20150778</t>
  </si>
  <si>
    <t>Neonatal experiences of newborns with full trisomy 18.</t>
  </si>
  <si>
    <t>PURPOSE: To provide information about neonatal experiences for newborns with full trisomy 18 (t18). SUBJECTS: Mothers of 21 newborns with full t18 (13 survivors; 8 who died prior to mothers' participation in the study). DESIGN: Mixed method, descriptive, online survey. METHODS: Subjects completed an online survey. Data were downloaded into an SPSS database. Descriptive statistics were used to analyze resulting data. MAIN OUTCOME MEASURES: Subjects' responses on Tracking Rare Incidence Syndromes survey. PRINCIPAL RESULTS: Newborns presented with syndrome-related physical characteristics (eg, low-set ears, small jaw) and medical conditions (eg, heart defects). Gestational age was generally older than what is described in the existent literature. In the NICU, newborns were provided with a variety of equipments (eg, nasal cannula, pulse oximeter) and received treatments including blood transfusions and echocardiograms. Data also indicate longer survival rates (103.3 months for survivors, 37.5 months for nonsurvivors) than that described in the literature. CONCLUSIONS: Data indicate presence of common presenting physical and medical characteristics and varied medical assistance to newborns with full t18.</t>
  </si>
  <si>
    <t>Adv Neonatal Care</t>
  </si>
  <si>
    <t>18253026</t>
  </si>
  <si>
    <t>Altug-Teber O</t>
  </si>
  <si>
    <t>Specific transcriptional changes in human fetuses with autosomal trisomies.</t>
  </si>
  <si>
    <t>Among full autosomal trisomies, only trisomies of chromosome 21 (Down syndrome), 18 (Edwards syndrome) and 13 (Patau syndrome) are compatible with postnatal survival. But the mechanisms, how a supernumerary chromosome disrupts the normal development and causes specific phenotypes, are still not fully explained. As an alternative to gene dosage effect due to the trisomic chromosome a genome-wide transcriptional dysregulation has been postulated. The aim of this study was to define the transcriptional changes in trisomy 13, 18, and 21 during early fetal development in order to obtain more insights into the molecular etiopathology of aneuploidy. Using oligonucleotide microarrays, we analyzed whole genome expression profiles in cultured amniocytes (AC) and chorionic villus cells (CV) from pregnancies with a normal karyotype and with trisomies of human chromosomes 13, 18 and 21. We observed a low to moderate up-regulation for a subset of genes of the trisomic chromosomes. Transcriptional levels of most of the genes on the supernumerary chromosome appeared similar to the respective chromosomal pair in normal karyotypes. A subset of chromosome 21 genes including the DSCR1 gene involved in fetal heart development was consistently up-regulated in different prenatal tissues (AC, CV) of trisomy 21 fetuses whereas only minor changes were found for genes of all other chromosomes. In contrast, in trisomy 18 vigorous downstream transcriptional changes were found. Global transcriptome analysis for autosomal trisomies 13, 18, and 21 supported a combination of the two major hypotheses.</t>
  </si>
  <si>
    <t>Cytogenet Genome Res</t>
  </si>
  <si>
    <t>15150771</t>
  </si>
  <si>
    <t>Bugge M</t>
  </si>
  <si>
    <t>DNA studies of mono- and pseudodicentric isochromosomes 18q.</t>
  </si>
  <si>
    <t>The description of isochromosomes 18 has so far mainly been by cytogenetic studies and based on identical banding pattern of the two arms. However, only molecular techniques are capable to distinguish an isochromosome from a translocation, whole arm or reciprocal, between two chromosomes 18. We have used 23 PCR-based DNA polymorphisms to determine the parental origin and mechanisms of formation in four patients with isochromosomes 18q and to demonstrate that they were consistent with true isochromosomes. Three of the probands were liveborn children with clinical features characteristic of Edwards syndrome, one proband was a fetus diagnosed at prenatal diagnosis. In one case the isochromosome was monocentric with two identical q arms of maternal origin, formed by misdivision of the centromere and loss of p arm material. Another monocentric case had 47 chromosomes with isochromosomes i(18p) and i(18q) formed by maternal postzygotic centromeric misdivision and segregation of both isochromosomes, or by meiosis II centromeric misdivision and nondisjunction (without recombination in meiosis I). In two cases, the isochromosomes were dicentric with genetically identical arms composed of a part of the short and the whole long arm of chromosome 18 of paternal origin. The formation of the fused chromosomes can be explained by postzygotic exchange of sister chromatids on the short arm of chromosome 18, followed by breakage and U-shape reunion of sister chromatids.</t>
  </si>
  <si>
    <t>12116301</t>
  </si>
  <si>
    <t>Howarth ES</t>
  </si>
  <si>
    <t>Invasive testing for the karyotyping of mid-trimester intrauterine fetal death (IUFD): a pilot study.</t>
  </si>
  <si>
    <t>INTRODUCTION: Aneuploidy remains a common cause of fetal loss after the first trimester. Conventional karyotyping from fetal solid tissues post-delivery unfortunately has a poor success rate particularly where the fetus is macerated. To overcome this we obtained amniocentesis and/or chorionic villus samples from mid-trimester intrauterine fetal deaths (IUFDs) prior to medical termination of pregnancy. SUBJECTS: Ten women with diagnosed IUFD between 12 and 24 weeks' gestation underwent amniocentesis and/or CVS performed after counselling. RESULTS: Successful karyotypes were obtained in all pregnancies. Five of the ten pregnancies were complicated by aneuploidy (two with trisomy 21, two with trisomy 18, and one with trisomy 13). CONCLUSION: The high rate of aneuploidy (50%) in this small cohort emphasises the need for karyotyping. A successful karyotype in all ten pregnancies demonstrates the value of offering these procedures before a termination of pregnancy. We would recommend the adoption of this approach in the management of IUFD occurring after the first trimester.</t>
  </si>
  <si>
    <t>11313773</t>
  </si>
  <si>
    <t>Schuring-Blom GH</t>
  </si>
  <si>
    <t>A placental diploid cell line is not essential for ongoing trisomy 13 or 18 pregnancies.</t>
  </si>
  <si>
    <t>Viable trisomy 13 or 18 pregnancies may be supported by the presence of a diploid cell line, confined to the outer layer of the placenta (cytotrophoblast). To establish the presence of diploid cells we investigated five random biopsies from placentas of trisomy 13 (n = 8) and trisomy 18 cases (n = 6) of newborn infants and terminated pregnancies by means of fluorescence in situ hybridisation on interphase nuclei (n = 100). In 12 of these 14 placentas (including all five liveborns) 80% or more of the analysed nuclei showed three spots, suggestive of the presence of a full trisomy. In the other two placentas (both cases of trisomy 18) mosaicism was detected at most investigated sites. Thus, in contrast with earlier studies, these results show that a significant diploid cell line present in the placenta, confined to the trophoblast, is not a pre-requisite for intrauterine survival in the investigated cases.</t>
  </si>
  <si>
    <t>10780789</t>
  </si>
  <si>
    <t>Moore GE</t>
  </si>
  <si>
    <t>Examination of trisomy 13, 18 and 21 foetal tissues at different gestational ages using FISH.</t>
  </si>
  <si>
    <t>In man high levels of aneuploidy are seen in spontaneous abortions. Very few autosomal trisomies survive to birth, the three most common being those for chromosome 13, 18 and 21 giving rise to the syndromes named Patau, Edwards and Down respectively. Since the majority of these spontaneously abort, what makes the survivors different from the aborters? Could it be that they have tissue specific mosaicism with the additional normal cell line supporting survival? In this study fluorescence in situ hybridisation was used as a convenient way to detect trisomy in interphase cells. To study the level of mosaicism across gestation, different tissues from 21 trisomic foetuses were analysed using probes for chromosome 13, 18, 21, X and Y. Two trisomy 18 foetuses exhibited mosaicism. Two others, one trisomy 13 and one trisomy 18 had mosaic placentas. There was no clear association between the limited mosaicism seen and severity of the phenotype. We conclude that at least for this sample set, tissue-specific mosaicism was not likely to be responsible for potential survival to birth.</t>
  </si>
  <si>
    <t>41728082</t>
  </si>
  <si>
    <t>Sahara Y</t>
  </si>
  <si>
    <t>Kawasaki Disease in a Child With Trisomy 18 Treated With Initial Combination Therapy, Including Cyclosporine.</t>
  </si>
  <si>
    <t>BACKGROUND: Kawasaki disease is a systemic inflammatory disorder that is frequently encountered in routine pediatric clinical practice. Conversely, trisomy 18 is a chromosomal disorder with a historically poor prognosis. However, recent advances in medical care have improved its survival, with a reported 1-year survival rate reaching 29%. Despite this improvement, studies describing the clinical course of individuals with trisomy 18 beyond the first year of life remain scarce. Moreover, to our knowledge, cases of Kawasaki disease with trisomy 18 have not been reported. CASE PRESENTATION: We report a case of a 3-year-11-month-old girl with trisomy 18 who presented with persistent fever and rash and, subsequently, fulfilled five of the six principal diagnostic criteria for Kawasaki disease. Because intravenous immunoglobulin resistance was predicted based on the Kobayashi score, initial treatment consisted of intravenous immunoglobulin (2 g/kg), aspirin, and oral cyclosporine concurrent with current Japanese guidelines. Defervescence was achieved without complications, and no adverse events were observed during treatment. No coronary artery abnormalities were observed during the acute phase or at 1-, 3-, and 6-month follow-up evaluations. DISCUSSION: We present a case of trisomy 18 treated according to Japanese guidelines for Kawasaki disease. Treatment regimen, which included cyclosporine, was safely administered, and the patient experienced a favorable clinical course. To improve the life expectancy of this patient group, it is crucial to accumulate comprehensive natural history, including the efficacy of standard treatments for various pediatric conditions. This will enable timely and appropriate therapeutic interventions.</t>
  </si>
  <si>
    <t>Case Rep Pediatr</t>
  </si>
  <si>
    <t>E6</t>
  </si>
  <si>
    <t>Relato de caso ou capítulo de livro</t>
  </si>
  <si>
    <t>33085440</t>
  </si>
  <si>
    <t>StatPearls</t>
  </si>
  <si>
    <t>Genetics, Cytogenetic Testing and Conventional Karyotype.</t>
  </si>
  <si>
    <t>Book chapter</t>
  </si>
  <si>
    <t>31536302</t>
  </si>
  <si>
    <t>Myelomeningocele.</t>
  </si>
  <si>
    <t>37831225</t>
  </si>
  <si>
    <t>Okamoto M</t>
  </si>
  <si>
    <t>Challenging management of a baby with congenital multiple intestinal atresia, trisomy 18 and extremely low birth weight: a case report.</t>
  </si>
  <si>
    <t>BACKGROUND: Extremely low birth weight (&lt; 1000 g) still influences postsurgical prognosis in the neonatal and infantile periods. Additionally, the life expectancy of neonates with trisomy 18 is extremely poor owing to various comorbidities. Therefore, it takes courage to perform laparotomy for the purpose of treatment of congenital multiple intestinal atresia in a baby with an unpredictable life prognosis. CASE PRESENTATION: Fetal ultrasonography revealed cardiac malformation, intestinal dilation, and physical characteristics suggestive of a chromosomal abnormality in this case. The patient was diagnosed with trisomy 18 after birth, with an extremely low birth weight. An atrial septal defect, ventricular septal defect, dilated jejunum, and a very thin collapsed small intestine were found on ultrasonography. With a diagnosis of congenital small intestinal atresia, a challenging laparotomy was done at 3 days of age, with jejunal atresia and multiple distal small intestinal atresia were observed. The jejunal end and distal small intestinal stump were separated into stomas at the wound edge. Hypertrophic pyloric stenosis developed at the age of 3 months and resolved with medication. The patient gained weight (2 kg) by daily stool injection into anal side of the intestine and decompression against poor peritonitis of dilated jejunum using enteral feeding tube for the long period. Finally, we could perform intestinal reconstruction safely and successfully at the age of 9 months. Tracheotomy was performed due to difficulty in extubation associated with chronic lung disease. The patient was discharged at the age of 1 year and 3 months, and no major problems were noted at the age of 2 years. CONCLUSIONS: We treat congenital intestinal atresia in extremely low birth weight infants with severe chromosomal abnormalities and severe cardiac malformations as follows: Stoma creation is performed quickly to avoid deterioration of the patient's hemodynamics. After that, while continuing enteric management, palliative cardiovascular surgery is performed as necessary, and the patient's body weight and intestinal tract status are determined to allow safe intestinal reconstruction.</t>
  </si>
  <si>
    <t>Surg Case Rep</t>
  </si>
  <si>
    <t>23113216</t>
  </si>
  <si>
    <t>Jamal A</t>
  </si>
  <si>
    <t>Coincidence of trisomy 18 and robertsonian (13; 14).</t>
  </si>
  <si>
    <t>This case report presents a coincidence of trisomy 18 and balanced Robertsonian translocation (13;14). Aneuploidy was suspected based on anomalies detected in ultrasound scan and confirmed with karyotype. In a 31 years-old healthy woman with a history of one miscarriage, second trimester ultrasound scan reported IUGR (&lt;3rd percentile) with normal amniotic fluid, bilateral choroid plexus cysts, suspicious agenesis of corpus callosum and clenched hands. Amniocentesis was performed and karyotype was 46xx,der(13;14) (q10;q10),+18. Maternal karyotype was 45xx,der(13;14)(q10;q10). Pregnancy was continued due to legal limitation for termination after 20 weeks gestation. Delivery was done at 36 weeks gestation. A female newborn was borned and a physical feature was hypotonia, small mouth, prominent occiput, low-set and posteriorly rotated ears, clenched hands with overlapping fingers and rocker bottom feet. Ultrasound scan and echocardiography detected agenesis of corpus callosum and VSD, ASD, PDA and cardiomegaly. These features are typical of trisomy 18. Balanced Robertsonian translocation usually has no phenotypic expression. Genetic counseling and prenatal diagnosis for future pregnancy was recommended.</t>
  </si>
  <si>
    <t>Iran J Public Health</t>
  </si>
  <si>
    <t>19830224</t>
  </si>
  <si>
    <t>Kitanovski L</t>
  </si>
  <si>
    <t>Multifocal hepatoblastoma in a 6-month-old girl with trisomy 18: a case report.</t>
  </si>
  <si>
    <t>INTRODUCTION: Edward's syndrome (trisomy 18) is a rare entity with a reported incidence of 1/3000 to 1/7000 births. Less than 10% of patients survive beyond the first year of life, which may influence the fact that malignant tumors are rarely reported in association with this syndrome. CASE PRESENTATION: The authors report a rare case of a 6-month-old girl with trisomy 18 and multifocal hepatoblastoma. The course of the disease, autopsy results and review of the literature are presented. CONCLUSION: Our case represents the seventh published case of hepatoblastoma in a patient with trisomy 18. All of the seven published cases were women, possibly due to the high preponderance of females among the children with Edward's syndrome and longer survival of females with trisomy 18 compared to males. Since both trisomy 18 and hepatoblastoma are rare conditions, the probability that a child with trisomy 18 will independently develop a hepatoblastoma is very low. Therefore, we believe that the existence of these cases in children with trisomy 18 indicates a significant association. It can be assumed that trisomy 18 potentiates the development of hepatoblastoma. Careful clinical and post-mortem studies are needed to recognize the real frequency of hepatoblastoma in children with trisomy 18, who might die from different causes with unrecognizable hepatoblastoma.</t>
  </si>
  <si>
    <t>J Med Case Rep</t>
  </si>
  <si>
    <t>40883236</t>
  </si>
  <si>
    <t>Boo NY</t>
  </si>
  <si>
    <t>Causes of neonatal deaths in Malaysian neonatal intensive care units in 2015-2020: A descriptive study.</t>
  </si>
  <si>
    <t>INTRODUCTION: To investigate the major causes of neonatal deaths in Malaysian neonatal intensive care units (NICUs). MATERIALS AND METHODS: This retrospective observational study analysed prospectively collected data of neonates (gestation ≥22 weeks, birthweight ≥500g) admitted to 44 NICUs in the years 2015-2020 in the Malaysian National Neonatal Registry. Causes of death were reported using the modified Wigglesworth classification. RESULTS: Out of 759,435 neonates, 1.2% (n=9470) died. Most (72.3%) were early neonatal deaths (0-7days of life), 17.5% were late neonatal deaths (8-28 days of life), and 10.2% were post-neonatal deaths (&gt;28 days of life). Inborn extremely preterm (EPT, &lt;28 weeks gestation) neonates had the highest death rates (427.5/1000 livebirths) and term neonates (1.7/1000 livebirths) had the lowest. Congenital malformations accounted for 33.0% of deaths; the majority were of gestation ≥28 weeks. Trisomy 18 (n=542), trisomy 13 (n=397), cardiovascular (CVS) malformations (n=371) and neurological malformations including neuro-tube defects (NTD) (n=252) were the four most common types of malformations. The three most common causes of non-malformation deaths were EPT (n=1424), sepsis (n=867, affecting all gestations), and hypoxic-ischaemic encephalopathy (HIE) in term neonates with/without multiorgan failure (n=570). Less than one-third of EPT neonates who died received respiratory support at birth. Most (85.3%) sepsis death was late-onset sepsis (≥72 hours of age). Only 27.8% term neonates dying from HIE received adequate therapeutic hypothermia. CONCLUSIONS: Extreme prematurity, nosocomial sepsis, HIE in term neonates, chromosomal abnormalities due to trisomy 18 and trisomy 13, ductal-dependent CVS malformations, and NTD were the six most common causes of neonatal deaths in Malaysian NICUs.</t>
  </si>
  <si>
    <t>Malays J Pathol</t>
  </si>
  <si>
    <t>E7</t>
  </si>
  <si>
    <t>T18 não é objeto ou dados não separáveis de outras condições</t>
  </si>
  <si>
    <t>41031975</t>
  </si>
  <si>
    <t>Ohtomi S</t>
  </si>
  <si>
    <t>A Regional Cohort Study Examining Causes and Trends in Early Neonatal Death Over 20 Years in Miyazaki, Japan.</t>
  </si>
  <si>
    <t>AIM: To determine the causes and trends of early neonatal death over 20 years using a regional database in the regional part of Japan. METHODS: In this regional cohort study conducted in Miyazaki Prefecture, Japan, the causes of neonatal deaths were determined through a multidisciplinary regional audit and registered in a database. Data on early neonatal death, defined as neonate birth at ≥ 22 weeks gestational age and death within the first 7 days from birth, were extracted from the database between 2003 and 2022. The causes of early neonatal death were reclassified according to the International Classification of Diseases as perinatal mortality. The major categories were sub-classified into specific causes according to the International Classification of Disease-10. Trends in total early neonatal deaths and each cause were evaluated. RESULTS: A total of 186 583 live births and 124 early neonatal deaths occurred (0.66 per 1000 births). Among the 105 cases registered in the database, the most common category of early neonatal death was "congenital malformations, deformations, and chromosomal abnormalities" (48.6%), followed by "complications of intrapartum events" (12.4%), "infection" (9.5%), and "low birth weight and prematurity" (9.5%). Trisomy 18 was the most common cause (12.4%). The trends in the incidence of each cause of early neonatal death remained unchanged within the 20-year period. CONCLUSIONS: This study revealed the common causes and trends of early neonatal death in a regional part of Japan. To reduce early neonatal death, a preventive strategy against early neonatal death due to common causes would be required in the future.</t>
  </si>
  <si>
    <t>35725946</t>
  </si>
  <si>
    <t>Nakashima Y</t>
  </si>
  <si>
    <t>Very low birth weight infants with congenital heart disease: A multicenter cohort study in Japan.</t>
  </si>
  <si>
    <t>BACKGROUND: The frequency, mortality, and morbidity of very low birth weight (VLBW) infants with congenital heart disease (CHD) in Asian countries are limited. In addition, little is known about the risk factors of death in these infants. METHODS: A retrospective, multicenter cohort study was conducted. VLBW infants with CHD born between 2006 and 2010, and followed to 5 years of age, were included in the analysis. Multiple logistic regression analysis was performed to identify the risk factors of death. RESULTS: Among 3247 VLBW infants, 126 various CHDs (3.9 %) were identified. The most common lesions were ventricular septal defect, tetralogy of Fallot (TOF), and coarctation of the aorta/interrupted aortic arch, in that order. The proportions of left-sided and right-sided outflow obstruction (TOF, pulmonary stenosis) were 15.1 % and 15.9 %, respectively. Trisomy 18 and trisomy 13 were present in 32 (25.4 %) of 126 VLBW infants with CHD. Nine patients were lost to follow-up. Overall, 45 patients (35.7 %) died up to 5 years of age. Serious CHD [odds ratio (OR), 19.2; 95 % confidential interval (CI), 3.94-93.11; p &lt; 0.0001], sepsis (OR, 42.3; 95 % CI, 5.39-332.22; p &lt; 0.0001), chromosomal /named anomalies (OR, 7.50; 95%CI, 2.09-26.94; p = 0.001), and no-invasive treatments (OR, 9.89; 95%CI, 2.28-42.91; p = 0.001) were associated with death. On excluding chromosomal anomalies, twelve of 71 patients (16.9 %) died, and only sepsis (OR, 35.5, 95%CI, 2.63-477.1; p = 0.0008) was an independent risk factor. CONCLUSIONS: Trisomy 18 and trisomy 13 of chromosomal anomalies are frequently associated with VLBW infants with CHD. The mortality of VLBW infants with CHD is high, even when chromosomal anomalies are excluded. Sepsis has a significant impact on death in VLBW infants with CHD.</t>
  </si>
  <si>
    <t>J Cardiol</t>
  </si>
  <si>
    <t>32634406</t>
  </si>
  <si>
    <t>Epidemiology of Birth Defects in Very Low Birth Weight Infants in Japan.</t>
  </si>
  <si>
    <t>OBJECTIVE: To evaluate the mortality and morbidity of very low birth weight (VLBW) preterm infants with birth defects in Japan. STUDY DESIGN: Data were collected prospectively for infants weighing &lt;1501 g and born at &lt;37 weeks of gestation admitted to centers of the Neonatal Research Network of Japan during 2003-2016. We compared outcomes of infants with and without birth defects using Pearson χ2 test, Wilcoxon rank-sum test, log-rank test, nominal logistic regression analysis, and stratified analysis by birth defect subgroups. This study was approved by the Ethics Committee of Kyoto University Graduate School and Faculty of Medicine. RESULTS: Among 57 730 VLBW preterm infants, 3557 infants (6.2%) were born with birth defects. Chromosomal abnormalities, congenital heart defects, and congenital malformation of the digestive system were the most common categories. Among diseases, Trisomy 18, Down syndrome, and cleft palate were the most prevalent. There were significant differences between perinatal characteristics of infants with and without birth defects. Most categories of morbidity occurred more frequently in infants with birth defects compared with those without birth defects. The aOR for mortality during the neonatal intensive care unit admission was 10.6 (95% CI 9.5-11.7) for infants with birth defects. A stratified analysis identified birth defect categories with good, moderate, and poor prognoses. CONCLUSIONS: This detailed information about mortality and morbidity of preterm VLBW infants with birth defects should be useful for genetic counseling as well as prenatal and neonatal care, with the limitation that we lacked information about the timing of diagnosis, abortion, or stillbirth.</t>
  </si>
  <si>
    <t>28595435</t>
  </si>
  <si>
    <t>Marc-Aurele KL</t>
  </si>
  <si>
    <t>A fetal diagnostic center's referral rate for perinatal palliative care.</t>
  </si>
  <si>
    <t>BACKGROUND: Fetal specialists support standardizing the practice of offering women palliative care for life limiting fetal diagnoses. However, there is little data available regarding what fetal specialists do in practice. Since 2003, our center has kept a database of all women referred for fetal complications. METHODS: Retrospective electronic chart review of pregnant women between 2006 and 2012 using UCSD's Fetal Care and Genetics Center referral database. Objectives were to determine: (I) how many high risk pregnancies referred to the University of California San Diego Medical Center (UCSD) over a 6-year period have potentially life limiting fetal diagnoses; (II) pregnancy outcome; and (III) referral rate to perinatal palliative care. RESULTS: Between July 2006 and July 2012, 1,144 women were referred to UCSD's Fetal Care and Genetics Center, a tertiary care center. Of that cohort, 332 women (29%) were diagnosed prenatally with a potentially life limiting fetal diagnosis. Most women were Hispanic or Latino, married, and had previous children. The median gestation at confirmed diagnosis was 19 weeks. Trisomy 13, Trisomy 18, and anencephaly comprised 21% of cases. The pregnancy outcome was determined in 95% cases: 56% therapeutic abortion, 16% intrauterine fetal demise, and 23% live birth. Only 11% of cases were referred to perinatal palliative care. CONCLUSIONS: The vast majority of women with potentially life limiting fetal diagnoses are not referred to perinatal palliative care. Evaluation of how to integrate palliative care into high-risk obstetrics is needed.</t>
  </si>
  <si>
    <t>Ann Palliat Med</t>
  </si>
  <si>
    <t>24003992</t>
  </si>
  <si>
    <t>Leong Marc-Aurele K</t>
  </si>
  <si>
    <t>A five-year review of referrals for perinatal palliative care.</t>
  </si>
  <si>
    <t>BACKGROUND: San Diego Hospice and the Institute for Palliative Medicine created one of the earliest perinatal palliative care programs in the country. Only four studies have reported outcomes for pregnant women referred to perinatal palliative care services for potentially lethal prenatal diagnoses. OBJECTIVES: To learn: (1) who is referred for perinatal palliative care at San Diego Hospice; (2) what happens after referral to perinatal palliative care; and (3) what happens after delivery for this population. DESIGN: This was an exploratory retrospective electronic chart review of all patients referred to a home perinatal palliative program. RESULTS: Sixty-six women were referred to the San Diego Hospice and the Institute for Palliative Care home perinatal palliative care program between October 2006 and August 2012. Mean age was 31 years. The majority of women were Hispanic, Christian/Catholic, married, with full prenatal care, and previous children. Average gestational age at referral was 27 (18-39] weeks. Thirty-two cases were referred for Trisomy 13, Trisomy 18, or anencephaly. Palliative care services were given over a mean 45 (0-132) days and 3 (0-12) visits prior to delivery. Most women completed a birth plan prior to delivery, chose palliative treatment only, and made final arrangements with the palliative team. Forty-one deliveries resulted in a liveborn infant. Twelve liveborn infants survived past 72 hours and were admitted to pediatric hospice care. CONCLUSIONS: One-third of women met with the palliative care team only once or twice prior to delivery, indicating a need for earlier referral to provide more comprehensive palliative care.</t>
  </si>
  <si>
    <t>J Palliat Med</t>
  </si>
  <si>
    <t>11845666</t>
  </si>
  <si>
    <t>de la Vega A</t>
  </si>
  <si>
    <t>High incidence of emergency cesarean section among fetuses with unrecognized chromosomal abnormalities.</t>
  </si>
  <si>
    <t>OBJECTIVE: To examine the incidence of obstetric complications in fetuses with unrecognized chromosomal anomalies compare with those in which the diagnosis was known before hand. METHODS: All cases followed at a private facility in San Juan, PR during the time from January 1993 through February 1997 were evaluated in terms of gestational age and method of diagnosis and eventual pregnancy outcome. RESULTS: There where 9 cases of chromosomal anomalies documented by karyotype analysis among 1377 (0.65%). Among this group, 5 cases were detected by a combination of maternal serum screening, analysis of risk factors and sonography. Among these, 3 cases elected pregnancy termination, one case of trisomy 21 was delivered stillborn vaginally at 32 weeks and one case of trisomy 18 delivered vaginally at 29 weeks. Among the 4 cases not recognized prenatally, one case of trisomy 21 was delivered at 27 weeks by classical cesarean section due to malpresentation and 3 cases (2 of trisomy 18 and one trisomy 21) where delivered by emergency transverse cesarean section due to suspected fetal hypoxia. CONCLUSIONS: The very high frequency of emergency cesarean section (100%) among fetuses with unrecognized major chromosomal anomalies should make us increase our efforts to obtain at prenatal diagnosis. In all of these cases, a prior diagnosis would have probably avoided a cesarean section and the associated potential maternal morbidity. PRECIS: The high incidence of emergency cesarean section among fetuses with unrecognized chromosomal anomalies should make prenatal diagnosis of these conditions a primary goal.</t>
  </si>
  <si>
    <t>P R Health Sci J</t>
  </si>
  <si>
    <t>37986093</t>
  </si>
  <si>
    <t>Elmerdahl Frederiksen L</t>
  </si>
  <si>
    <t>Maternal age and the risk of fetal aneuploidy: A nationwide cohort study of more than 500 000 singleton pregnancies in Denmark from 2008 to 2017.</t>
  </si>
  <si>
    <t>INTRODUCTION: In this register-based study of pregnancies in Denmark, we assessed the associations between maternal age and the risk of fetal aneuploidies (trisomy 21, trisomy 18, trisomy 13, triploidy, monosomy X and other sex chromosome aberrations). Additionally, we aimed to disentangle the maternal age-related effect on fetal aneuploidies by cases with translocation trisomies and mosaicisms. MATERIAL AND METHODS: We followed a nationwide cohort of 542 375 singleton-pregnant women attending first trimester screening in Denmark between 2008 and 2017 until delivery, miscarriage or termination of pregnancy. We used six maternal age categories and retrieved information on genetically confirmed aneuploidies of the fetus and infant from the national cytogenetic register. RESULTS: We confirmed the known associations between advanced maternal age and higher risk of trisomy 21, 18, 13 and other sex chromosome aberrations, especially in women aged ≥35 years, whereas we found no age-related associations with triploidy or monosomy X. Cases with translocation trisomies and mosaicisms did not influence the overall reported association between maternal age and aneuploidies. CONCLUSION: This study provides insight into the accurate risk of fetal aneuploidies that pregnant women of advanced ages encounter.</t>
  </si>
  <si>
    <t>E8</t>
  </si>
  <si>
    <t>Estudo de prevalência/epidemiologia sem desfecho de sobrevida ou gestacional</t>
  </si>
  <si>
    <t>31691307</t>
  </si>
  <si>
    <t>Kluckow E</t>
  </si>
  <si>
    <t>Association between timing of diagnosis of trisomy 21, 18, and 13 and maternal socio-economic status in Victoria, Australia: A population-based cohort study from 2015 to 2016.</t>
  </si>
  <si>
    <t>OBJECTIVES: To explore the association between timing of diagnosis of common autosomal trisomies, maternal age, and socio-economic status (SES). DESIGN: Retrospective study of cytogenetic diagnoses of trisomy 21 (T21), trisomy 18 (T18), and trisomy 13 (T13) in Victoria, Australia, in 2015 to 2016, stratified by timing (prenatal less than 17 weeks gestation, prenatal including or greater than or 17 weeks gestation, and postnatal before 12 months of age), maternal age, and SES region. Utilisation of prenatal testing following a live-born T21 infant was ascertained via record linkage. RESULTS: Among 160 230 total births were 571 diagnoses of T21 and 246 of T18/T13. The overall and live birth prevalences of T21 were 3.56 and 0.47 per 1000 births, respectively. Compared with women from disadvantaged SES regions, women from high SES regions were more likely to have a prenatal diagnosis of a trisomy before 17 weeks than after (P &lt; .01) and less likely to have a live-born T21 infant than a prenatal diagnosis (P &lt; .01). There was a significant trend to higher live birth rates of T21 with lower SES (P = .004). The majority (68.5%) of women who gave birth to a live infant with T21 did not utilise prenatal testing. CONCLUSION: There is a significant relationship between lower SES, later prenatal diagnosis of trisomy, and higher live birth rate of T21 in Victoria.</t>
  </si>
  <si>
    <t>28499441</t>
  </si>
  <si>
    <t>Zhang XH</t>
  </si>
  <si>
    <t>Chromosomal abnormalities: subgroup analysis by maternal age and perinatal features in zhejiang province of China, 2011-2015.</t>
  </si>
  <si>
    <t>BACKGROUND: Recently, the prevalence of chromosomal abnormalities (CA) increased as the increasing proportion of mothers with advanced age. We aimed to explore the prevalence of CA in relation to maternal age and perinatal features. METHODS: A retrospective study was performed based on provincial birth defects surveillance data. The relative risk (RR) and 95% confidence interval (CI) were used to calculate maternal age-specific rates of CA. Socio-demographic characteristics of mothers and perinatal features were listed. RESULTS: The total prevalence of CA was 6.38 per 10,000 births, which increased per 10,000 births linearly from 4.02 in 2011 to 9.13 in 2015 (x 2line-trend =52.69, p &lt; 0.001). During this period, the prevalence for CA per 10,000 births among women over 35 years old increased from 15.34 in 2011 to 33.82 in 2015 (x 2line-trend =115121.6, p &lt; 0.001). The RR for overall CA, trisomy 21(T21), trisomy 18(T18) and others in mothers 35 years or older were 6.64 (95% CI 5.55 ~ 7.93), 6.83 (95% CI 5.63 ~ 8.30), 4.06 (95% CI 2.09 ~ 7.90) and 7.54 (95% CI 4.02 ~ 14.11) respectively in comparison to mothers aged 25-29 years old. The stillbirths rate for total CA was 76.45%. T21 and T18 were strongly associated with multiple anomalies, especially congenital heart abnormalities. CONCLUSIONS: The prevalence of CA increased as maternal age increased. Cases with CA were associated with other congenital defects and high mortality risk.</t>
  </si>
  <si>
    <t>27135649</t>
  </si>
  <si>
    <t>Hartwig TS</t>
  </si>
  <si>
    <t>The maternal age-related first trimester risks for trisomy 21, 18 and 13 based on Danish first trimester data from 2005 to 2014.</t>
  </si>
  <si>
    <t>OBJECTIVES: Most currently used age-related risks of T21, T18 and T13 are based on estimates of the live-birth prevalence, and describe an exponential increase of risk by increased maternal age. We investigated the first trimester prevalence of T21, T18 and T13 in a large population of Danish women. METHODS: From the Danish Cytogenetic Central Registry we got the information of all pre- and postnatally diagnosed fetuses with T21, T18 or T13 between 2005 and 2014 in Denmark. Information on the total number of births and maternal age at birth were gathered from StatBank Denmark. RESULTS: The total number of included women was 605 853. The total number of T21 cases was 1564, T18 cases was 401 and T13 cases was 157. The overall first trimester prevalence per 10 000 pregnancies was 25.8 for T21, 6.6 for T18 and 2.6 for T13. Boltzmann sigmoidal model (Y = Bottom + (top-bottom / (1 - exp (V50 - X) / slope)) was found to best describe the age-related risk of T21, T18 and T13. CONCLUSION: We found that the age-related risks are better described by sigmoidal functions, contrary to the widely assumed exponential functions. Our results indicate a lower age-related a priori risk of T21, T18 and T13 compared to widely used risk models. © 2016 John Wiley &amp; Sons, Ltd.</t>
  </si>
  <si>
    <t>22713804</t>
  </si>
  <si>
    <t>Loane M</t>
  </si>
  <si>
    <t>Twenty-year trends in the prevalence of Down syndrome and other trisomies in Europe: impact of maternal age and prenatal screening.</t>
  </si>
  <si>
    <t>This study examines trends and geographical differences in total and live birth prevalence of trisomies 21, 18 and 13 with regard to increasing maternal age and prenatal diagnosis in Europe. Twenty-one population-based EUROCAT registries covering 6.1 million births between 1990 and 2009 participated. Trisomy cases included live births, fetal deaths from 20 weeks gestational age and terminations of pregnancy for fetal anomaly. We present correction to 20 weeks gestational age (ie, correcting early terminations for the probability of fetal survival to 20 weeks) to allow for artefactual screening-related differences in total prevalence. Poisson regression was used. The proportion of births in the population to mothers aged 35+ years in the participating registries increased from 13% in 1990 to 19% in 2009. Total prevalence per 10000 births was 22.0 (95% CI 21.7-22.4) for trisomy 21, 5.0 (95% CI 4.8-5.1) for trisomy 18 and 2.0 (95% CI 1.9-2.2) for trisomy 13; live birth prevalence was 11.2 (95% CI 10.9-11.5) for trisomy 21, 1.04 (95% CI 0.96-1.12) for trisomy 18 and 0.48 (95% CI 0.43-0.54) for trisomy 13. There was an increase in total and total corrected prevalence of all three trisomies over time, mainly explained by increasing maternal age. Live birth prevalence remained stable over time. For trisomy 21, there was a three-fold variation in live birth prevalence between countries. The rise in maternal age has led to an increase in the number of trisomy-affected pregnancies in Europe. Live birth prevalence has remained stable overall. Differences in prenatal screening and termination between countries lead to wide variation in live birth prevalence.</t>
  </si>
  <si>
    <t>23553654</t>
  </si>
  <si>
    <t>Tonks AM</t>
  </si>
  <si>
    <t>Trisomies 18 and 13: trends in prevalence and prenatal diagnosis - population based study.</t>
  </si>
  <si>
    <t>OBJECTIVE: The objective of this study was to determine trends in prenatal detection and current estimates of prevalence for trisomies 18 (T18) and 13 (T13) and their implications for screening policy. METHODS: We conducted a cohort study from a population-based regional anomaly register covering 995 003 births (1995-2009). RESULTS: There were 786 affected cases. Total prevalence of T18 increased from 3.95 in 1995-1999 to 6.94 per 10 000 births in 2005-2009 (annual trend χ(2)  = 25.99, p &lt; 0.001) and live birth prevalence, when adjusted for in utero attrition, increased from 1.47 to 2.30 per 10 000 births over the same time (annual trend χ(2)  = 6.36, p = 0.01). For T18 and T13 combined, the proportion of cases diagnosed by prenatal karyotype or suspected by ultrasound increased from 85.1% (165/194) in 1995-1999 to 95.2% (299/314) in 2005-2009 (p &lt; 0.001). In 2005-2009, 50.3% of prenatal cytogenetic diagnoses for T18 and 38.5% of T13 were made after the discovery of first trimester ultrasound anomalies, and the majority, 56.4% (185/328), of affected pregnancies were karyotyped or had ended before 18 weeks. CONCLUSION: T18 is increasing in prevalence because of maternal age and earlier surveillance. Prenatal diagnosis occurs mostly in the first trimester, without the intrinsic structures of a formal screening programme. These findings support the extension of first trimester combined screening to include T18 and T13.</t>
  </si>
  <si>
    <t>24147155</t>
  </si>
  <si>
    <t>Lin SY</t>
  </si>
  <si>
    <t>The impact of Down syndrome screening on Taiwanese Down syndrome births: a nationwide retrospective study and a screening result from a single medical centre.</t>
  </si>
  <si>
    <t>A retrospective analysis of the Taiwanese National Birth Defect Registration and Notification System was conducted in order to determine the live birth- and stillbirth rates in infants with Down syndrome, trisomy 18, trisomy 13 and Turner syndrome between 2001 and 2010. The objective was to investigate the impact of Down syndrome screening on the Taiwanese Down syndrome live birth rate. In addition, the results of first-trimester Down syndrome screening between 2006 and 2011, and of second-trimester quadruple testing between 2008 and 2011, were obtained from the National Taiwan University Hospital. All Taiwanese infants born between 2001 and 2010 were included in the first part of the analysis, and women receiving first-trimester Down syndrome screening or second-trimester quadruple testing from the National Taiwan University Hospital were included in the second part. The live birth rate of infants with Down syndrome, per 100 000 live births, decreased from 22.28 in 2001 to 7.79 in 2010. The ratio of liveborn DS to total DS was 48.74% in 2001, and then decreased to 25.88% in 2006, when first-trimester screening was widely introduced in Taiwan. This ratio dropped to 20.64% in 2008, when the second-trimester quadruple test was implemented. The overall positive rate in first-trimester screening in the National Taiwan University Hospital was 3.1%, with a Down syndrome detection rate of 100%; the quadruple test had values of 9.0% and 75%, respectively. The use of first-trimester screening and the second-trimester quadruple test may be responsible for the marked decrease in the Taiwanese Down syndrome live birth rate observed between 2001 and 2010.</t>
  </si>
  <si>
    <t>20584846</t>
  </si>
  <si>
    <t>De Souza E</t>
  </si>
  <si>
    <t>Case-control analysis of paternal age and trisomic anomalies.</t>
  </si>
  <si>
    <t>OBJECTIVES: To determine whether older paternal age increases the risk of fathering a pregnancy with Patau (trisomy 13), Edwards (trisomy 18), Klinefelter (XXY) or XYY syndrome. DESIGN: Case-control: cases with each of these syndromes were matched to four controls with Down syndrome from within the same congenital anomaly register and with maternal age within 6 months. SETTING: Data from 22 EUROCAT congenital anomaly registers in 12 European countries. PARTICIPANTS: Diagnoses with observed or (for terminations) predicted year of birth from 1980 to 2005, comprising live births, fetal deaths with gestational age ≥ 20 weeks and terminations after prenatal diagnosis of the anomaly. Data include 374 cases of Patau syndrome, 929 of Edwards syndrome, 295 of Klinefelter syndrome, 28 of XYY syndrome and 5627 controls with Down syndrome. MAIN OUTCOME MEASURES: Odds ratio (OR) associated with a 10-year increase in paternal age for each anomaly was estimated using conditional logistic regression. Results were adjusted to take account of the estimated association of paternal age with Down syndrome (1.11; 95% CI 1.01 to 1.23). RESULTS: The OR for Patau syndrome was 1.10 (95% CI 0.83 to 1.45); for Edwards syndrome, 1.15 (0.96 to 1.38); for Klinefelter syndrome, 1.35 (1.02 to 1.79); and for XYY syndrome, 1.99 (0.75 to 5.26). CONCLUSIONS: There was a statistically significant increase in the odds of Klinefelter syndrome with increasing paternal age. The larger positive associations of Klinefelter and XYY syndromes with paternal age compared with Patau and Edwards syndromes are consistent with the greater percentage of these sex chromosome anomalies being of paternal origin.</t>
  </si>
  <si>
    <t>17393915</t>
  </si>
  <si>
    <t>Potential impact of pregnancy outcome on the completeness of diagnosis of birth defects, Hawai'i, 1986-2001.</t>
  </si>
  <si>
    <t>Using data from a birth defects registry, this study investigated whether pregnancy outcome influences completeness of diagnosis ascertainment for cases with seven selected birth defects. For anencephaly, spina bifida, encephalocele, trisomy 21, trisomy 13, and trisomy 18, the proportion of isolated cases was higher among elective terminations than among live births. This was not the situation for omphalocele.</t>
  </si>
  <si>
    <t>Hawaii Med J</t>
  </si>
  <si>
    <t>17051527</t>
  </si>
  <si>
    <t>Canfield MA</t>
  </si>
  <si>
    <t>National estimates and race/ethnic-specific variation of selected birth defects in the United States, 1999-2001.</t>
  </si>
  <si>
    <t>BACKGROUND: In the United States, birth defects affect approximately 3% of all births, are a leading cause of infant mortality, and contribute substantially to childhood morbidity. METHODS: Population-based data from the National Birth Defects Prevention Network were combined to estimate the prevalence of 21 selected defects for 1999-2001, stratified by surveillance system type. National prevalence was estimated for each defect by pooling data from 11 states with active case-finding, and adjusting for the racial/ethnic distribution of US live births. We also assessed racial/ethnic variation of the selected birth defects. RESULTS: National birth defect prevalence estimates ranged from 0.82 per 10,000 live births for truncus arteriosus to 13.65 per 10,000 live births for Down syndrome. Compared with infants of non-Hispanic (NH) white mothers, infants of NH black mothers had a significantly higher birth prevalence of tetralogy of Fallot, lower limb reduction defects, and trisomy 18, and a significantly lower birth prevalence of cleft palate, cleft lip with or without cleft palate, esophageal atresia/tracheoesophageal fistula, gastroschisis, and Down syndrome. Infants of Hispanic mothers, compared with infants of NH white mothers, had a significantly higher birth prevalence of anencephalus, spina bifida, encephalocele, gastroschisis, and Down syndrome, and a significantly lower birth prevalence of tetralogy of Fallot, hypoplastic left heart syndrome, cleft palate without cleft lip, and esophageal atresia/tracheoesophageal fistula. CONCLUSIONS: This study can be used to evaluate individual state surveillance data, and to help plan for public health care and educational needs. It also provides valuable data on racial/ethnic patterns of selected major birth defects.</t>
  </si>
  <si>
    <t>24520506</t>
  </si>
  <si>
    <t>Niknejadi M</t>
  </si>
  <si>
    <t>Sonographic findings in partial type of trisomy 18.</t>
  </si>
  <si>
    <t>Trisomy 18 (Edwards syndrome) is the second most common trisomy among live born fetuses, with poor prognosis. Estimate of its incidence is between 1 in 4000- 16000 live births. Most of the chromosomal abnormalities in fetuses are detected by prenatal ultrasound findings in the first and second trimesters. In this case re- port, we present a partial type of trisomy 18 occurring through de novo unbalanced translocation of chromosomes 18 and 21. The ultrasound features enabling the early detection of trisomy 18 include a delayed ossification of calvarium combined with early onset of fetal growth restriction (FGR) and the absence of nasal bone through performing triple test followed by amniocentesis. Finally, the parents decided to terminate the pregnancy.</t>
  </si>
  <si>
    <t>Int J Fertil Steril</t>
  </si>
  <si>
    <t>E9</t>
  </si>
  <si>
    <t>Apenas trissomia parcial ou mosaico</t>
  </si>
  <si>
    <t>Revisor</t>
  </si>
  <si>
    <t>Revisor 2 – Gemini (Google)</t>
  </si>
  <si>
    <t>Modelo e versão</t>
  </si>
  <si>
    <t>Data e horário da revisão</t>
  </si>
  <si>
    <t>Conduzida por</t>
  </si>
  <si>
    <t>Pedro Farnese Dias de Assis Lima</t>
  </si>
  <si>
    <t>Lote</t>
  </si>
  <si>
    <t>PMID retornado</t>
  </si>
  <si>
    <t>Decisão</t>
  </si>
  <si>
    <t>Pergunta</t>
  </si>
  <si>
    <t>Código</t>
  </si>
  <si>
    <t>Justificativa / nota</t>
  </si>
  <si>
    <t>Conferência do PMID</t>
  </si>
  <si>
    <t>2000</t>
  </si>
  <si>
    <t>tissue-specific mosaicism was not likely to be responsible for potential survival to birth – o estudo foca no mecanismo celular de sobrevida (mosaicismo), sem fornecer dados clínicos de desfecho de uma coorte de T18.</t>
  </si>
  <si>
    <t>19 cases... of choledochal cyst – o objeto primário é o cisto de colédoco, sendo a trissomia 18 apenas um achado em um paciente.</t>
  </si>
  <si>
    <t>Genetic ultrasonography is highly effective in identifying chromosomally abnormal fetuses – estudo sobre a eficácia de diagnóstico e rastreamento ultrassonográfico.</t>
  </si>
  <si>
    <t>screening for fetal chromosomal abnormalities in the first trimester – trata da avaliação de clínicas de rastreamento no primeiro trimestre.</t>
  </si>
  <si>
    <t>outcome of congenital diaphragmatic hernia (CDH) – a anomalia principal estudada é a hérnia diafragmática congênita.</t>
  </si>
  <si>
    <t>2001</t>
  </si>
  <si>
    <t>investigated five random biopsies from placentas of trisomy 13 (n = 8) and trisomy 18 – estudo focado em citogenética placentária sem reportar dados clínicos de sobrevida ou desfecho gestacional.</t>
  </si>
  <si>
    <t>Congenital cystic adenomatoid malformation of the lung – o estudo trata de malformação pulmonar, onde a T18 aparece apenas como causa de um óbito isolado.</t>
  </si>
  <si>
    <t>Down's syndrome screening using the combined test – o objetivo é a avaliação de testes de triagem e rastreamento de aneuploidias.</t>
  </si>
  <si>
    <t>Maternal Serum Antenatal Screening... increased risk of fetal Down syndrome – foca na triagem de síndrome de Down e seus resultados cariotípicos.</t>
  </si>
  <si>
    <t>evaluate the effectiveness of two approaches to screen pregnancies for trisomy 18 – avaliação estrita de protocolos de rastreamento no soro materno.</t>
  </si>
  <si>
    <t>presentation and outcome in newborns with esophageal atresia – a atresia de esôfago é o objeto do estudo, com T18 sendo achado associado.</t>
  </si>
  <si>
    <t>prenatal management and prognostic factors of hygroma colli cysticum – o objeto primário é o higroma cístico.</t>
  </si>
  <si>
    <t>almost all infants with trisomy 13 or trisomy 18 died during the first year of life – o resumo indica possuir dados populacionais sobre mortalidade no primeiro ano de vida.</t>
  </si>
  <si>
    <t>Termination of pregnancy was performed in 75.9% of the cases – aborda detecção pré-natal, mas os dados de interrupção são agregados para todas as anomalias, sem desfechos gestacionais separáveis para T18 no resumo.</t>
  </si>
  <si>
    <t>frequency of emergency cesarean section (100%) among fetuses with unrecognized major chromosomal anomalies – o foco é o modo de parto e complicações obstétricas, sem informar dados diretos de desfecho gestacional ou sobrevida da T18.</t>
  </si>
  <si>
    <t>2002</t>
  </si>
  <si>
    <t>features and outcomes of different types of atrioventricular septal defects – o estudo foca em defeitos no septo atrioventricular fetal.</t>
  </si>
  <si>
    <t>Invasive testing for the karyotyping of mid-trimester intrauterine fetal death – avalia técnica de cariotipagem em perdas fetais em geral, não focando em apresentar desfechos da coorte de T18.</t>
  </si>
  <si>
    <t>Advances in prenatal screening for Down syndrome – trata do estado da arte e avanços de exames de rastreamento sorológico.</t>
  </si>
  <si>
    <t>Intrauterine fetal death occurred in 18.8% of fetuses with trisomy 18... For babies born alive with trisomy 18 or 13 the neonatal mortality was 93.8% – relata explicitamente dados sobre morte fetal intrauterina e mortalidade neonatal na T18.</t>
  </si>
  <si>
    <t>Cases with fetal liver calcifications that were encountered – as calcificações hepáticas fetais são o problema central investigado.</t>
  </si>
  <si>
    <t>2003</t>
  </si>
  <si>
    <t>Median survival time was... 14.5 days (95% CI: 8-28) for people with trisomy 18 – apresenta análise populacional clara da mediana de sobrevida na T18.</t>
  </si>
  <si>
    <t>neonates with esophageal atresia (EA) – a atresia esofágica é a patologia analisada no estudo.</t>
  </si>
  <si>
    <t>Mortality rates varied widely by defect, being highest for... trisomy 18 (74%) – o estudo apresenta a taxa de mortalidade durante o primeiro ano de vida para a T18.</t>
  </si>
  <si>
    <t>evaluate if chromosomal mosaicism is a possible mechanism of survival in Down syndrome – artigo centrado na sobrevivência associada à síndrome de Down.</t>
  </si>
  <si>
    <t>indications and the results of invasive testing for fetal karyotyping for ultrasound abnormality – analisa justificativas de testes invasivos gerais, sem detalhar desfechos da T18.</t>
  </si>
  <si>
    <t>2004</t>
  </si>
  <si>
    <t>young boars candidates for reproduction – o estudo foca na qualidade do sêmen de suínos, fora do tema e da espécie em questão.</t>
  </si>
  <si>
    <t>gastrointestinal (GI) B cell lymphoma (BCL) – avalia a trissomia do 18q como anomalia tumoral adquirida num contexto oncológico, não como síndrome de Edwards.</t>
  </si>
  <si>
    <t>determine the parental origin and mechanisms of formation in four patients with isochromosomes 18q – estudo focado inteiramente na elucidação dos mecanismos genéticos sem avaliação de sobrevida ou gestação.</t>
  </si>
  <si>
    <t>2005</t>
  </si>
  <si>
    <t>determine the associated diagnostic findings which are linked with adverse fetal outcome in nuchal cystic hygroma – o higroma cístico nucal é o desfecho principal investigado.</t>
  </si>
  <si>
    <t>atypical umbilical coiling pattern at prenatal sonography – foca primariamente na associação de anomalias com padrões atípicos do cordão umbilical.</t>
  </si>
  <si>
    <t>of the trisomy 18 fetuses, 34 (32.1%) demised. The mean gestational age at time of fetal demise was... 32.1+/-1.2 weeks – foca diretamente no padrão e época do óbito fetal em casos de T18.</t>
  </si>
  <si>
    <t>prevalence, natural history, and outcome of septated cystic hygroma – o objeto central do trabalho é o higroma cístico.</t>
  </si>
  <si>
    <t>pregnancy outcome of fetuses with a diagnosis of hypoplastic left heart syndrome – a síndrome da hipoplasia do coração esquerdo é a patologia alvo do artigo.</t>
  </si>
  <si>
    <t>incidence and outcome of this discrepancy in relation to dating of the pregnancy – o estudo trata do crescimento discrepante de gêmeos no primeiro trimestre.</t>
  </si>
  <si>
    <t>outcome of a case series of fetuses with omphalocele – a coorte e os desfechos são baseados em fetos diagnosticados com onfalocele.</t>
  </si>
  <si>
    <t>detecting various chromosomal aneuploidies – o artigo explora combinações de marcadores no rastreamento pré-natal.</t>
  </si>
  <si>
    <t>2006</t>
  </si>
  <si>
    <t>survival and malformations of 161 live births, 136 induced abortions and 29 stillborns... survival rates were 40, 22 and 6% – reporta extensos dados sobre a sobrevivência e os resultados gestacionais (abortos induzidos, natimortos) na T18.</t>
  </si>
  <si>
    <t>All patients except one died in their first year... The median survival age was 6 days – descreve sobrevivência e história natural de neonatos afetados.</t>
  </si>
  <si>
    <t>Survival rate at age 1 week, 1 month, and 1 year was 88%, 83%, and 25% – fornece dados longitudinais de sobrevida em bebês tratados intensivamente.</t>
  </si>
  <si>
    <t>determine the performance characteristics of the test for Down's syndrome, trisomy 18 and neural tube defects – estuda as métricas de um teste quádruplo de rastreamento.</t>
  </si>
  <si>
    <t>Fifty-eight were prenatally diagnosed, and in 16 (27.6%) of them intrauterine fetal death (IUFD) occurred – analisa especificamente o desfecho da gravidez para fetos com diagnóstico da trissomia.</t>
  </si>
  <si>
    <t>Six patients (30%) survived the neonatal period... The median survival of the neonates who died was 20 days – reporta resultados terapêuticos e tempo de sobrevida em recém-nascidos agressivamente tratados.</t>
  </si>
  <si>
    <t>National birth defect prevalence estimates – provê cálculos demográficos e de prevalência étnica, carecendo de análise dos desfechos dos pacientes.</t>
  </si>
  <si>
    <t>evaluate recovery, preoperative, and postoperative status of patients with EA/TEF – focado nos desfechos da atresia esofágica e fístula traqueoesofágica.</t>
  </si>
  <si>
    <t>2007</t>
  </si>
  <si>
    <t>anencephaly, trisomy 13, and trisomy 18 were associated with the highest rates of in-hospital death – informação insuficiente – verificar texto completo.</t>
  </si>
  <si>
    <t>Determine the relationship between positive screening interpretations for Smith-Lemli-Opitz syndrome (SLOS) – artigo centrado no desempenho do rastreio de uma outra síndrome.</t>
  </si>
  <si>
    <t>individual risk assessment of fetal Down's syndrome based on measurement of nuchal translucency – comparação entre abordagens e softwares para detecção e triagem na gravidez.</t>
  </si>
  <si>
    <t>For... trisomy 18, the proportion of isolated cases was higher among elective terminations than among live births – informação insuficiente – verificar texto completo.</t>
  </si>
  <si>
    <t>evaluate the statewide first-trimester combined screening programme – pesquisa dedicada à sensibilidade e capacidade de testes de rastreamento do primeiro trimestre.</t>
  </si>
  <si>
    <t>genetic aberrations in gastric MALT lymphoma – foco em mutações somáticas e translocações ligadas ao linfoma gástrico MALT.</t>
  </si>
  <si>
    <t>17 of the 24 neonates died within 1 month after birth... 2 survived for more than 1 year – o estudo relata dados originais sobre a sobrevida de recém-nascidos afetados pela trissomia 18.</t>
  </si>
  <si>
    <t>bidirectional flow was detected in a total of 15 fetuses... five of these had trisomy 18 – o objeto principal é o fluxo bidirecional, sendo a T18 apenas um achado associado e sem desfechos gestacionais separáveis no resumo.</t>
  </si>
  <si>
    <t>The mortality rates within 24 hours, 7, 28, 60, 180, and 365 days from birth were... Fourteen of the 154 patients (9.09%) survived for more than 1 year – fornece estatísticas clínicas amplas de sobrevida para casos de trissomia 18 no Japão.</t>
  </si>
  <si>
    <t>overview of chromosomal abnormalities associated with NTDs – o artigo é focado nos defeitos do tubo neural, mencionando a T18 de forma associada, sem fornecer dados clínicos de sobrevida ou desfecho próprios da síndrome.</t>
  </si>
  <si>
    <t>four cases of trisomy 18... 12 (4.8%) cases of fetal loss – a avaliação é focada nos resultados e riscos da cordocentese, não apresentando os desfechos separados para os casos específicos de T18.</t>
  </si>
  <si>
    <t>2008</t>
  </si>
  <si>
    <t>20/21 (95.2%) for trisomy 18 or 13 – o estudo agrupa os dados de desfecho gestacional (interrupção) das trissomias 13 e 18 de forma combinada, inviabilizando a separação isolada pelo resumo.</t>
  </si>
  <si>
    <t>define the transcriptional changes in trisomy 13, 18, and 21 during early fetal development – pesquisa molecular sobre expressão gênica que não avalia dados de sobrevida ou desfechos de gravidez da síndrome.</t>
  </si>
  <si>
    <t>outcome of esophageal atresia/tracheo-esophageal fistula – o estudo foca em fetos com atresia esofágica, condição em que a síndrome de Edwards é meramente citada como uma associação.</t>
  </si>
  <si>
    <t>patients with MALT lymphoma suffering from an underlying CAT... one had trisomy 18 – foca em linfoma MALT e alterações citogenéticas adquiridas (somáticas) nas células tumorais, tema que foge à síndrome de Edwards.</t>
  </si>
  <si>
    <t>59.7% of trisomy 18 cases were electively terminated – traz dados demográficos diretos sobre o desfecho da gestação (interrupção eletiva) após o diagnóstico pré-natal da T18.</t>
  </si>
  <si>
    <t>72% (61-81%) of pregnancies diagnosed with T18 ended in a miscarriage or stillbirth – o artigo é inteiramente dedicado a estimar e fornecer taxas exatas de desfecho gestacional adverso na T18.</t>
  </si>
  <si>
    <t>The median survival times... from the first, second, and third periods were 7, 24, and 243 days, respectively – informação insuficiente – verificar texto completo (para confirmar se a sobrevida está discriminada individualmente para a T18).</t>
  </si>
  <si>
    <t>Oesophageal atresia (OA) and cleft lip-palate... succumbed to... trisomy 18 (n = 1) – a trissomia 18 figura apenas como uma anomalia associada descrita como a causa da morte em um único caso dentro de uma coorte de atresia esofágica.</t>
  </si>
  <si>
    <t>abnormal chromosomes were detected in chorionic villi from 12 fetuses, including... trisomy 18 (3) – estudo focado na técnica e segurança da biópsia de vilo corial, omitindo os desfechos das gestações com T18 diagnosticadas.</t>
  </si>
  <si>
    <t>identifying pregnancies at increased risk for CHDs... with one or more second trimester screen positive result for... trisomy 18 – trata-se de um estudo metodológico sobre o rastreamento, sem relatar a evolução clínica específica de pacientes com T18.</t>
  </si>
  <si>
    <t>Edwards syndrome in 3% (2/73)... terminations in 7% (5/73, due to chromosomal abnormalities) – o artigo fornece os desfechos das gestações de forma agrupada por anomalia, não permitindo isolar a conduta nos casos da T18.</t>
  </si>
  <si>
    <t>clinical management protocol... should be guided by one or more abnormal maternal serum marker analyte value rather than the false positive screening results for the... trisomy 18 screen – propõe uma diretriz de rastreamento de marcadores, sem dados de desfecho gestacional direto da T18.</t>
  </si>
  <si>
    <t>2009</t>
  </si>
  <si>
    <t>Early foetal growth restriction is demonstrated... in fetuses with... trisomy 18 – artigo de revisão centrado em datação biométrica por ultrassom, onde não são analisados os dados de sobrevida da síndrome em si.</t>
  </si>
  <si>
    <t>Survival from birth ranged from 12 to 1384 days... Eight patients survived longer than 1 year – evidencia os dados explícitos do tempo de sobrevida em pacientes com a síndrome de Edwards após cirurgia cardíaca.</t>
  </si>
  <si>
    <t>For Turner syndrome, trisomy 18, triploidy, and trisomy 13, the detection rates were... – artigo voltado à avaliação da taxa de sucesso de testes de rastreamento laboratorial e detecção cromossômica pré-natal.</t>
  </si>
  <si>
    <t>The only cytogenetic abnormality was trisomy 18 in one case – a síndrome de Edwards figura apenas como um único caso detectado dentro de uma pesquisa orientada ao desfecho de fetos com artéria umbilical única.</t>
  </si>
  <si>
    <t>Bilateral cleft lip and palate (BCLP)... All fetuses with a flat profile had aneuploidies (three trisomy 18...) – o objeto da pesquisa é a fissura labiopalatina bilateral (BCLP) fetal, e a evolução das três gestações com T18 não pode ser separada.</t>
  </si>
  <si>
    <t>The short-term survival rates of 1 week, 4 weeks, and 6 months were 58%, 32%, and 10% – provê o acompanhamento estatístico prolongado de mortalidade para uma coorte consecutiva de 31 casos.</t>
  </si>
  <si>
    <t>The authors report a rare case of a 6-month-old girl with trisomy 18 and multifocal hepatoblastoma – documento delineado explicitamente como sendo um relato de caso isolado sobre a condição e a doença subjacente.</t>
  </si>
  <si>
    <t>2010</t>
  </si>
  <si>
    <t>To estimate the maternal age-specific live birth prevalence... of trisomy 13... and trisomy 18 – avaliação puramente demográfica para projetar estatísticas e prevalência corrigida, não dispondo de análises dos desfechos desses fetos.</t>
  </si>
  <si>
    <t>7q32 deletion was inversely correlated with trisomy 18 – investigação estrita aos processos somáticos oncológicos de linfomas, sem nenhuma relação clínica com a manifestação fenotípica ou sobrevida da T18 congênita.</t>
  </si>
  <si>
    <t>This study assessed ethnic-specific population-based survival probabilities among infants for each trisomy... included... 398 cases of trisomy 18 – informação insuficiente – verificar texto completo (para acessar as análises de sobrevida calculadas para os pacientes com T18 incluídos no registro).</t>
  </si>
  <si>
    <t>Data also indicate longer survival rates (103.3 months for survivors, 37.5 months for nonsurvivors) – destaca resultados próprios referentes ao suporte intensivo e expansão considerável na longevidade observada nestes indivíduos afetados.</t>
  </si>
  <si>
    <t>2011</t>
  </si>
  <si>
    <t>high termination rates... Postnatal survival remains poor: ... four (6%) with trisomy 18 survived the first year – fornece o rastreamento da coorte cobrindo amplamente os desfechos, desde a interrupção da gravidez até a mortalidade do lactente.</t>
  </si>
  <si>
    <t>The average survival of the patients in this study was 815 +/- 389 days at data acquisition – detalha diretamente os dados de sobrevida pós-operatória favorável obtidos na intervenção cirúrgica cardíaca nesta amostra de pacientes com a síndrome.</t>
  </si>
  <si>
    <t>cases of an isolated single umbilical artery (SUA) identified during the second-trimester... The commonest chromosomal abnormalities were trisomy 18 – o distúrbio investigado e discutido clinicamente nesse texto é a artéria umbilical isolada e as patologias correlacionadas.</t>
  </si>
  <si>
    <t>OR for... Edwards syndrome, 1.15 – objetiva estabelecer as chances cruzadas (OR) mediante idade paterna, distanciando-se de variáveis de evolução clínica, de morte ou sobrevida.</t>
  </si>
  <si>
    <t>among children aged 1-2 years with Trisomy 18 (RR = 206.4, 95% CI:28.5-331.6) – apresenta a investigação epidemiológica associada à quantificação do risco de mortalidade infantil de uma grande coorte afetada por esta trissomia.</t>
  </si>
  <si>
    <t>Women who were screen-positive for trisomy 21, trisomy 18... received follow-up services – aborda primariamente um programa de triagem voltado para a averiguação global de morbidades fetais, não contendo respostas a desfechos na T18.</t>
  </si>
  <si>
    <t>MALT lymphoma of the parotid gland... 1 patient had... trisomy 18 – pesquisa ligada a quadros neoplásicos adultos avaliando translocações e trissomias clonais (no tecido linfático) sem vínculo gestacional ou perinatal com a síndrome.</t>
  </si>
  <si>
    <t>Low-resistance hepatic artery (HA) flow... abnormal in 16 cases (trisomy 21, n = 12; trisomy 18, n = 3) – o artigo busca mensurar o fluxo sanguíneo na artéria hepática fetal em gestações com translucência nucal, onde as T18 são achados acessórios e sem desfechos.</t>
  </si>
  <si>
    <t>evaluate ultrasound scan and other prenatal screening tests for trisomy 18 – estuda unicamente os valores preditivos e a confiabilidade de testes e indicadores no diagnóstico, contudo não averígua a história natural do indivíduo após as descobertas.</t>
  </si>
  <si>
    <t>investigated the in utero gene expression profile of second trimester fetuses affected with trisomy 18 – trabalho aprofundado na transcriptômica (expressão gênica) do genoma fetal associado à síndrome e não na resposta biológica clínica de sobrevida e gravidez.</t>
  </si>
  <si>
    <t>cumulative survival rates at 1 month, 6 months, 12 months, and 24 months were 63%, 38%, 25%, and 22% – evidencia de maneira aprofundada a eficácia e elevação proporcional do tempo de sobrevida associada ao tratamento da insuficiência cardíaca nesses indivíduos.</t>
  </si>
  <si>
    <t>twin pregnancies discordant for markedly enlarged nuchal translucency... one twin pair was concordant for trisomy 18 – relata discordâncias gestacionais e complicações em gestações de duplo desenvolvimento; a constatação da T18 consiste meramente num único feto avaliado na coorte.</t>
  </si>
  <si>
    <t>sonographic features of live embryos at 6-10 weeks' gestation are altered in aneuploidies... trisomy 18 (n=10) – o artigo expõe exclusivamente novos métodos marcadores para exame ultrassonográfico do embrião e predição na etapa embrionária da síndrome.</t>
  </si>
  <si>
    <t>2012</t>
  </si>
  <si>
    <t>Vaginal delivery was predicted by PND of... trisomy 18 – debate e reporta fundamentalmente as tendências médicas que decidem e moldam a via do parto mediante descoberta do dano, mas não acompanha o resultado (óbito fetal ou sobrevida) das gestações avaliadas.</t>
  </si>
  <si>
    <t>Thirty patients (97%) progressed to death (survival ranged from 2 to 780 days, and 87% died within the first 6 months of life) – apresenta informações estatísticas cruciais da taxa contínua de mortandade e o tempo exato de sobrevida no hospital analisado.</t>
  </si>
  <si>
    <t>Four of the cases resulted in fetal death, and the remaining 11 cases were terminated – o documento totaliza a mortalidade reunida decorrente de variadas e múltiplas deformidades esqueléticas avaliadas no estudo, sem reportar no resumo a fração concernente unicamente à T18.</t>
  </si>
  <si>
    <t>cases diagnosed antenatally with congenital omphalocele... 10 cases of trisomy 18 – avalia clinicamente a ocorrência e associação da onfalocele congênita ao polidrâmnio de modo que o diagnóstico da anomalia cromossômica compõe o quadro de um achado coadjuvante.</t>
  </si>
  <si>
    <t>Trisomy 18 was diagnosed in one fetus of a mother with CD... and pregnancy was terminated – o acompanhamento da doença inflamatória e uso de terapia biológica na gestante constituem o tema exclusivo de pesquisa, onde a presença dessa aneuploidia figurou casualmente em uma única interrupção.</t>
  </si>
  <si>
    <t>Of the 68 cases with chromosomopathy... 29 (64%) decided to have an abortion – a somatória percentual fornecida das resoluções engloba homogeneamente todo o leque de anomalias encontradas ao longo dos exames sem fracionar a resposta clínica relativa a portadores de Edwards.</t>
  </si>
  <si>
    <t>The NO [natural outcome] group included 15 cases of trisomy 18... The live birth rate was 13% for trisomy 18... died early after a maximum of 87 hr postpartum – avalia e responde com exatidão tanto as chances de prosseguimento da gestação (resultados naturais) quanto a quantificação imediata do escasso período de vida alcançado.</t>
  </si>
  <si>
    <t>In patients with T18, 23 (17%) of 134 were alive at this survey... Operated patients survived longer than those who did not have surgery – traz informações robustas sobre as taxas absolutas, melhora no panorama de sobrevivência e compara extensivamente abordagens paliativas no manejo dos casos detectados.</t>
  </si>
  <si>
    <t>Hospital mortality occurred among... 89.0% with T18... Median survival time was 4 days (95% CI, 3-4) among infants with T18 – examina precisamente o prognóstico ao dispor dados absolutos de mortalidade hospitalar e as medianas da estimativa de sobrevida para essa fatia de bebês nascidos de muito baixo peso.</t>
  </si>
  <si>
    <t>outcomes in pregnancies with an increased nuchal translucency and a normal karyotype – foca em fetos com cariótipo normal, não se aplicando à T18.</t>
  </si>
  <si>
    <t>a substantial number of children are living longer than 1 year and undergoing medical and surgical procedures – analisa dados referentes ao prolongamento da sobrevida e hospitalização infantil.</t>
  </si>
  <si>
    <t>2013</t>
  </si>
  <si>
    <t>overall intrauterine fetal death rate was 61%... All infants born alive died within 48 h of birth – apresenta desfechos da gestação e dados de sobrevida pós-natal de casos prenatos confirmados.</t>
  </si>
  <si>
    <t>Chronic lymphocytic leukemia (CLL) is the most common leukemia – pesquisa oncológica sobre alterações cromossômicas em leucemia adquirida, fora do escopo da síndrome.</t>
  </si>
  <si>
    <t>Twenty-year trends in the prevalence of Down syndrome and other trisomies – trata-se de um amplo estudo epidemiológico sobre prevalência, sem reportar no resumo os desfechos clínicos específicos dessas gestações.</t>
  </si>
  <si>
    <t>Seventy-nine of these children with full T13-18 are still living – agrupa os sobreviventes com trissomia 13 e 18 conjuntamente, impossibilitando a extração dos dados individualizados da T18.</t>
  </si>
  <si>
    <t>recommend a balanced approach to counseling families of the newborn with trisomy 18 – artigo útil para debate sobre ética, aconselhamento parental e perspectivas na conduta.</t>
  </si>
  <si>
    <t>Waldenström's macroglobulinemia is a disease of mature B cells – focado nos desfechos cromossômicos associados a uma doença oncológica de células B.</t>
  </si>
  <si>
    <t>The complexity and the severity of the clinical presentation at birth and the high neonatal and infant mortality make the perinatal and neonatal management... particularly challenging – revisão geral e utilitária abordando manejo neonatal e qualidade de vida.</t>
  </si>
  <si>
    <t>This case report presents a coincidence of trisomy 18 and balanced Robertsonian translocation – consiste na descrição isolada de apenas um caso clínico associado a uma outra translocação.</t>
  </si>
  <si>
    <t>Hypoplastic left heart (HLH) is one of the most common forms of cardiac abnormality – a síndrome da hipoplasia do coração esquerdo é o problema primário investigado no texto.</t>
  </si>
  <si>
    <t>diagnosed in the first trimester of pregnancy, in a fetus affected by trisomy 10 – artigo restrito a relatar malformações num caso de trissomia 10 mosaico.</t>
  </si>
  <si>
    <t>trends in prenatal detection and current estimates of prevalence for trisomies 18 – concentra-se unicamente nas estatísticas epidemiológicas e incidência geral no período.</t>
  </si>
  <si>
    <t>Knowledge on the clinical picture and on the prognosis of Edwards syndrome patients is of great importance regarding the neonatal care – oferece revisão útil do debate envolvendo características clínicas, tomadas de decisão e cuidados de urgência.</t>
  </si>
  <si>
    <t>Sixty-five children... with full trisomy 18 were evaluated... in four long-term survivors over 10 years, two walked unassisted – relata com precisão o tempo de sobrevida e desenvolvimento de marcos fisiológicos observados.</t>
  </si>
  <si>
    <t>verified the frequency and types of major neural tube defects observed among patients with trisomy 18 – explora estritamente a taxa de incidência dos defeitos do tubo neural em recém-nascidos sem analisar mortalidade.</t>
  </si>
  <si>
    <t>Double-positive subjects had risks greater than screening cutoffs for T21 and T18 and confirmed euploid karyotypes – focado no desfecho adverso em fetos com cromossomos normais afetados por um falso positivo.</t>
  </si>
  <si>
    <t>The median survival time for live births with full trisomy 18 was 14 days – fornece abertamente dados da mediana de sobrevida na população pesquisada.</t>
  </si>
  <si>
    <t>Thirty-two cases were referred for Trisomy 13, Trisomy 18, or anencephaly... Twelve liveborn infants survived – combina diferentes diagnósticos letais em um único subgrupo, impedindo a determinação da taxa de sobrevivência apenas da T18.</t>
  </si>
  <si>
    <t>2014</t>
  </si>
  <si>
    <t>determine whether there are differences in telomere length at birth between individuals with trisomy and diploidy – consiste numa averiguação estritamente citogenética sobre os telômeros do bebê, sem dados de longevidade na síndrome.</t>
  </si>
  <si>
    <t>resource allocation considerations are often invoked to withhold LSI for T13 or T18 – suscita o debate em torno de aspectos bioéticos sobre oferta e alocação de intervenções salva-vidas (LSIs) em relação à T18.</t>
  </si>
  <si>
    <t>There is variability in obstetricians' attitudes towards T18, with significant implications for management – texto dedicado à variação da percepção moral e obstétrica e o impacto que isso gera para a continuação da gravidez.</t>
  </si>
  <si>
    <t>determine the live birth- and stillbirth rates in infants with Down syndrome, trisomy 18, trisomy 13... The live birth rate of infants with Down syndrome... decreased – reporta somente os desvios de prevalência do nascimento, não disponibilizando dados explícitos de sobrevivência pós-natal da T18.</t>
  </si>
  <si>
    <t>rapid aneuploidy screening (RAS)... trisomy 18 (2%) – estuda a implantação de nova técnica de triagem e eficácia de diagnóstico (FISH), sem seguimento prognóstico ou registro de desfechos.</t>
  </si>
  <si>
    <t>diffuse large B-cell lymphoma – explora o panorama clínico e mutações isoladas que pioram o prognóstico de pacientes acometidos por linfoma, fora de contexto com a doença original.</t>
  </si>
  <si>
    <t>Only three T18 pregnancies... were electively terminated... 48% (T18)... survived following birth, for a median of 1.5 days – aborda de maneira completa tanto as respostas maternas à doença gestacional quanto ao período mediano dos recém-nascidos.</t>
  </si>
  <si>
    <t>reviewed detailed clinical information of 24 patients with trisomy 18 and EA... The 1-year survival rate was 17% – analisa os resultados de sobrevivência dos acometidos pela síndrome após serem tratados para atresia esofágica com ou sem fístula.</t>
  </si>
  <si>
    <t>non-invasive prenatal testing (NIPT)... four were trisomy 18 – examina a exatidão, valor preditivo e aplicabilidade laboratorial da identificação da T18 baseada no genoma não-invasivo de sequenciamento.</t>
  </si>
  <si>
    <t>second-trimester anomaly scan... Trisomy 13/18... were also associated with a short FL – foca a relevância diagnóstica de uma diáfise femoral curta achada em testes ultrassonográficos, sem determinar consequências fetais da síndrome.</t>
  </si>
  <si>
    <t>Limb asymmetry was 1.5 times higher for aneuploid cases... (trisomy 13, trisomy 18, monosomy X, triploidy) – analisa a taxa de assimetria biológica flutuante correlacionando às morbidades genéticas e defeitos sem avaliar números de sobrevida direta.</t>
  </si>
  <si>
    <t>Of 52,262 VLBW infants... 128 (0.24%) had T18... 9% of infants with T18 survived to hospital discharge – descreve pormenorizadamente a probabilidade de um bebê dessa síndrome, considerado de muito baixo peso, sobreviver para receber alta.</t>
  </si>
  <si>
    <t>Fetuses and neonates with chromosomal or neural tube defects were excluded. – o escopo de análise rejeita todos os pacientes afetados por cromossomopatias congênitas.</t>
  </si>
  <si>
    <t>we present a partial type of trisomy 18 – pesquisa constituída ao redor da elucidação cromossômica e consequências de uma translocação não-balanceada parcial (não caracterizando o quadro integral).</t>
  </si>
  <si>
    <t>noninvasive prenatal diagnosis... detected 16 trisomy 18 cases – documento restrito à comprovação do índice de precisão e especificidade alcançado em nova vertente tecnológica de triagem diagnóstica.</t>
  </si>
  <si>
    <t>Only 11% (95% confidence interval [CI]: 10-12) of diagnoses of Edwards syndrome... were live births – calcula e apresenta ativamente a conversão demográfica da detecção diagnóstica no contingente real e efetivo de partos vivos.</t>
  </si>
  <si>
    <t>Non-invasive prenatal testing (NIPT) for aneuploidies – introdução de parâmetros laboratoriais e diretrizes protocolares do sistema de triagem (NHS), omitindo estatísticas dos afetados.</t>
  </si>
  <si>
    <t>genomics-based NIPT (gNIPT) was proposed for the analysis of fetal genomic DNA – revisão sobre os pontos fortes e limitações de um ensaio laboratorial, dispensando o enfoque na condição pós-natal.</t>
  </si>
  <si>
    <t>Edwards syndrome, congenital heart defects... The 1-year survival... 27% in cases with chromosomal anomalies – aborda a taxa de sobrevida e óbitos em recém-nascidos associando diversas deformidades sob uma somatória de dados indissociável.</t>
  </si>
  <si>
    <t>analyses the concept of lethal malformations... recommend avoiding the term 'lethal' – fomenta ativamente a análise de cunho ético e retórico visando coibir o emprego de palavras e jargões inadequados e focar em diretrizes prognósticas.</t>
  </si>
  <si>
    <t>2015</t>
  </si>
  <si>
    <t>Intrauterine death occurred in half of the patients (50%)... The median length of survival after birth was 18 days – atende ambas as indagações provendo índices de mortalidade da gestação (óbito uterino) além da durabilidade da sobrevida entre os nascidos.</t>
  </si>
  <si>
    <t>noninvasive prenatal testing of aneuploidy from maternal plasma – aborda um projeto laboratorial no Japão a fim de documentar o processamento diagnóstico sem especificar os resultados pós-parto precisos nos confirmados com a síndrome.</t>
  </si>
  <si>
    <t>With surgical management, operative mortality was 29 %, and 80 % of patients were alive after a median follow-up of 116 days. – exibe comparações profundas na longevidade aferindo mortalidade cirúrgica contra abordagens não invasivas em fetos cardíacos.</t>
  </si>
  <si>
    <t>2016</t>
  </si>
  <si>
    <t>incidence of a reversed a-wave in DV flow... highest prevalence in trisomy 18 – avalia o emprego dessa modificação fisiológica na identificação primária de anomalias cromossômicas como ferramenta diagnóstica.</t>
  </si>
  <si>
    <t>non-invasive prenatal testing for trisomies 13, 18, and 21 – analisa comparativamente as falhas ou limitações de detecção num dado método em contraposição à medição da translucência nucal, sendo essencialmente um material de validação em rastreamento.</t>
  </si>
  <si>
    <t>screening performance of ultrasound-based protocols for detecting T18 – tem a finalidade de conceituar um sistema ultrassonográfico eficaz de reconhecimento para essa enfermidade sem o respaldo de desfechos concretos.</t>
  </si>
  <si>
    <t>An additional 22 children with trisomy 18... are described here. A range of developmental skills is noted – o estudo aprofunda-se sobre as habilidades comportamentais e progressão neuromotora desses pacientes (qualidade de vida).</t>
  </si>
  <si>
    <t>The rate of patients discharged to home was... (T18: 72.6 vs. 38.8%) – registra desfechos e informações relativas a altas ambulatoriais bem como dados de intervenções clínicas adotadas para elevar essa condição.</t>
  </si>
  <si>
    <t>prevalence and types of chromosomal abnormalities in high risk prenatal samples – descreve tão somente a variabilidade nos cariótipos num serviço de aconselhamento e as formas detecção fetal mediante alterações.</t>
  </si>
  <si>
    <t>incidence of trisomy 18 was significantly greater in s-CRL – investiga exclusivamente o comprimento crânio-nádega como potencial fator que induza à presunção diagnóstica preditiva para a Síndrome de Edwards.</t>
  </si>
  <si>
    <t>prevalence of trisomy 13 in mothers aged 35 and older – pesquisa cujos métodos e conclusões reportam apenas à anomalia inerente à Síndrome de Patau (Trissomia 13).</t>
  </si>
  <si>
    <t>Stillbirths occurred in 50 cases (40.7%)... Among the 73 live-born infants, the survival rate for 24 h, 1 week, 1 month and 1 year were 63%, 43%, 33% and 3%. – fornece dados diretos tanto de desfechos gestacionais (natimortos) quanto da curva de sobrevida dos recém-nascidos afetados pela T18.</t>
  </si>
  <si>
    <t>pediatric patients with hepatoblastoma (HB). METHODOLOGY: Ten cases... One case with 18-trisomy – o foco do estudo é a terapia do hepatoblastoma infantil, sendo a T18 apenas uma comorbidade relatada em um caso isolado.</t>
  </si>
  <si>
    <t>review all cases of NTDs... 25% (n = 9, one trisomy 18) opted for termination – o objeto do estudo são os defeitos do tubo neural, figurando a T18 apenas como achado associado pontual (dois casos).</t>
  </si>
  <si>
    <t>use of NIPT by MPS as a method of prenatal screening for aneuploidies... Two cases of high risk of trisomy 18 – o estudo descreve a utilidade de um teste genético pré-natal, mas não fornece números sobre desfechos de sobrevivência ou perda gestacional da síndrome em si.</t>
  </si>
  <si>
    <t>positive screening for more than one of the screened conditions... more than 50% of women with multiple positive screening results had either a fetus with a birth defect or a poor pregnancy outcome. – avalia desfechos de gestações baseados na multiplicidade de marcadores de risco genéricos, sem individualizar os resultados da T18.</t>
  </si>
  <si>
    <t>6 of 21 term infants (29%) achieved survival to discharge... infants who survived more than 30 days mostly died of heart failure. – relata as taxas, o tempo de sobrevida associado e as causas de morte de nascidos vivos com a doença.</t>
  </si>
  <si>
    <t>Seventy three percent of cases with trisomy 18 or trisomy 13 resulted in a TOPFA. – a análise de término de gravidez encontra-se agrupada inseparavelmente entre T13 e T18, sem foco na sobrevida ou mortalidade na porção de nascidos.</t>
  </si>
  <si>
    <t>determine the prevalence of EIF in a Middle Eastern population and to examine its association with trisomy 21... EIF was not associated with trisomy 18 – busca validar o significado clínico de um marcador por imagem e a exclusão da T18 em um país árabe, sem apresentar evolução clínica dos afetados.</t>
  </si>
  <si>
    <t>Surgical intervention may be considered as part of a balanced approach to patient care. – relata retrospectivamente a frequência de cirurgias no aparelho fonador, somando pontos para o debate em torno da qualidade de vida e intervenção em prole de T18.</t>
  </si>
  <si>
    <t>examine and compare in detail the musculoskeletal modularity and integration of normal and abnormal human upper and lower limbs. – pesquisa de cunho estritamente anatômico/teórico sobre deformidades de membros que emprega a T18 apenas para testar um modelo biológico de anomalias.</t>
  </si>
  <si>
    <t>Twenty-four cases had one or more cardiac defects repaired... Twenty-one cases were still living at the time of survey completion (87.5%). – registra resultados absolutos da elevada sobrevida obtida mediante o reparo e acompanhamento cardiológico no período infante.</t>
  </si>
  <si>
    <t>48% [37-60%] of fetuses were live born, and among these 39% [11-72%] survived beyond 48 hr and 11% [3-21%] beyond 1 month. – documenta com precisão os desfechos da gestação seguidos de estimativas rigorosas que aferem os níveis de longevidade observados.</t>
  </si>
  <si>
    <t>prenatal detection of trisomies and pregnancy outcome depend not only on performance of screening tests but also on parental choice. – explora condutas perante diagnóstico num contexto de implementação de rede governamental, contudo a sobrevida exposta no resumo remete apenas à trissomia 21.</t>
  </si>
  <si>
    <t>outcomes of extremely low birth weight (ELBW, &lt;1000 g) infants with esophageal atresia/tracheoesophageal fistula... One trisomy 18 infant received no treatment and died – a malformação fistulosa esofágica é o problema abordado no centro médico, com o óbito de T18 representando um único paciente excluído.</t>
  </si>
  <si>
    <t>correlations between macrophage colony-stimulating factor (MCSF) levels in maternal blood during first trimester screening with respect to normal and pathological pregnancies. – o resumo apenas mensura o desempenho imunológico de uma citoquina plasmática durante o processo rotineiro de rastreamento no primeiro trimestre.</t>
  </si>
  <si>
    <t>There were 693 children with T13 and 1,113 children with T18... among children with T18, it [5-year survival] was 12.3%. – levanta os índices precisos que calculam a mortalidade demográfica e a chance de atingir 5 anos de vida nessa parcela amostral representativa.</t>
  </si>
  <si>
    <t>Of the 150 patients, there were 54 live births... Median duration of survival was 12 days (interquartile range 3-90 days). – consolida o panorama geral entre as decisões da evolução do parto (natalidade e via de condução) e o período final de sobrevivência sem intervenções cirúrgicas agressivas.</t>
  </si>
  <si>
    <t>Two fetuses had trisomy 18 diagnosed after fetal cystoscopy and were excluded from the present analysis. – as gestações com síndrome de Edwards constituem grupo explicitamente refutado da análise sobre intervenções para obstrução pélvica.</t>
  </si>
  <si>
    <t>At present, there is insufficient information available to indicate that receiving a prenatal diagnosis of trisomy 18 is detrimental to the survival of a foetus... enables the parents and clinicians time to reach a consensus – constitui raciocínio bioético valioso frente aos debates se há enviesamento médico após descobertas de cariótipos.</t>
  </si>
  <si>
    <t>Although significant differences were observed for the prognosis of trisomy 18 at 180 days after birth, after 1 year and the entire survey period after birth, the significant differences were not confirmed. – explora abertamente e exibe resultados analíticos dos dias pós-alta após aplicar cuidados na UTI de recém-nascidos.</t>
  </si>
  <si>
    <t>The duration of survival was significantly longer in the surgical group than in the conservative group (495.4±512.6 versus 93.1±76.2 days, respectively; p=0.03). – fornece as contagens comparativas relativas à efetividade (longevidade estendida) em fetos submetidos a operações de regulação da cardiopatia.</t>
  </si>
  <si>
    <t>In this article, we describe two children with different clinical situations and examine whether cardiac surgery would benefit them and how to communicate with their families. – consiste numa exploração essencial de caso e aconselhamento focado no prolongamento paliativo ou curativo à luz dos direitos parentais, relevante ao discurso obstétrico.</t>
  </si>
  <si>
    <t>describe the association of abnormal outcomes with fetal cystic hygroma... Abnormal karyotype was found – reporta-se precipuamente a medir os desfechos anormais frente ao instante cronológico que um higroma nucal aparece nas avaliações obstétricas.</t>
  </si>
  <si>
    <t>In this review, the clinical implications of NIPT test failures are discussed. – debate centralmente as ineficiências na extração e purificação de DNA para fins analíticos, dispensando as avaliações obstétricas diretas.</t>
  </si>
  <si>
    <t>A total of 132 samples were collected, within trisomy 21 (n = 11), trisomy 18 (n = 3)... correct diagnosis with 100% sensitivity and 99.9% specificity. – desenvolve processo citogenético para garantir maior facilidade ao prever erros fetais sem discorrer as consequências inerentes à malformação biológica diagnosticada.</t>
  </si>
  <si>
    <t>Of particular interest is the associated cardiac defect, as surgical repairs of these defects have shown an improved survivability. In this article, the anatomical defects associated with each system are reviewed. – artigo proveitoso em resumir os traços clássicos e a fisiopatologia congênita fundamental necessária aos desdobramentos de tratamento e aconselhamento.</t>
  </si>
  <si>
    <t>We investigated the first trimester prevalence of T21, T18 and T13 in a large population of Danish women. – projeta estatísticas de amostragem na incidência primária pautadas sobre uma curva de progressão de idade das mães sem rastrear partos.</t>
  </si>
  <si>
    <t>FD occurred in 55 (60%) gestations... T13/18 (n=16/25, 64%)... No predictive factors were identified in the T13/18 group. – informação insuficiente – verificar texto completo (para atestar se os casos de morte fetal associados unicamente ao cromossoma 18 estão segregados do cariótipo 13 nos dados originais).</t>
  </si>
  <si>
    <t>When managing pregnancies complicated by T13 and T18, active, open, and frequent communication between the patient, her family, and a multidisciplinary health care team throughout the pregnancy is crucial. – introduz abordagens clínicas na tomada de decisões entre pais, assistentes sociais e pediatras nos casos da continuação e suporte da gravidez da T18.</t>
  </si>
  <si>
    <t>It was agreed not to use the term 'incompatible with life outside the womb'... and change to 'congenital anomaly of poor prognosis (CAPP)'... A CAPP would be: ... non-mosaic trisomy 18 – elenca reflexões essenciais envolvendo o papel político, terminológico e legal sobre a liberação de leis do abordo nas alterações fetais como Edwards.</t>
  </si>
  <si>
    <t>The survey was designed based on previously validated surveys of severe fetal anomalies and collected demographic information on participants, as well as their attitudes, and management choices – reporta-se diretamente na quantificação bioética da conduta, tabulando a preferência dos profissionais acerca dos conflitos obstétricos/fúteis e os procedimentos restritivos.</t>
  </si>
  <si>
    <t>these interventions are clearly associated with significant morbidity, resource allocation, and cost. – pontua com ênfase as considerações econômico-hospitalares e de ética contra e a favor nos casos da T18 submetidos a invasão do septo atrioventricular e seus resultados para os mesmos.</t>
  </si>
  <si>
    <t>32 women (10 with T13 and 22 with T18) met study criteria; 12 (38%) elected INT and 20 (62%) CC... median survival was longer in the INT group compared with CC group (64 days... vs. 3 days) – informação insuficiente – verificar texto completo (para certificar se as variáveis obstétricas e do prolongamento mediano da vida distinguem perfeitamente os doentes com T18 do outro grupo).</t>
  </si>
  <si>
    <t>Median (interquartile range [IQR]) survival times were 12.5 (2-195) days for trisomy 13 and 9 (2-92) days for trisomy 18... Ten-year survival for trisomy 13 was 12.9%... and 9.8%... for trisomy 18. – engloba explicitamente as margens estatísticas e os números que apontam os índices para T18 com ênfase a pacientes cirúrgicos no marco final prolongado.</t>
  </si>
  <si>
    <t>this raises ethical concerns about cancer treatment in infants with Edwards syndrome. – reporta a incidência e discute um problema de grande impacto e debate na medicina moderna acerca da eficácia do combate aos tumores malignos após longa sobrevida da referida condição original.</t>
  </si>
  <si>
    <t>2017</t>
  </si>
  <si>
    <t>Of the 29 infants with trisomy 18, 21 (72%) died in the hospital and 8 (28%) were discharged home... Median survival time was 13 days – traça o trajeto imediato percorrido na internação providenciando o quociente dos dias de sobrevida, o óbito entre bebês internados e a incidência de sucesso em regressarem ao lar.</t>
  </si>
  <si>
    <t>examined 82 children with full trisomy 18... Seven of 14 male children (50%) and 52 of 68 female children (76.5%) were living at the time of survey completion. – elenca a sobrevida isolando e identificando os graus de eficácia conforme os sexos quando sob os tratamentos prestados nessas trissomias diagnosticadas sem mosaicismo.</t>
  </si>
  <si>
    <t>Estimated 1-year survival for those with a major procedure was 30% and 22% for trisomies 13 and 18, respectively. – apresenta explicitamente números associados a pacientes graves que sobreviveram decorrido um ano devido ou não à escolha ativa dos familiares de seguir com os processos mais contundentes de estabilização.</t>
  </si>
  <si>
    <t>to examine the diagnostic accuracy of a previously developed model for the first-trimester combined test in screening for trisomies 21, 18 and 13. – centra seus dados sobre a performance laboratorial de detectar ou acusar erros e taxas de alarmes falso positivo nos soros e marcadores primitivos testados nas grávidas.</t>
  </si>
  <si>
    <t>Of the 216 children with full trisomy, 69% were discharged home after birth and 40% lived &gt;1 y. – relata integralmente informações acerca das resoluções no puerpério associando os fatores independentes do recém-nascido capazes de culminar na diminuição quantitativa de seu suporte de longevidade.</t>
  </si>
  <si>
    <t>The authors propose a care model for trisomy 13 and 18 that uses shared decision making as its foundational principle and the pathways approach as the method. – fornece diretrizes conceituais aprofundando o debate bioético da adoção de tratamentos paliativos frente à deliberação conjunta da responsabilidade na escolha.</t>
  </si>
  <si>
    <t>nearly 30% of Trisomies 18/13 were live births; 38% all trisomy affected pregnancies ended in a termination. – informação insuficiente – verificar texto completo (para apurar se a casuística e percentuais entre a resolução da gestação para natimortos e fetos abortados encontram-se expostas singularmente para T18 no corpo).</t>
  </si>
  <si>
    <t>The principal aim of the series of articles... is to enrich and continue this emerging dialogue... one view makes the case for pure comfort care... while the other view supports full intervention – consiste essencialmente no embasamento central do debate perante a comunidade acadêmica visando discutir as melhores rotinas de estabilização no neonato perante a T18.</t>
  </si>
  <si>
    <t>analyze the performance of the combined test... The detection rate was 80% for trisomy 21 (4 of 5) and 100% for trisomy 13 and 18 – relata de forma simples as taxas de acerto na presunção por sorologia clínica e ultrassonografia inicial ao evidenciar as cromossomopatias primárias no rastreio da gestante.</t>
  </si>
  <si>
    <t>Introduction of NIPT in the Dutch National healthcare-funded Prenatal Screening Program resulted in high uptake and a vast reduction of invasive testing. – a temática reside nos números colhidos das triagens governamentais em relação ao valor agregado na predição mas ignora documentar quaisquer decisões da grávida após ratificação de doença fetal.</t>
  </si>
  <si>
    <t>Trisomy 21 showed the highest TOP rate (93.8% [390/416]) followed by trisomy 18 (84.5% [163/193]) – divulga estritamente dados descritivos dos números alcançados ao pesquisar a taxa das deliberações optando pelo encerramento (TOP) legal decorrente apenas das predições da citogenética.</t>
  </si>
  <si>
    <t>fetal megacystis... Karyotype anomalies are found in 15%, and include trisomy 18, trisomy 13 and trisomy 21. – engloba a trissomia 18 não como foco de avaliação de gestações portadoras dessa anomalia primária, mas como agente causador esporádico ou anexo nas séries do megacisto em estudo sistemático.</t>
  </si>
  <si>
    <t>Fifteen RRA patients were identified: one with trisomy 18, three with an isolated defect... – reporta um caso singular sem evolução de gestação ou longevidade, utilizando a T18 exclusivamente de pretexto contextual numa pauta das desordens congênitas raras e bilaterais ligadas ao rádio.</t>
  </si>
  <si>
    <t>In T13/18 intra-uterine death decreased (26% vs 15%), while terminations increased: 55% vs 72%. – informação insuficiente – verificar texto completo (para observar com cuidado metodológico se o agrupamento numérico que quantifica as interrupções fetais discrimina de algum modo os acometidos pela síndrome de Edwards).</t>
  </si>
  <si>
    <t>NICU mortality varied widely by anomaly type and birth weight, from 70% of infants &lt;1500 g with neonatal surgical anomalies to 31% of infants ≥2500 g with minor anomalies. – informação insuficiente – verificar texto completo (para constatar se os percentuais de mortalidade informados discriminam objetivamente as mortes da T18 separadas da referida trissomia 13 no ambiente da terapia intensiva).</t>
  </si>
  <si>
    <t>clinical utility of cell-free DNA (cfDNA)-based screening... positive predictive value... no aneuploidies were identified among cfDNA test failures. – foca na utilidade clínica e desempenho laboratorial de triagem, sem dados de sobrevida pós-natal ou desfechos específicos da T18.</t>
  </si>
  <si>
    <t>2018</t>
  </si>
  <si>
    <t>parents' response to current medical discourse concerning trisomy 18... palliative care practices, and seek more accurate, descriptive language – artigo de cunho humanístico e bioético útil para o debate sobre o discurso médico e cuidados paliativos.</t>
  </si>
  <si>
    <t>For trisomy 18, 30%... of viable fetuses at 12 weeks will result in a live birth and at 39 weeks gestation 67%... will result in a live birth. – fornece estimativas específicas por idade gestacional sobre a perda fetal e taxa de natalidade para a T18.</t>
  </si>
  <si>
    <t>debate among both professionals and parents about whether it is appropriate to provide life-sustaining interventions... discuss both points of view – excelente artigo de apoio abordando o debate ético sobre intervenções em bebês com T13 e T18.</t>
  </si>
  <si>
    <t>antenatal prognostic factors of neonatal outcomes in cases of fetal echogenic bowel (FEB)... 1 case of trisomy 18 – o foco do estudo é o intestino ecogênico fetal, sendo a T18 achado isolado secundário.</t>
  </si>
  <si>
    <t>clinical validation or implementation studies of maternal blood cell-free (cf) DNA analysis and define the performance of screening for fetal trisomies – meta-análise centrada no desempenho de testes de rastreio genético (cfDNA).</t>
  </si>
  <si>
    <t>Median survival... was 16.2 years (95% CI: 12 to 20.4 years) for patients with trisomy 18. – relata os desfechos e a sobrevida a longo prazo em pacientes com T18 submetidos a intervenção cardíaca.</t>
  </si>
  <si>
    <t>explore the prevalence of CA in relation to maternal age and perinatal features... stillbirths rate for total CA was 76.45% – estudo epidemiológico abrangente sobre prevalência e taxas gerais de natimortos por anomalias cromossômicas, sem dados detalhados de sobrevida pós-natal específica da T18.</t>
  </si>
  <si>
    <t>elicited four key themes regarding family perspectives on children with T 13/18... narrative approach to elicit a map of the things that matter to them – estudo qualitativo relevante sobre a vivência parental e perspectivas de cuidado na T13/T18.</t>
  </si>
  <si>
    <t>systematic application of the first trimester combined test for aneuploidies... detection rate for trisomy 21... All of the trisomy 18 and trisomy 13 cases were detected prenatally – foca na avaliação do teste combinado de primeiro trimestre, sem dados de desfechos pós-natais dos afetados.</t>
  </si>
  <si>
    <t>Trisomy 13, Trisomy 18, and anencephaly comprised 21% of cases... Evaluation of how to integrate palliative care into high-risk obstetrics is needed. – aborda as taxas de encaminhamento para cuidados paliativos perinatais em diagnósticos limitantes à vida, servindo de apoio para a discussão de condutas.</t>
  </si>
  <si>
    <t>Infants diagnosed with TOF... Infants with trisomy 13 or trisomy 18 were also significantly more likely to die – o foco principal é a Tetralogia de Fallot (TOF), sendo as trissomias tratadas apenas como variáveis associadas.</t>
  </si>
  <si>
    <t>compare the screening performance for trisomy 21... and contingent screening... sensitivity for detection of T21, T18 and T13 – estudo focado na comparação de estratégias de triagem populacional com cfDNA.</t>
  </si>
  <si>
    <t>Increased nuchal translucency in fetuses with a normal karyotype... trisomy 18 (2%) – o foco do estudo são os casos de translucência nucal aumentada em fetos com cariótipo normal.</t>
  </si>
  <si>
    <t>Associated anomalies included trisomy 18, Beckwith-Wiedemann syndrome... Survival rates for the newborns with omphaloceles and gastroschisis – aborda a cirurgia e desfechos de onfalocele e gastrosquise, sendo a T18 apenas uma comorbidade relatada.</t>
  </si>
  <si>
    <t>Perinatal mortality in Japanese women diagnosed with gestational diabetes mellitus and diabetes mellitus... fetal trisomy (6 cases: 1 of trisomy-13 and 5 of trisomy-18) – investiga a mortalidade perinatal associada ao diabetes gestacional, com as trissomias figurando como causas secundárias de óbito fetal.</t>
  </si>
  <si>
    <t>Congenital vertical talus is a rare foot anomaly... associated with anomalies such as trisomy 18... Outcomes included termination... and 6 survivors – foca no talus vertical congênito e suas anomalias associadas, não sendo um estudo específico sobre a T18.</t>
  </si>
  <si>
    <t>accuracy of an NIPT for the determination of trisomies 21, 18 and 13... multicenter post-market clinical follow-up study – foca na validação clínica e acurácia do teste NIPT em rotina laboratorial.</t>
  </si>
  <si>
    <t>Survival at last follow-up was greater in the complete repair group... with a longer median length of survival in the complete repair group – analisa os fatores pré-operatórios e os desfechos de sobrevida após intervenção cardíaca em lactentes com T13 e T18.</t>
  </si>
  <si>
    <t>Management of gastric mucosa-associated lymphoid tissue lymphoma in patients with extra copies of the MALT1 gene. – estudo oncológico sobre linfoma gástrico MALT, totalmente fora do escopo da síndrome de Edwards.</t>
  </si>
  <si>
    <t>In-hospital mortality was decreased in those who underwent CHS (64% lower in T18 [P &lt;.001]...)... suggests CHS may be beneficial in select cases. – avalia o impacto da cirurgia cardíaca congênita na mortalidade hospitalar de pacientes com T18 e T13.</t>
  </si>
  <si>
    <t>microarray GE analyses of amniocytes from fetuses with viable trisomy conditions, trisomy 21 or trisomy 18, to detect such common expression signatures. – foca na análise transcricional e expressão gênica laboratorial de amniócitos, sem dados clínicos de sobrevida ou desfecho gestacional.</t>
  </si>
  <si>
    <t>Median survival for infants with full trisomies 13 and 18 was 36 and 60 days, respectively. – apresenta a experiência de centro terciário abordando o acompanhamento gestacional e a sobrevida pós-natal de recém-nascidos com T13 e T18.</t>
  </si>
  <si>
    <t>evaluate and compare the diagnostic accuracy of MPSS and TMPS for gNIPT as a first-tier test... or as a second-tier test – revisão sistemática e meta-análise avaliando a acurácia diagnóstica de testes genéticos não invasivos (gNIPT).</t>
  </si>
  <si>
    <t>Absent fetal nasal bone in the second trimester and risk of abnormal karyotype... three of trisomy-18 – foca na ausência de osso nasal como marcador ultrassonográfico para cariótipos anormais gerais.</t>
  </si>
  <si>
    <t>cfDNA results included trisomy 21 (89.7%)... trisomy 18 (7.7%)... 22 (56.4%) continued and 10 (25.6%) terminated... – agrupa os desfechos gerais de testes anormais de cfDNA, sem isolar os dados específicos e individualizados para a T18 de forma a cumprir os critérios de extração direta.</t>
  </si>
  <si>
    <t>Women who chose expectant management had a live birth in 50% of the cases... no long-term survivors. – avalia o aconselhamento pré-natal, as decisões parentais, as taxas de nascidos vivos e os desfechos de gestações com T13 e T18.</t>
  </si>
  <si>
    <t>2019</t>
  </si>
  <si>
    <t>identify pregnancies at increased risk for trisomy 13, trisomy 18 or triploidy attributable to low fetal fraction (FF). – foca no desenvolvimento de algoritmo de risco baseado na fração fetal para triagem laboratorial.</t>
  </si>
  <si>
    <t>Genetic Testing and Pregnancy Outcome Analysis of 362 Fetuses with Congenital Heart Disease... only one (identified as trisomy 18 syndrome) resulted in perinatal death – estudo centrado em defeitos cardíacos congênitos (CHD) em geral, com a T18 aparecendo pontualmente.</t>
  </si>
  <si>
    <t>validate and evaluate the performance metrics of the high-throughput semiconductor sequencing platform... in non-invasive prenatal genetic screening – validação técnica de plataforma de sequenciamento para triagem pré-natal não invasiva.</t>
  </si>
  <si>
    <t>Age-Related Chromosomal Aberrations in Patients with Diffuse Large B-Cell Lymphoma: An In Silico Approach. – estudo oncológico sobre aberrações cromossômicas em linfoma difuso de grandes células B (DLBCL), totalmente fora do escopo.</t>
  </si>
  <si>
    <t>Compared to infants without birth defects, infants with T18, T13... had longer survival rates, higher inpatient medical costs, and longer LOS. – avalia a sobrevida, o tempo de internação e os custos de assistência médica para recém-nascidos com malformações congênitas letais, incluindo a T18.</t>
  </si>
  <si>
    <t>A select group of T13 and T18 CHD patients can undergo successful cardiac interventions, albeit with a higher mortality and resource use. – analisa a mortalidade e o uso de recursos após intervenções cardíacas em crianças com T13 e T18.</t>
  </si>
  <si>
    <t>routine clinical implementation of cell-free DNA (cfDNA) analysis of maternal blood for trisomies 21, 18 and 13... in twin pregnancy – foca na implementação e avaliação de rastreamento com cfDNA em gestações gemelares.</t>
  </si>
  <si>
    <t>Patients with trisomy 18 have more complications and four times greater adjusted odds for inpatient death. – avalia a frequência, a morbidade e a mortalidade associadas a internações para cirurgia cardíaca congênita em pacientes com T13 e T18.</t>
  </si>
  <si>
    <t>aimed to describe clinician attitudes toward cardiac surgery and trisomy 18... Ethical concerns and insufficient outcome data were the most agreed upon reasons – avalia as atitudes e percepções dos clínicos em relação à cirurgia cardíaca na T18, fornecendo excelente suporte para a discussão bioética.</t>
  </si>
  <si>
    <t>evaluated the performance of a cell-free DNA (cfDNA) prenatal screening assay for trisomies 21, 18, and 13... PPV for trisomies 21, 18, and 13 was 98.1%, 88.2%, and 59.3% – avalia o desempenho laboratorial e acurácia de teste de rastreio por cfDNA.</t>
  </si>
  <si>
    <t>Does Chorionic Villus Sampling Increase the Risk of Preeclampsia or Gestational Hypertension? ... Trisomy 18 and 21 were common in cases underwent amniocentesis – o foco é comparar complicações (pré-eclâmpsia) entre amniocentese e biópsia de vilo corial, sendo as trissomias meras indicações dos exames.</t>
  </si>
  <si>
    <t>Children with trisomy 18 receive pediatric palliative care services, with variable age at referral and for a variable length of time. – relata a experiência de crianças com T18 encaminhadas a serviços de cuidados paliativos em dois continentes, auxiliando na discussão de suporte.</t>
  </si>
  <si>
    <t>In patients with Trisomy 18... more than 96 h of mechanical ventilation was associated with increased LOS... and THC – investiga a utilização de recursos, tempo de internação e custos hospitalares associados a neonatos com T13 e T18.</t>
  </si>
  <si>
    <t>Fifty-two (44%) patients with T18 survived at discharge and their 1-year survival rate was 29%... Independent factors associated with survival discharge... – analisa os fatores associados à alta hospitalar e sobrevida em pacientes com trissomia 18.</t>
  </si>
  <si>
    <t>Associated birth defects or anomalies, such as VACTERL association, trisomy 18 or 21... occur in the majority of patients born with EA – artigo de revisão geral sobre atresia esofágica, mencionando a T18 apenas como anomalia associada genérica.</t>
  </si>
  <si>
    <t>The miscarriage rate was 9% for T18... intrauterine fetal death occurred in... 52% of cases for T18... median survival was two days... 90% died within first week – descreve detalhadamente a história natural, as taxas de aborto espontâneo, óbito fetal e sobrevida pós-natal de gestações com T18 e T13 em hospital público brasileiro.</t>
  </si>
  <si>
    <t>2020</t>
  </si>
  <si>
    <t>A confirmed genetic abnormality accounted for 17/52 cases... with trisomy 18 constituting over 50% (9/17; 53%)... Overall, 12 (23%) cases of anomalous FGR survived the neonatal period. – investiga a etiologia e os desfechos perinatais da restrição de crescimento fetal periviável associada a anomalias genéticas, com destaque para a T18.</t>
  </si>
  <si>
    <t>compared clinical validity of two non-invasive prenatal screening (NIPS) methods for fetal trisomies 13, 18, 21... PEGASUS study – estudo comparativo de validação clínica de plataformas de triagem pré-natal não invasiva (NIPS).</t>
  </si>
  <si>
    <t>The operative mortality rate was 15%, with a 56% complication rate... preoperative mechanical ventilation was associated with an odds ratio of mortality &gt;8 – analisa os resultados cirúrgicos e fatores de risco perioperatórios em pacientes com T13 e T18 submetidos a cirurgia cardíaca.</t>
  </si>
  <si>
    <t>2024</t>
  </si>
  <si>
    <t>(sem resumo disponível no PubMed) – artigo de revisão sobre mielomeningocele sem resumo disponível e sem foco na T18.</t>
  </si>
  <si>
    <t>Amniocentesis is a well-known invasive procedure... increased risk of Edward's syndrome (4.4%) – foca na avaliação de complicações da amniocentese, sendo a síndrome de Edwards mencionada apenas como indicação estatística do procedimento.</t>
  </si>
  <si>
    <t>The mean total birth prevalence... for T18 was 4.08 per 10,000 births... mortality in first year of life was 87% for T13 and 88% for T18... about 10% survived the first year – analisa a prevalência, os desfechos e a taxa de sobrevida (incluindo natimortos e nascidos vivos) da T13 e T18 em múltiplos registros populacionais internacionais.</t>
  </si>
  <si>
    <t>describe our clinical experience across the entire range of fetal-fraction (FF) measurements of a non-invasive prenatal screen (NIPS)... performance for trisomy 21, trisomy 18 and trisomy 13 – descreve a experiência clínica de triagem pré-natal não invasiva (NIPS) baseada em sequenciamento de genoma completo, focando na performance técnica.</t>
  </si>
  <si>
    <t>Estudo epidemiológico populacional focado na associação entre status socioeconômico e o momento do diagnóstico de trissomias, sem apresentar dados individuais de sobrevida ou desfechos clínicos da T18.</t>
  </si>
  <si>
    <t>Revisão focada nos riscos obstétricos e no manejo com cuidados paliativos para gestações complicadas por malformações limitantes à vida (incluindo a T18).</t>
  </si>
  <si>
    <t>Avalia o papel da translucência nucal e comparação com teste de cfDNA, sem focar nos desfechos pós-natais específicos da T18.</t>
  </si>
  <si>
    <t>The 1-year survival rate of infants in the PPV group was higher than that of non-PPV-supported infants... provides better prognosis in infants with trisomy 18 – analisa o manejo da apneia e a sobrevida associada em lactentes com trissomia 18.</t>
  </si>
  <si>
    <t>Foca na prevalência de mosaicismo em amostras de vilo corial após microarranjo cromossômico, sem dados clínicos de sobrevida na T18.</t>
  </si>
  <si>
    <t>Trisomy 18 is no longer considered a disease incompatible with life... survival is as high as 23% at 5 years of age – excelente revisão bioética sobre a mudança de paradigma no tratamento da T18.</t>
  </si>
  <si>
    <t>Revisão atualizada sobre cardiopatias congênitas associadas a síndromes de aneuploidia, incluindo a T18, servindo de apoio para a discussão clínica e manejo.</t>
  </si>
  <si>
    <t>2021</t>
  </si>
  <si>
    <t>Foca na experiência com biópsia de vilo corial (CVS) e indicações gerais de diagnóstico pré-natal, sem isolar os desfechos da T18.</t>
  </si>
  <si>
    <t>Estudo centrado na mortalidade e preditores em atresia esofágica, sendo a T18 mencionada apenas como comorbidade/síndrome associada a alguns óbitos.</t>
  </si>
  <si>
    <t>overall survival rates in 6, 12 and 60 months were 57%, 43% and 12%... surgical interventions contribute not to the long-term survival but to achieve homecare among individuals with trisomy 18. – avalia o impacto de intervenções cirúrgicas nos desfechos e alta hospitalar na T18.</t>
  </si>
  <si>
    <t>Foca no espectro de achados ultrassonográficos da holoprosencéfala, figurando a T18 apenas como achado cromossômico secundário pontual.</t>
  </si>
  <si>
    <t>Estudo de métodos mistos sobre a qualidade de vida e perspectivas parentais em crianças com T18 e T13 submetidas a cirurgia cardíaca.</t>
  </si>
  <si>
    <t>Foca na análise de resultados falso-negativos em triagens pré-natal não invasivas de baixo risco.</t>
  </si>
  <si>
    <t>Analisa o tratamento cirúrgico descentralizado de defeitos da parede abdominal (onfalocele/gastrosquise), sendo a T18 apenas uma comorbidade associada.</t>
  </si>
  <si>
    <t>Avalia a opinião de cardiologistas pediátricos sobre a aceitabilidade de cuidados de conforto em cardiopatias congênitas associadas às trissomias 13 e 18.</t>
  </si>
  <si>
    <t>We identified 21 T18 patients that had documented symptoms of SDB... surgical interventions... need for otolaryngologist intervention to increase both survival and quality of life – avalia distúrbios respiratórios do sono e intervenções em pacientes com T18.</t>
  </si>
  <si>
    <t>Estudo epidemiológico de defeitos congênitos em recém-nascidos de muito baixo peso no Japão, sem dados específicos individualizados de sobrevida da T18.</t>
  </si>
  <si>
    <t>90% survived over 30 days from the operation... noncardiac surgical procedures experience excellent surgical outcomes with minimal morbidity and low mortality in trisomy 18 patients. – analisa os desfechos cirúrgicos (não cardíacos) e sobrevida em pacientes com T18.</t>
  </si>
  <si>
    <t>Avalia a aplicação de NIPT como triagem secundária para achados sorológicos anormais, sem focar nos desfechos clínicos da T18.</t>
  </si>
  <si>
    <t>Foca na avaliação do valor preditivo positivo de testes NIPT em diferentes indicações diagnósticas.</t>
  </si>
  <si>
    <t>Relata o uso de testes de cfDNA na gestação tardia diante de marcadores ultrassonográficos.</t>
  </si>
  <si>
    <t>Artigo de reflexão bioética comparando a tomada de decisão histórica na Síndrome de Down com a atual abordagem nas trissomias 13 e 18.</t>
  </si>
  <si>
    <t>T18 was the most likely diagnosis to result in miscarriage, IUD or intrapartum death... live birth rates show that some parents may achieve the goal of spending time with their baby – aborda a história natural, perdas fetais e taxas de nascidos vivos na T18.</t>
  </si>
  <si>
    <t>Overall survival to hospital discharge was 46%... T13 and T18 alone should not be viewed as absolute contraindications to ECLS – avalia os desfechos da canulação para suporte extracorpóreo de vida (ECLS) em pacientes com T13 e T18.</t>
  </si>
  <si>
    <t>Excelente revisão integrativa servindo de guia para a tomada de decisão clínica e aconselhamento em cirurgia cardíaca na T13 e T18.</t>
  </si>
  <si>
    <t>Mortality rates in the NICU were 70, 77, and 5.8% for T18, T13, and BD-, respectively, while the survival discharge rates of T18 and T13 were 29.5 and 23.3% – analisa a morbidade e mortalidade de recém-nascidos de muito baixo peso com T18/T13 no Japão.</t>
  </si>
  <si>
    <t>93% had airway or pulmonary complications... duration of intubation was longer... longer hospital length of stay – analisa as complicações respiratórias e de vias aéreas após cirurgia cardíaca em pacientes com T13 e T18.</t>
  </si>
  <si>
    <t>trisomy 18 [n = 2,174] were included in the meta-analysis... summarises estimates of long-term survival associated with major congenital anomalies – revisão sistemática e meta-análise populacional com dados quantitativos de sobrevida na T18.</t>
  </si>
  <si>
    <t>Foca na aplicação de NIPT em gestações com síndrome do gêmeo evanescente (VTS).</t>
  </si>
  <si>
    <t>Revisão clínica de resultados positivos de NIPT em centro terciário, sem focar nos desfechos pós-natais da T18.</t>
  </si>
  <si>
    <t>2025</t>
  </si>
  <si>
    <t>Capítulo/artigo educacional geral sobre genética e cariótipo convencional, sem resumo disponível e sem foco na T18.</t>
  </si>
  <si>
    <t>Foca na eficácia e fração fetal de testes NIPT com base em polimorfismos de nucleotídeo único (SNP).</t>
  </si>
  <si>
    <t>4 had Edwards syndrome... a high proportion of true-positive NIPT results from the public setting resulted in live births – analisa o uso de NIPT e os desfechos gestacionais (nascidos vivos com síndrome de Edwards) em âmbito nacional na Dinamarca.</t>
  </si>
  <si>
    <t>A survival model was developed and validated... Certain variables, including cardiac surgery, gastrostomy... are predictive of survival to 6 months of age in trisomy 13 and 18 – desenvolve e valida modelo preditivo de sobrevida até 6 meses para T13 e T18.</t>
  </si>
  <si>
    <t>Estudo prospectivo multicêntrico focado no desempenho de rastreamento com cfDNA em gestações gemelares.</t>
  </si>
  <si>
    <t>median survival time of infants with trisomy 18 increased over time... proportions of deaths within 24 h of birth... and at age ≥1 year... increased – analisa tendências seculares e padrões de sobrevida e idade ao óbito na T18 no Japão.</t>
  </si>
  <si>
    <t>median duration of survival was 46.3 (14.3-186.4) months since birth... Two-stage ICR improves the long-term survival of patients with VSDs and T18 – avalia os desfechos de sobrevida de reparo cardíaco em dois estágios em pacientes com T18.</t>
  </si>
  <si>
    <t>Apresenta diretrizes abrangentes de vigilância, monitoramento e tratamento para crianças com T18, servindo de valioso suporte prático e clínico.</t>
  </si>
  <si>
    <t>cohort review of 84 anesthesia encounters in nine patients... Difficult airway management and respiratory compromise were critical concerns during the perioperative period – avalia riscos perioperatórios e manejo anestésico em pacientes com T18.</t>
  </si>
  <si>
    <t>Estudo oncológico sobre linfoma MALT de glândula salivar, totalmente fora do escopo da síndrome de Edwards.</t>
  </si>
  <si>
    <t>Foca na avaliação de testes de cfDNA em gestações gemelares por meio de atualização de coorte e metanálise.</t>
  </si>
  <si>
    <t>Foca no desempenho de testes NIPT expandidos para aneuploidias e microdeleções.</t>
  </si>
  <si>
    <t>Analisa os fatores associados a falhas em testes de cell-free DNA (NIPT).</t>
  </si>
  <si>
    <t>Trisomy 18 was the most common chromosomal anomaly... Fifteen pregnancies resulted in live births... eight were lost in the first year of life – avalia os desfechos perinatais e taxas de nascidos vivos/mortalidade de casos de onfalocele com destaque para a T18.</t>
  </si>
  <si>
    <t>Foca na acurácia e valor diagnóstico de NIPT genômico em gestações múltiplas.</t>
  </si>
  <si>
    <t>Avalia a concordância e acurácia entre amniocentese e NIPT baseado em NGS.</t>
  </si>
  <si>
    <t>Avalia a eficiência clínica do rastreamento pré-natal não invasivo em gestações de baixo risco e gemelares.</t>
  </si>
  <si>
    <t>Foca no uso de microarranjo cromossômico em restrição de crescimento fetal isolada.</t>
  </si>
  <si>
    <t>Survival in infants who received surgeries was 51%; intensive medical treatment was 30%, and non-intensive treatment was 72% – analisa as intervenções médicas e cirúrgicas e sobrevida em lactentes com T18/T13 em UTIs neonatais.</t>
  </si>
  <si>
    <t>Avalia a eficiência de detecção do teste NIPT para doenças cromossômicas fetais em grande coorte.</t>
  </si>
  <si>
    <t>Survival curves for... trisomy 18 show that... 33%... were deceased by 24 h and... 53%... by 1 week post-delivery – analisa a história natural e a sobrevida neonatal de recém-nascidos com anomalias letais, incluindo a trissomia 18.</t>
  </si>
  <si>
    <t>Overall mortality rate decreased in those with trisomy 18 from 32% in 1997 to 21% in 2016 – avalia as tendências de internações, procedimentos e mortalidade em pacientes com trissomia 18.</t>
  </si>
  <si>
    <t>One-year overall survival rate (45% vs. 26%)... being born at VLBW may not be fatal for infants with T18 undergoing active interventions – investiga os desfechos de sobrevida em recém-nascidos de muito baixo peso com trissomia 18.</t>
  </si>
  <si>
    <t>2022</t>
  </si>
  <si>
    <t>Auditoria e avaliação de desempenho de testes NIPT em centro genético suíço, sem focar nos desfechos clínicos pós-natais da T18.</t>
  </si>
  <si>
    <t>Foca na utilidade clínica de NIPT em gestações por fertilização in vitro (IVF), sem dados específicos sobre desfechos ou sobrevida da T18.</t>
  </si>
  <si>
    <t>One-year survival rates were 34.5% and 59.3%... survival to discharge rate significantly increased... because of increased rate of surgical interventions – analisa a melhora na sobrevida de pacientes com trissomia 18 associada a intervenções cirúrgicas.</t>
  </si>
  <si>
    <t>Artigo de revisão e discussão bioética sobre intervenções cardíacas, comunicação e suporte familiar na T13/T18, servindo de apoio para condutas e aspectos éticos.</t>
  </si>
  <si>
    <t>Estudo prospectivo multicêntrico para medir o desempenho de testes de cfDNA em pacientes de baixo e alto risco, sem focar nos desfechos clínicos pós-natais da T18.</t>
  </si>
  <si>
    <t>The rates of postoperative mortality were substantially higher for T18 and T13 than T21... T18 had the highest rates of extended length of stay... and prolonged mechanical ventilation – analisa morbidade e mortalidade pós-cirúrgica (procedimentos não cardíacos) em trissomias.</t>
  </si>
  <si>
    <t>Foca na investigação de alterações genéticas gerais em cardiopatias congênitas fetais, com a T18 figurando apenas como achado isolado.</t>
  </si>
  <si>
    <t>Avalia a implementação de NIPT em programa de triagem nacional no Reino Unido e seu impacto nas escolhas das mulheres, sem dados específicos de desfechos pós-natais da T18.</t>
  </si>
  <si>
    <t>Foca na avaliação de anomalias do sistema nervoso central (SNC) em geral, sendo as trissomias abordadas como etiologias secundárias de malformações cerebrais.</t>
  </si>
  <si>
    <t>The median length of survival was 7 and 29 days, for infants with T13 and T18, respectively... nearly 20% lived for more than 1 year – avalia os desfechos perinatais, pós-natais, sobrevida e uso de recursos médicos na T13 e T18.</t>
  </si>
  <si>
    <t>Estudo sobre hepatoblastoma em doenças congênitas, totalmente fora do escopo principal dos desfechos e história natural da T18.</t>
  </si>
  <si>
    <t>One-month, 1-year, and 10-year survival were 66.7%, 33.3%, and 16.7%... paradigm shift on the treatments available – caracteriza a trajetória clínica, morbimortalidade e sobrevida de crianças com trissomia 18.</t>
  </si>
  <si>
    <t>Analisa os resultados de 8 anos de NIPT em hospital japonês, focando na performance técnica e taxas de positividade, sem focar em desfechos pós-natais da T18.</t>
  </si>
  <si>
    <t>Foca em recém-nascidos de muito baixo peso com cardiopatia congênita (CHD) em geral, sendo as trissomias tratadas como variáveis associadas.</t>
  </si>
  <si>
    <t>assess stillbirth and neonatal mortality rates for pregnancies complicated by trisomies 13, 18, and 21 in the presence of CHD... livebirth rate was evaluated – avalia desfechos de natimortos e mortalidade neonatal em gestações com trissomias e cardiopatias congênitas.</t>
  </si>
  <si>
    <t>Avalia a acurácia e viabilidade de NIPT em grande coorte, sem foco nos desfechos clínicos específicos e sobrevida de pacientes com T18.</t>
  </si>
  <si>
    <t>Aviso de aposentadoria de diretrizes antigas da SOGC, sem relevância direta para a extração de dados da T18.</t>
  </si>
  <si>
    <t>2023</t>
  </si>
  <si>
    <t>Foca na hipoplasia do osso nasal no segundo trimestre como preditora de anormalidades cromossômicas gerais, sem dados específicos de desfechos da T18.</t>
  </si>
  <si>
    <t>Avalia o valor preditivo positivo de NIPT baseado em SNP em gestações gemelares, sem foco nos desfechos pós-natais da T18.</t>
  </si>
  <si>
    <t>Foca no desempenho de NIPT em pacientes com gêmeo evanescente (vanishing twin), focado principalmente na trissomia 21.</t>
  </si>
  <si>
    <t>Estudo molecular focado em perfis de expressão gênica e pegadas de nucleossomos de cfDNA plasmático em trissomias, sem dados clínicos de sobrevida ou desfechos obstétricos tradicionais.</t>
  </si>
  <si>
    <t>Median survival times were longer in surgical rather than nonsurgical patients... Variant trisomy genetics was associated with lower mortality after surgery – investiga a história cirúrgica e os desfechos de sobrevida em pacientes com T13 e T18 ao longo de 30 anos.</t>
  </si>
  <si>
    <t>Four neonates were live born but none lived &gt;8 h... in those who continued their pregnancies... only 5 survived for &gt;24 h with none surviving to 1 year – avalia as taxas de sobrevivência e desfechos de gestações com diagnóstico pré-natal de trissomia 18 em hospital público na África do Sul.</t>
  </si>
  <si>
    <t>Estudo sobre megacistite fetal em geral, com a T18 figurando como causa etiológica pontual secundária.</t>
  </si>
  <si>
    <t>Five-year survival was 66.6% compared with 24% in a group of unoperated patients with trisomy 13 or 18... Cardiac operation... can be performed safely in carefully selected children – analisa a segurança e sobrevida a longo prazo após cirurgia cardíaca em crianças com trissomia 13 ou 18.</t>
  </si>
  <si>
    <t>After the first month of life, T18CHS had freedom from in-hospital mortality similar to T18NoCHD... Short-term outcomes for T18CHS patients are encouraging – avalia as características estaduais, disparidades de atendimento e desfechos em pacientes com trissomia 18 e o impacto de intervenções cardíacas.</t>
  </si>
  <si>
    <t>77.5% of patients requested medical termination... Among 19 patients who chose to continue... 52.6% presented with obstetrical complications... five babies were born alive with no survival at 6 months – avalia o manejo, complicações maternas e sobrevida de fetos com trissomia 18 em coorte francesa.</t>
  </si>
  <si>
    <t>Survival estimates... were 38%, 13% and 8% for children with T18 at 4 weeks, 1 and 10 years... 21% of those who survived to 4 weeks were likely to survive to age 10 years – estudo populacional europeu multirregistro avaliando a sobrevida em longo prazo (até 10 anos) na T13 e T18.</t>
  </si>
  <si>
    <t>Foca na eficiência clínica de NIPT em gestações gemelares, sem dados sobre desfechos clínicos pós-natais da T18.</t>
  </si>
  <si>
    <t>Invasive genetic testing revealed aneuploidy in 7 patients (31.8%)... 5 with trisomy 18 (22.8%)... pregnancy outcomes and prenatal traditional karyotype analysis – analisa os desfechos de gestações com onfalocele fetal e sua associação com trissomia 18 e outras anomalias cromossômicas.</t>
  </si>
  <si>
    <t>CHD was detected prenatally in 73% cases... analysis of diagnosis, follow-up, survival time and autopsy of fetuses with Trisomy 18 – analisa achados ecocardiográficos pré-natais, manejo e sobrevida em fetos com trissomia 18.</t>
  </si>
  <si>
    <t>Descreve detalhadamente as manifestações otorrinolaringológicas e procedimentos necessários em pacientes com trissomia 13 e 18, servindo de excelente apoio para o manejo clínico e suporte multidisciplinar.</t>
  </si>
  <si>
    <t>The 1-year survival rate for children with T18 was 63.2%... Children with heart disease who underwent surgical or catheter intervention had a longer survival time – avalia a sobrevida e o impacto de intervenções cardíacas em coorte nacional sul-coreana com trissomia 18.</t>
  </si>
  <si>
    <t>Revisão sistemática sobre o desempenho de NIPT em gestações afetadas por gêmeo evanescente (vanishing twin), sem dados de desfechos pós-natais específicos da T18.</t>
  </si>
  <si>
    <t>Foca em anomalias cromossômicas e defeitos estruturais em fetos com translucência nucal aumentada em geral, sem foco específico na T18.</t>
  </si>
  <si>
    <t>Patients with Trisomy 18 have a high incidence of conduction system abnormalities and burden of clinical tachy-arrhythmias... describe association and clinical outcomes – descreve a incidência e os desfechos de arritmias e doenças do sistema elétrico cardíaco em pacientes com trissomia 18.</t>
  </si>
  <si>
    <t>Foca na acurácia do ultrassom na detecção de fendas faciais e suas malformações associadas, sendo as trissomias mencionadas apenas como achados genéticos gerais.</t>
  </si>
  <si>
    <t>Estudo centrado na hérnia diafragmática congênita (CDH) sindrômica, figurando a T18 apenas como uma das várias síndromes associadas descritas no registro.</t>
  </si>
  <si>
    <t>Foca na eficácia diagnóstica da tecnologia QF-PCR combinada com ultrassom de primeiro trimestre para triagem de aneuploidias, sem dados de desfechos pós-natais da T18.</t>
  </si>
  <si>
    <t>Foca na discordância do comprimento cabeça-nádega (CRL) em gêmeos dicoriônicos e risco de aneuploidias, sem foco nos desfechos clínicos pós-natais da T18.</t>
  </si>
  <si>
    <t>Revisão abrangente sobre cardiopatias nas trissomias, histórico de cirurgia cardíaca e considerações éticas no cuidado de pacientes com trissomia 13 e 18, servindo de excelente suporte.</t>
  </si>
  <si>
    <t>Foca na avaliação de NIPT em mulheres com idade materna avançada, sem dados de desfechos pós-natais específicos da T18.</t>
  </si>
  <si>
    <t>Apresenta uma estrutura padronizada (framework) para aconselhamento parental multidisciplinar e intervenções médicas em fetos e lactentes com T13/T18, servindo de valioso apoio ético e prático.</t>
  </si>
  <si>
    <t>Foca no desempenho clínico de teste NIPT expandido para detecção de aneuploidias e síndromes de microdeleção, sem dados sobre desfechos pós-natais da T18.</t>
  </si>
  <si>
    <t>Median survival times in the no-surgery and surgery groups were 223.0 days... and 723.0 days, respectively... effectiveness of cardiac palliative surgery for trisomy 18 – avalia a eficácia e os desfechos de cirurgia cardíaca paliativa em pacientes com trissomia 18.</t>
  </si>
  <si>
    <t>trisomy 18 in three... maternal and fetal outcomes of fetuses with omphalocele... 72% 1-year survival rate was observed from the successful 25 live births – investiga as características e desfechos fetais e maternos de fetos com onfalocele, incluindo casos associados à trissomia 18.</t>
  </si>
  <si>
    <t>Revisão de literatura focada nas cardiopatias congênitas associadas às síndromes cromossômicas mais prevalentes (incluindo a síndrome de Edwards), servindo de excelente apoio conceitual.</t>
  </si>
  <si>
    <t>Foca no desempenho de testes NIPS/NIPT para detecção de CNVs e aneuploidias, sem focar em desfechos clínicos ou sobrevida pós-natal da T18.</t>
  </si>
  <si>
    <t>Estudo epidemiológico abrangente sobre anomalias congênitas e mortalidade geral na Coreia, sem isolar dados específicos de sobrevida e desfechos da T18.</t>
  </si>
  <si>
    <t>Mortality in individuals with trisomy 18 has significantly decreased... analyzed factors associated with mortality and cause of death... survival past the first YOL – analisa os fatores associados à mortalidade e causas de óbito em pacientes com trissomia 18 que sobreviveram após o primeiro ano de vida.</t>
  </si>
  <si>
    <t>Relato de caso isolado (case report) de neonato com trissomia 18, atresia intestinal e muito baixo peso, fora do escopo de coortes ou estudos de população/sobrevida ampla.</t>
  </si>
  <si>
    <t>describe airway findings in trisomy 18 and trisomy 13... endoscopic airway evaluation... All patients had at least one clinically significant finding – descreve os achados de vias aéreas e avaliações endoscópicas em pacientes com trissomia 13 e 18.</t>
  </si>
  <si>
    <t>Estudo epidemiológico de coorte nacional na Dinamarca focado na associação entre idade materna e risco de aneuploidias fetais.</t>
  </si>
  <si>
    <t>Foca na correlação entre níveis elevados de alfa-fetoproteína no líquido amniótico e desfechos fetais gerais, sendo a T18 achado secundário.</t>
  </si>
  <si>
    <t>Foca na descrição fenotípica detalhada de fetos com trissomia 18 através de autópsia periparto, sem dados de sobrevida pós-natal ou manejo clínico de nascidos vivos.</t>
  </si>
  <si>
    <t>compared the survival-related outcomes of neonates with trisomy 18 between intensive and non-intensive care... 1- and 3-year survival rates were both 33% in the intensive group – compara os desfechos de sobrevida em recém-nascidos com trissomia 18 submetidos a cuidados intensivos versus não intensivos.</t>
  </si>
  <si>
    <t>ASSR revealed that 20 patients (91%) had bilateral moderate to profound HL... hearing aids... could be a feasible choice for children with Trisomy 18 – avalia a perda auditiva, características e eficácia do tratamento com aparelhos auditivos em crianças com trissomia 18.</t>
  </si>
  <si>
    <t>70 patients underwent radical surgery for oesophageal atresia... overall in-hospital mortality was lower... radical surgery may be a safe and feasible treatment option – analisa os tratamentos e desfechos clínicos de pacientes com trissomia 18 e atresia esofágica utilizando banco de dados nacional.</t>
  </si>
  <si>
    <t>The median survival in surgical and medical treatment groups was 150... and eight... days – compara os resultados de sobrevida entre pacientes com trissomia 18 submetidos à cirurgia cardíaca versus tratamento médico exclusivo.</t>
  </si>
  <si>
    <t>describe the newborn population with Patau (T13) and Edwards Syndrome (T18) with congenital heart diseases that stayed in the Intensive Care Unit... surgical and non-surgical medical procedures – descreve a população de recém-nascidos com trissomia 13 e 18 em UTI, abordando procedimentos cirúrgicos, cuidados paliativos e desfechos.</t>
  </si>
  <si>
    <t>Foca no desenvolvimento e na utilidade de um índice de atipicidade para triagem combinada de primeiro trimestre, sem dados de desfechos pós-natais da T18.</t>
  </si>
  <si>
    <t>Documento de consenso de especialistas da AATS com recomendações para o manejo e cirurgia cardíaca em crianças com trissomia 13 ou 18, servindo de valioso suporte clínico e bioético.</t>
  </si>
  <si>
    <t>Estudo focado na artéria umbilical única (SUA) e seus desfechos perinatais, sendo a T18 achado secundário pontual.</t>
  </si>
  <si>
    <t>To assess rates of cardiac surgery and the clinical and demographic features that influence surgical vs nonsurgical treatment... in patients with trisomy 13 and 18 – avalia as taxas de cirurgia cardíaca e fatores que influenciam o tratamento em pacientes com trissomia 13 e 18 nos EUA.</t>
  </si>
  <si>
    <t>Estudo oncológico sobre linfoma MALT gástrico e cópias extras do gene MALT1, totalmente fora do escopo da síndrome de Edwards.</t>
  </si>
  <si>
    <t>Foca em defeitos do septo atrioventricular (AVSD) e sua associação geral com anormalidades cromossômicas, não sendo um estudo específico sobre a T18.</t>
  </si>
  <si>
    <t>Foca no teste rápido de aneuploidia pós-mortem (QF-PCR) em casos de holoprosencéfala, sendo a T18 achado secundário.</t>
  </si>
  <si>
    <t>Estudo focado na restrição de crescimento fetal (FGR) associada a malformações estruturais, com a T18 figurando como causa genética secundária.</t>
  </si>
  <si>
    <t>A retrospective study included 25 cases undergoing EA surgery... Definitive group... survival-to-discharge rates were 31%... and 67%... definitive surgery for EA in patients with trisomy 18 syndrome may provide enhanced respiratory stability – avalia o impacto da cirurgia definitiva para atresia esofágica nos desfechos a longo prazo em pacientes com trissomia 18.</t>
  </si>
  <si>
    <t>Estudo sobre a genética da síndrome do coração esquerdo hipoplásico (HLHS), totalmente fora do escopo da síndrome de Edwards.</t>
  </si>
  <si>
    <t>systematically review the characteristics, management, and outcomes of children with T18 and hepatoblastoma... overall mortality was 35.5% – revisão sistemática e análise pooled sobre o manejo e desfechos de hepatoblastoma em pacientes com trissomia 18.</t>
  </si>
  <si>
    <t>Foca na análise de desempenho de testes NIPT para trissomias comuns em grande coorte, sem dados de desfechos pós-natais da T18.</t>
  </si>
  <si>
    <t>Foca nas malformações do corpo caloso e seu background genético, sendo a síndrome de Edwards mencionada pontualmente entre os casos.</t>
  </si>
  <si>
    <t>Foca em resultados de triagem com múltiplos marcadores "duplo-positivos" (para T21 e T18), sem focar nos desfechos clínicos específicos da T18.</t>
  </si>
  <si>
    <t>Estudo qualitativo examinando narrativas parentais sobre a experiência de cuidar de crianças com trissomia 18, servindo de valioso suporte bioético e clínico.</t>
  </si>
  <si>
    <t>To evaluate the short- and long-term outcomes of cardiac repair versus nonoperative management in patients with trisomy 13 and 18 with congenital heart disease... One-year survival was 79% operated versus 51.5% nonoperated – avalia os desfechos cirúrgicos e não cirúrgicos em pacientes com trissomia 13 e 18 com cardiopatia congênita.</t>
  </si>
  <si>
    <t>Foca em cistos do cordão umbilical a partir do segundo trimestre, sendo a T18 achado associado em apenas dois casos.</t>
  </si>
  <si>
    <t>Foca no diagnóstico pré-natal e seguimento de casos de pé torto congênito (clubfoot), sendo a T18 achado cromossômico isolado.</t>
  </si>
  <si>
    <t>Revisão sistemática e metanálise sobre a acurácia de cfDNA na detecção de anomalias cromossômicas em mulheres com aborto espontâneo, sem foco nos desfechos da T18.</t>
  </si>
  <si>
    <t>Avalia o uso e desfechos de testes NIPT para anomalias cromossômicas na Croácia, sem dados de desfechos clínicos pós-natais da T18.</t>
  </si>
  <si>
    <t>Foca em fetos diagnosticados com atresia tricúspide, sendo a T18 achado genético pontual em um único caso.</t>
  </si>
  <si>
    <t>Estudo técnico-metodológico sobre isolamento de células fetais nucleadas para NIPT, sem dados clínicos de desfechos ou sobrevida da T18.</t>
  </si>
  <si>
    <t>Estudo retrospectivo sobre a história natural da trissomia 18 e a importância do suporte de cuidados paliativos/hospício perinatal para famílias que decidem continuar a gestação.</t>
  </si>
  <si>
    <t>investigate the feasibility of surgical closure of ventricular septal defect in children with trisomy 18 by assessing perioperative events and long-term survival... 5-year estimated survival of 79.5% – investiga a viabilidade e os desfechos de sobrevida a longo prazo após o fechamento cirúrgico de defeito do septo ventricular em crianças com trissomia 18.</t>
  </si>
  <si>
    <t>Avalia a eficácia diagnóstica da abordagem combinada de cariótipo, CNV-seq e QF-PCR em gestações de alto risco, sem foco em desfechos pós-natais da T18.</t>
  </si>
  <si>
    <t>Foca na análise de diagnóstico pré-natal para trissomias autossômicas raras (RATs) detectadas por NIPT, sem focar nos desfechos clínicos específicos da T18.</t>
  </si>
  <si>
    <t>cohort of children with trisomy 13 and 18 followed up by an Italian pediatric palliative care service... clinical characteristics and disease trajectory... high care complexity – analisa as características clínicas, trajetória da doença e complexidade de cuidados em coorte de crianças com trissomia 13 e 18 acompanhadas por serviço de cuidados paliativos.</t>
  </si>
  <si>
    <t>Foca em anomalias congênitas do trato urinário e renal (CAKUT) e suas anomalias associadas, sendo a T18 uma das várias comorbidades descritas.</t>
  </si>
  <si>
    <t>Foca na análise de 5 anos de experiência com biópsia de vilo corial (CVS) em centro terciário, sem focar nos desfechos pós-natais da T18.</t>
  </si>
  <si>
    <t>Estudo qualitativo explorando as narrativas de pais sobre a trissomia 18 e o panorama de cuidados paliativos e cirúrgicos, servindo de excelente apoio.</t>
  </si>
  <si>
    <t>To determine survival outcomes among GT and non-GT patients with T13/18... GT patients had reduced overall mortality risk – avalia os desfechos de sobrevida em pacientes com trissomia 13 e 18 submetidos ou não à colocação de tubo de gastrostomia (GT).</t>
  </si>
  <si>
    <t>Revisão de escopo (scoping review) mapeando a literatura contemporânea sobre o cuidado de crianças nascidas vivas com trissomia 18, servindo de forte apoio bibliográfico.</t>
  </si>
  <si>
    <t>Foca na triagem ultrassonográfica de cardiopatias congênitas em população de baixo risco, sendo a síndrome de Edwards mencionada pontualmente.</t>
  </si>
  <si>
    <t>Foca na significância clínica e prognóstico de cistos grandes do cordão umbilical, sendo a T18 apenas a alteração genética mais frequente descrita na revisão.</t>
  </si>
  <si>
    <t>Revisão sistemática e metanálise sobre desfechos perinatais do higroma cístico, abordando a prevalência geral de aneuploidias sem focar especificamente na T18.</t>
  </si>
  <si>
    <t>Artigo de revisão geral sobre hepatoblastoma, totalmente fora do escopo específico da síndrome de Edwards.</t>
  </si>
  <si>
    <t>Foca na eficácia do algoritmo de rastreamento não bioquímico da FMF para trissomias comuns no primeiro trimestre, sem dados de desfechos pós-natais da T18.</t>
  </si>
  <si>
    <t>The meta-analysis showed that cardiac surgery significantly reduced the odds of in-hospital mortality... increased survival at 12 months... – revisão sistemática e metanálise avaliando os desfechos da cirurgia cardíaca em neonatos com trissomia 13 e 18.</t>
  </si>
  <si>
    <t>describes the outcomes of a contemporary Canadian population-based cohort of children born alive with trisomy 18... survival and technological dependency. – coorte populacional avaliando sobrevida, dependência tecnológica e desfechos de crianças nascidas vivas com trissomia 18.</t>
  </si>
  <si>
    <t>Foca nos desfechos perinatais associados à artéria umbilical única (SUA), sendo a trissomia 18 um achado cromossômico secundário pontual.</t>
  </si>
  <si>
    <t>Foca no desempenho comparativo e análise de custo-efetividade de triagens pré-natais (FTSS vs NIPT) para trissomia 21 e 18, sem dados de desfechos pós-natais da T18.</t>
  </si>
  <si>
    <t>Foca na correlação entre aumento de translucência nucal, resultados de NIPT e desfechos de gestação, sem dados específicos de sobrevida pós-natal da T18.</t>
  </si>
  <si>
    <t>Relato clínico e diretrizes para o cuidado de lactentes e crianças com trissomia 13 e 18, servindo de excelente apoio para a discussão bioética e condutas.</t>
  </si>
  <si>
    <t>Foca em achados genéticos em fendas orofaciais de primeira ocorrência, sendo as trissomias achados cromossômicos associados gerais.</t>
  </si>
  <si>
    <t>2026</t>
  </si>
  <si>
    <t>assessing a nationwide surgical database in Japan... 502 children with trisomy 18... in-hospital mortality – avalia o panorama nacional de cirurgia cardíaca e mortalidade em crianças com trissomia 18 no Japão.</t>
  </si>
  <si>
    <t>Estudo epidemiológico sobre causas gerais de óbito neonatal em UTIs da Malásia, sem isolar dados detalhados de sobrevida ou desfechos clínicos específicos da T18.</t>
  </si>
  <si>
    <t>Foca na análise de dados de amniocentese em centro terciário, sem focar nos desfechos pós-natais específicos da T18.</t>
  </si>
  <si>
    <t>among all infants with T18, 43 (8.6%) survived to 10 years of age... differences in 10-year survival between children with full vs mosaic or partial trisomy – estudo de coorte populacional avaliando a sobrevida em 10 anos de crianças com trissomia 18 conforme o status citogenético.</t>
  </si>
  <si>
    <t>Avalia a perspectiva de cardiologistas pediátricos sobre o aconselhamento pré-natal e cirurgia cardíaca na trissomia 18, servindo de apoio para a discussão clínica.</t>
  </si>
  <si>
    <t>Estudo focado especificamente nos padrões de mortalidade e agrupamentos fenotípicos na Trissomia 13 (Patau), fora do escopo específico da trissomia 18.</t>
  </si>
  <si>
    <t>Foca no diagnóstico ultrassonográfico de anomalias auriculares congênitas, sendo a trissomia 18 achado cromossômico isolado pontual.</t>
  </si>
  <si>
    <t>Estudo regional sobre causas e tendências de óbito neonatal precoce, sem dados detalhados de sobrevida ou desfechos clínicos pós-natais específicos da T18.</t>
  </si>
  <si>
    <t>Foca na acurácia e aplicação clínica de triagem com cfDNA para trissomias comuns, sem focar em desfechos pós-natais da T18.</t>
  </si>
  <si>
    <t>Revisão de literatura sobre a fisiopatologia da geleia de Wharton, sendo a trissomia 18 mencionada apenas como condição associada a pseudocistos.</t>
  </si>
  <si>
    <t>Foca na avaliação de impacto clínico e econômico de métodos de triagem pré-natal não invasiva (NIPT) por meio de modelagem, sem dados de desfechos pós-natais da T18.</t>
  </si>
  <si>
    <t>Estudo focado na mortalidade pré-reparo em pacientes com fenda labial e/ou palatina, figurando a trissomia 18 apenas como causa subjacente em subgrupo.</t>
  </si>
  <si>
    <t>Foca na análise molecular e perfil epigenômico de metilação de DNA em vilosidades coriônicas na trissomia 18, sem dados clínicos de sobrevida ou desfechos obstétricos.</t>
  </si>
  <si>
    <t>Artigo de revisão resumindo manifestações clínicas, desfechos de longo prazo e diretrizes de vigilância médica na trissomia 18, servindo de apoio teórico.</t>
  </si>
  <si>
    <t>Estudo de levantamento (survey) analisando atitudes e questões éticas de obstetras no manejo pré e pós-natal da trissomia 18, servindo de excelente apoio bioético.</t>
  </si>
  <si>
    <t>Ensaio de discussão ética e reflexão sobre elegibilidade para transplante cardíaco e xenotransplante em pacientes com trissomia 18, servindo de apoio conceitual.</t>
  </si>
  <si>
    <t>overall survival, and perinatal and postnatal management... median survival time of 18 h... Newborns affected by T18 lived significantly longer... – analisa o curso clínico, manejo perinatal e sobrevida em fetos e recém-nascidos com trissomia 13 e 18.</t>
  </si>
  <si>
    <t>explore the effectiveness of intensive and non-intensive treatments in enhancing the clinical burden of disease and survival of children with trisomy 18 syndrome – avalia a eficácia de tratamentos intensivos e não intensivos na sobrevida e carga clínica da trissomia 18.</t>
  </si>
  <si>
    <t>Estudo sobre atresia esofágica em geral, sendo os lactentes com trissomia 18 excluídos ou mencionados apenas como subgrupo tratado de forma paliativa.</t>
  </si>
  <si>
    <t>Foca na discrepância entre idade gestacional menstrual e ultrassonográfica e sua associação com aberrações cromossômicas gerais, sem dados específicos de desfechos pós-natais da T18.</t>
  </si>
  <si>
    <t>Relato de caso clínico (case report) descrevendo o tratamento de doença de Kawasaki em uma única criança com trissomia 18, fora do escopo de coortes ou estudos populacionais.</t>
  </si>
  <si>
    <t>describe the clinical features, management approaches, and outcomes... Median survival was 90 days for T18... – descreve características clínicas, manejo e sobrevida em coorte pediátrica de pacientes com trissomia 18 e 13.</t>
  </si>
  <si>
    <t>Foca na translucência nucal aumentada em fetos com CRL &lt; 45 mm, sem apresentar dados detalhados de desfechos pós-natais específicos da T18.</t>
  </si>
  <si>
    <t>survival to discharge rates improved from 44.5 to 57.9%... annual trends and regional variations in medical interventions and survival to discharge for trisomies 18 and 13 – analisa tendências anuais e variações regionais em intervenções médicas e sobrevida até a alta para trissomias 18 e 13.</t>
  </si>
  <si>
    <t>Foca em defeitos do raio radial (radial ray defects) em pequena série de casos, sendo a trissomia 18 achado etiológico secundário em dois pacientes.</t>
  </si>
  <si>
    <t>Foca na utilidade do teste NIPT como ferramenta de triagem em clínica de medicina de família na Arábia Saudita, sem dados de desfechos pós-natais da T18.</t>
  </si>
  <si>
    <t>Revisão narrativa sobre fatores associados à interrupção terapêutica da gestação, sem dados clínicos de sobrevida ou desfechos de lactentes com trissomia 18.</t>
  </si>
  <si>
    <t>Foca no espectro de anormalidades cromossômicas em tecidos de aborto espontâneo e interrupções médicas, sem dados de desfechos pós-natais da T18.</t>
  </si>
  <si>
    <t>Analisa o fenótipo baseado em ressonância magnética fetal (MRI) na trissomia 13, 18 e síndrome de CHARGE, propondo escore de gravidade morfológica e servindo de apoio clínico.</t>
  </si>
  <si>
    <t>Foca em valores de referência embrionários para espessura de translucência nucal e fluxo do ducto venoso no primeiro trimestre, sem dados de desfechos pós-natais da T18.</t>
  </si>
  <si>
    <t>Revisão sistemática sobre cistos de plexo coróide fetal e sua associação com anomalias, sem foco em dados de sobrevida pós-natal da T18.</t>
  </si>
  <si>
    <t>Foca na avaliação genética e desfechos de fetos com malformações do sistema digestivo, sendo a trissomia 18 achado isolado em um caso.</t>
  </si>
  <si>
    <t>investigate the characteristics and outcomes of the surgical care of pediatric patients with T13 and T18... inpatient mortality rates... – investiga as características e os desfechos do cuidado cirúrgico e internações em pacientes pediátricos com trissomia 13 e 18 no Texas.</t>
  </si>
  <si>
    <t>compare survival between prenatally and postnatally diagnosed infants with trisomy 18, and examined whether diagnostic timing was associated with the selection of intensive care... 12-month survival rates – compara a sobrevida e o manejo entre lactentes com trissomia 18 diagnosticados pré-natal versus pós-natal.</t>
  </si>
  <si>
    <t>Foca nas características clínicas e genéticas de diferentes tipos de malformaçoes de Dandy-Walker, sendo a trissomia 18 achado cromossômico associado.</t>
  </si>
  <si>
    <t>Foca nos desfechos genéticos e de gravidez em fetos com translucência nucal aumentada em geral, sem dados específicos de sobrevida pós-natal da T18.</t>
  </si>
  <si>
    <t>impact of ventricular septal defect (VSD) closure on long-term survival and hospitalization status in infants with trisomy 18... significantly better survival – avalia o impacto do fechamento de defeito do septo ventricular na sobrevida a longo prazo e morbidade em lactentes com trissomia 18.</t>
  </si>
  <si>
    <t>clinical records and spine or chest radiographs of 18 consecutive patients aged at least one year who were diagnosed with trisomy 18... prevalence... of associated spinal deformity – analisa a prevalência, características e tempo de surgimento de escoliose em pacientes com trissomia 18 sobreviventes com mais de um ano.</t>
  </si>
  <si>
    <t>Foca na taxa de consistência diagnóstica e valor preditivo positivo (PPV) de NIPT em gestantes de alto risco submetidas à amniocentese, sem dados de desfechos pós-natais da T18.</t>
  </si>
  <si>
    <t>Estudo epidemiológico de cardiopatias congênitas associadas a síndromes genéticas em centro de referência brasileiro, sem dados detalhados individualizados de sobrevida ou desfechos específicos de lactentes com T18.</t>
  </si>
  <si>
    <t>Foca no impacto de programas de triagem na taxa de detecção e tempo de diagnóstico pré-natal da trissomia 13 e 18, sem dados de desfechos pós-natais.</t>
  </si>
  <si>
    <t>evaluate whether intensive neonatal interventions improve survival outcomes compared with comfort-focused care in neonates with Trisomy 18... systematic review and pairwise meta-analysis – revisão sistemática e metanálise comparando intervenções neonatais intensivas versus cuidados de conforto em recém-nascidos com trissomia 18.</t>
  </si>
  <si>
    <t>emergency department (ED) visits and hospital admissions during the first year after discharge... healthcare utilization – avalia a utilização de cuidados agudos de saúde, visitas ao pronto-socorro e internações no primeiro ano após a alta em crianças com trissomia 18.</t>
  </si>
  <si>
    <t>Revisor 3 – ChatGPT (OpenAI)</t>
  </si>
  <si>
    <t>O estudo é diretamente relacionado à sobrevivência na trissomia 18, mas investiga mecanismo de mosaicismo, concluindo que “tissue-specific mosaicism was not likely to be responsible for potential survival to birth”.</t>
  </si>
  <si>
    <t>A trissomia 18 aparece como condição associada em estudo cujo objeto é o cisto de colédoco, com “The remaining one patient with Trisomy 18 anomaly refused operation”.</t>
  </si>
  <si>
    <t>O estudo avalia ultrassonografia genética para detecção de aneuploidias, tendo como objetivo “assess prospectively the efficacy of community-based genetic ultrasonography in detecting chromosomally abnormal fetuses”.</t>
  </si>
  <si>
    <t>O estudo trata de rastreamento cromossômico de primeiro trimestre e informa apenas a detecção conjunta de “trisomy 18/13 100% (9/9)”.</t>
  </si>
  <si>
    <t>A trissomia 18 aparece entre as anomalias graves associadas ao objeto principal, a hérnia diafragmática congênita, com “3 with trisomy 18”.</t>
  </si>
  <si>
    <t>O estudo é diretamente pertinente à discussão da sobrevivência intrauterina, ao investigar se “a significant diploid cell line present in the placenta [...] is not a pre-requisite for intrauterine survival”.</t>
  </si>
  <si>
    <t>A trissomia 18 aparece como causa de uma morte neonatal dentro de uma série cujo objeto é a malformação pulmonar CCAM, pois “One of the postnatal deaths was from trisomy 18”.</t>
  </si>
  <si>
    <t>O estudo é de rastreamento de síndrome de Down e aneuploidias, registrando apenas que “one with trisomy 18” foi identificado.</t>
  </si>
  <si>
    <t>O estudo apresenta frequência de cariótipos em população de risco, incluindo “trisomy 18 (four)”, sem fornecer desfecho de sobrevivência ou gestacional específico da T18.</t>
  </si>
  <si>
    <t>O objetivo é avaliar métodos de rastreamento para T18, e os casos são apresentados como detecção, pois “Eight of 12 cases (67% detection rate) of trisomy 18 were identified”.</t>
  </si>
  <si>
    <t>O objeto é atresia esofágica e os dois casos de T18 são apenas parte das anomalias associadas: “Two babies with trisomy 18 did not undergo surgery”.</t>
  </si>
  <si>
    <t>A T18 é uma das anomalias cromossômicas encontradas em estudo sobre higroma colli, que registra “Trisomy 18 (four cases, 17.4%)”.</t>
  </si>
  <si>
    <t>O estudo apresenta diretamente sobrevivência de crianças com T18, afirmando que “almost all infants with trisomy 13 or trisomy 18 died during the first year of life”.</t>
  </si>
  <si>
    <t>O estudo investiga detecção ultrassonográfica pré-natal e registra T18 como parte das anomalias, com “trisomy 18 (n=191)”, sem desfecho específico separável para T18.</t>
  </si>
  <si>
    <t>O estudo apresenta desfechos gestacionais específicos para T18, incluindo “one case of trisomy 18 delivered vaginally at 29 weeks” e dois casos de T18 submetidos a cesariana de emergência.</t>
  </si>
  <si>
    <t>O objeto é o defeito do septo atrioventricular, enquanto a T18 aparece apenas como anomalia cromossômica associada: “11% of fetuses had trisomy 18”.</t>
  </si>
  <si>
    <t>O estudo tem como objeto a investigação citogenética de mortes fetais intrauterinas, sendo a T18 apenas uma das aneuploidias encontradas: “two with trisomy 18”.</t>
  </si>
  <si>
    <t>O texto é uma revisão sobre rastreamento pré-natal de síndrome de Down e apenas informa que os testes “preferentially identify fetal trisomy 18”.</t>
  </si>
  <si>
    <t>O estudo fornece desfecho gestacional específico para T18, registrando que “Intrauterine fetal death occurred in 18.8% of fetuses with trisomy 18 (three of 16)”.</t>
  </si>
  <si>
    <t>A T18 aparece como uma das anomalias associadas às calcificações hepáticas fetais, com apenas “trisomy 18, 1 patient”, sem desfecho específico da T18.</t>
  </si>
  <si>
    <t>O estudo apresenta dados populacionais de mortalidade de nascidos vivos com T18, incluindo “114 liveborn infants with trisomy 18” e mediana de sobrevivência de “14.5 days”.</t>
  </si>
  <si>
    <t>O estudo tem como objeto a atresia esofágica, e a T18 aparece apenas entre os dois óbitos neonatais: “one had trisomy 18”.</t>
  </si>
  <si>
    <t>O estudo fornece taxa de mortalidade no primeiro ano específica para T18, indicando “trisomy 18 (74%)”.</t>
  </si>
  <si>
    <t>O objeto do estudo é síndrome de Down, e a T18 aparece apenas como comparação sobre mosaicismo e sobrevivência: “a possible mechanism for intrauterine and postnatal survival in cases of trisomy 18”.</t>
  </si>
  <si>
    <t>O estudo avalia cariotipagem fetal tardia após achados ultrassonográficos, identificando “three trisomy 18”, sem apresentar desfecho específico da T18.</t>
  </si>
  <si>
    <t>O estudo é realizado em animais, analisando “two independent cases of trisomy 18 mosaicism” em javalis, e não em gestação humana com síndrome de Edwards.</t>
  </si>
  <si>
    <t>A trissomia 18 estudada é uma alteração cromossômica em linfomas de células B, especificamente “Trisomy 18q21”, e não a síndrome de Edwards.</t>
  </si>
  <si>
    <t>O estudo trata de isocromossomos 18q, incluindo perda de material do braço p, e não de trissomia 18 completa: “formed by misdivision of the centromere and loss of p arm material”.</t>
  </si>
  <si>
    <t>A T18 aparece como anormalidade citogenética associada ao objeto principal, o higroma cístico, sendo “Turner syndrome and Trisomy 18 (both 15.4%) the most frequent cytogenetic abnormalities”.</t>
  </si>
  <si>
    <t>O estudo investiga o padrão vascular do cordão umbilical, e a T18 é apenas um achado associado: “One fetus affected by trisomy 18 presented multiple anomalies”.</t>
  </si>
  <si>
    <t>O estudo fornece diretamente desfechos gestacionais de fetos com T18 diagnosticada por amniocentese, informando que “of the trisomy 18 fetuses, 34 (32.1%) demised”.</t>
  </si>
  <si>
    <t>A T18 aparece como uma das aneuploidias encontradas em estudo sobre higroma cístico, com “13 trisomy-18”, sem desfecho específico separado para esses fetos.</t>
  </si>
  <si>
    <t>O objeto é o desfecho gestacional de fetos com hipoplasia do coração esquerdo, enquanto a T18 aparece em apenas um caso de óbito fetal: “1 with trisomy 18”.</t>
  </si>
  <si>
    <t>A T18 aparece apenas entre os dois casos de discrepância de crescimento fetal acima de 15 mm: “The two cases with a discrepancy&gt;15 mm were affected by trisomy 18 and triploidy”.</t>
  </si>
  <si>
    <t>O estudo tem como objeto o onfalocele fetal, e a T18 é descrita como a “most frequent abnormality associated with omphalocele”, sem desfecho específico para T18.</t>
  </si>
  <si>
    <t>O estudo avalia combinação de marcadores para detecção de aneuploidias e apenas informa a presença de “8 Edward's syndrome”, sem desfecho específico da T18.</t>
  </si>
  <si>
    <t>O estudo apresenta dados de sobrevivência de nascidos vivos e desfechos gestacionais de T18, abrangendo “161 live births, 136 induced abortions and 29 stillborns or spontaneous abortions” e taxas de sobrevivência.</t>
  </si>
  <si>
    <t>O estudo investiga diretamente “the survival and natural history of trisomy 18” e informa que “All patients except one died in their first year”.</t>
  </si>
  <si>
    <t>O estudo analisa exclusivamente pacientes com trissomia 18 completa e apresenta taxas de sobrevivência: “Survival rate at age 1 week, 1 month, and 1 year was 88%, 83%, and 25%, respectively”.</t>
  </si>
  <si>
    <t>O objetivo é avaliar o desempenho de teste sérico materno para rastreamento, com T18 apresentada apenas como característica diagnóstica: “The sensitivity for trisomy 18 was 44% (4/9)”.</t>
  </si>
  <si>
    <t>O estudo investiga diretamente o desfecho gestacional de fetos com T18 diagnosticada, informando que “the total number of cases ending in fetal demise was 26 (44.8%)”.</t>
  </si>
  <si>
    <t>O estudo analisa neonatos com T18 confirmada citogeneticamente e apresenta sobrevivência neonatal: “Six patients (30%) survived the neonatal period”.</t>
  </si>
  <si>
    <t>O estudo estima prevalência de defeitos congênitos e apenas identifica diferença de “birth prevalence” da T18 entre grupos raciais, sem dados de sobrevivência específicos.</t>
  </si>
  <si>
    <t>O estudo é sobre atresia esofágica e informa expressamente que “There were no patients who had major cardiac anomalies or trisomy 18”, sem dados de T18.</t>
  </si>
  <si>
    <t>O estudo apresenta mortalidade hospitalar entre defeitos congênitos e identifica que “trisomy 13, and trisomy 18 were associated with the highest rates of in-hospital death”.</t>
  </si>
  <si>
    <t>O estudo trata do rastreamento para síndrome de Smith-Lemli-Opitz e menciona T18 apenas como uma das condições do programa: “Down syndrome, trisomy 18, ONTD”.</t>
  </si>
  <si>
    <t>O estudo compara métodos de avaliação de risco para aneuploidias e apenas registra “2 cases of trisomy 18 (0.14%) were detected”, sem desfecho específico de T18.</t>
  </si>
  <si>
    <t>O estudo relaciona diretamente T18 a diferentes desfechos gestacionais, comparando “elective terminations” e “live births” em casos de trissomia 18.</t>
  </si>
  <si>
    <t>O estudo avalia programa de rastreamento combinado e apresenta como desfecho principal a sensibilidade para T18, “The sensitivity for trisomy 18 was 66.7% (10/15)”, sem analisar o desfecho gestacional da T18.</t>
  </si>
  <si>
    <t>A referência à trissomia 18 é apenas uma alteração cromossômica em linfoma MALT, pois “Extra copies of MALT1 [...] [were] often suggestive of partial or complete trisomy 18”.</t>
  </si>
  <si>
    <t>O estudo apresenta diretamente dados de sobrevivência de neonatos com T18, informando que “17 of the 24 neonates died within 1 month after birth” e que “2 survived for more than 1 year”.</t>
  </si>
  <si>
    <t>Embora cinco fetos apresentassem T18, o desfecho é apresentado para o conjunto dos 15 fetos, pois “None of the fetuses survived”, sem resultado específico separável para T18.</t>
  </si>
  <si>
    <t>O estudo tem como objeto a mortalidade e sobrevivência na T18 e apresenta taxas específicas, incluindo “Fourteen of the 154 patients (9.09%) survived for more than 1 year”.</t>
  </si>
  <si>
    <t>O objeto é a associação entre defeitos do tubo neural e aneuploidias, incluindo T18 apenas entre as alterações associadas, pois o artigo apresenta “numerical chromosomal abnormalities associated with NTDs, such as trisomy 18”.</t>
  </si>
  <si>
    <t>O estudo avalia os resultados da cordocentese e identifica quatro casos de T18, mas as perdas fetais são apresentadas para toda a amostra, sem desfecho específico da T18: “there were 12 (4.8%) cases of fetal loss”.</t>
  </si>
  <si>
    <t>O estudo combina T18 e T13 na categoria de resultados e não separa os desfechos entre elas, registrando “20/21 (95.2%) for trisomy 18 or 13”.</t>
  </si>
  <si>
    <t>O estudo investiga mecanismos moleculares da T18 por expressão gênica, tendo como objetivo “define the transcriptional changes in trisomy 13, 18, and 21 during early fetal development”, sem dados de sobrevivência ou desfecho gestacional.</t>
  </si>
  <si>
    <t>O objeto do estudo é atresia esofágica/fístula traqueoesofágica, enquanto a T18 aparece apenas como condição associada, pois “Prenatal scanning for EA/TEF identifies a larger proportion of fetuses with Edwards syndrome”.</t>
  </si>
  <si>
    <t>A trissomia 18 refere-se a uma alteração cromossômica encontrada em pacientes com linfoma MALT, e não à síndrome de Edwards, conforme “one had trisomy 18”.</t>
  </si>
  <si>
    <t>O estudo fornece desfecho gestacional específico de gestações com T18 após diagnóstico pré-natal, informando que “59.7% of trisomy 18 cases were electively terminated”.</t>
  </si>
  <si>
    <t>O estudo analisa diretamente a perda fetal após diagnóstico pré-natal de T18 e estima que “72% (61-81%) of pregnancies diagnosed with T18 ended in a miscarriage or stillbirth”.</t>
  </si>
  <si>
    <t>O estudo reúne T13 e T18 e apresenta os tempos de sobrevivência conjuntamente, sem dados separáveis por síndrome, pois analisa “31 consecutive neonates with trisomy 13 or trisomy 18”.</t>
  </si>
  <si>
    <t>O estudo tem como objeto a associação entre atresia esofágica e fissura labiopalatina, sendo a T18 apenas uma causa de morte entre os casos, “trisomy 18 (n = 1; treatment withdrawn)”.</t>
  </si>
  <si>
    <t>O estudo avalia a experiência com amostragem de vilosidades coriônicas e apenas identifica três fetos com T18, enquanto a perda fetal é apresentada para toda a amostra: “one case (0.54%) of fetal loss”.</t>
  </si>
  <si>
    <t>O objeto é a detecção de defeitos cardíacos congênitos em gestações com diferentes rastreamentos positivos, incluindo T18 apenas como subgrupo de rastreamento, “screen positive for T-18”.</t>
  </si>
  <si>
    <t>O estudo avalia a realização de amniocentese para diagnóstico pré-natal e identifica dois casos de Edwards, mas os desfechos não são atribuídos especificamente a eles, pois “The outcome of pregnancies was: live births in 89% (65/73)”.</t>
  </si>
  <si>
    <t>O texto é uma diretriz sobre manejo de resultados anormais de rastreamento materno e recomenda que “the clinical management protocol [...] should be guided by one or more abnormal maternal serum marker analyte value rather than the false positive screening results for the trisomy 21 and/or the trisomy 18 screen”.</t>
  </si>
  <si>
    <t>O texto é uma revisão geral sobre datação e crescimento fetal, mencionando T18 apenas como uma das condições associadas a restrição de crescimento, pois “Early foetal growth restriction is demonstrated [...] in fetuses with triploidy, trisomy 18 and possibly trisomy 13”.</t>
  </si>
  <si>
    <t>O estudo apresenta diretamente dados de sobrevivência de pacientes com T18 submetidos a cirurgia cardíaca, com “Survival from birth ranged from 12 to 1384 days (median, 324 days)”.</t>
  </si>
  <si>
    <t>O estudo avalia o desempenho de programa de rastreamento cromossômico e apresenta para T18 apenas a taxa de detecção, “the detection rates were 79.4%, 82.5%, 98.1%, and 36.0%, respectively”, sem desfecho específico de T18.</t>
  </si>
  <si>
    <t>O objeto é a artéria umbilical única e a T18 aparece apenas como a única anormalidade citogenética identificada, “The only cytogenetic abnormality was trisomy 18 in one case”.</t>
  </si>
  <si>
    <t>O estudo investiga fetos com fissura labiopalatina bilateral, e a T18 aparece como uma das aneuploidias associadas ao perfil achatado, com “three trisomy 18”.</t>
  </si>
  <si>
    <t>O estudo apresenta dados específicos de sobrevivência de 31 lactentes com T18, incluindo “The short-term survival rates of 1 week, 4 weeks, and 6 months were 58%, 32%, and 10%, respectively”.</t>
  </si>
  <si>
    <t>Trata-se explicitamente de relato de caso, pois o resumo informa “CASE PRESENTATION: The authors report a rare case of a 6-month-old girl with trisomy 18 and multifocal hepatoblastoma”.</t>
  </si>
  <si>
    <t>O objetivo é estimar prevalência de nascidos vivos por idade materna, conforme “To estimate the maternal age-specific live birth prevalence [...] of trisomy 13 and trisomy 18”, sem analisar sobrevivência ou outro desfecho específico da T18.</t>
  </si>
  <si>
    <t>O objeto é o linfoma esplênico da zona marginal, e a T18 aparece apenas como alteração genética associada, pois “7q32 deletion was inversely correlated with trisomy 18”.</t>
  </si>
  <si>
    <t>O estudo analisa especificamente a sobrevivência populacional de lactentes com T18, incluindo “398 cases of trisomy 18” e afirmando que fornece “population-based information for survival of infants with trisomies 21, 18, and 13”.</t>
  </si>
  <si>
    <t>O estudo apresenta dados próprios de sobrevivência de recém-nascidos com T18 completa, incluindo “13 survivors; 8 who died prior to mothers' participation in the study”.</t>
  </si>
  <si>
    <t>O estudo investiga prevalência e sobrevivência de T18 e informa que “four (6%) with trisomy 18 survived the first year”.</t>
  </si>
  <si>
    <t>O estudo acompanha cinco pacientes com T18 submetidas a cirurgia cardíaca e apresenta dados de sobrevivência, incluindo “The average survival of the patients in this study was 815 +/- 389 days”.</t>
  </si>
  <si>
    <t>O objeto é a investigação da artéria umbilical única e a T18 aparece apenas entre as anormalidades cromossômicas associadas, pois “The commonest chromosomal abnormalities were trisomy 18, trisomy 13 and triploidy”.</t>
  </si>
  <si>
    <t>O estudo investiga a associação entre idade paterna e ocorrência de anomalias cromossômicas, tendo como medida principal “The OR for Patau syndrome [...] for Edwards syndrome, 1.15”, sem dados de sobrevivência ou desfecho gestacional.</t>
  </si>
  <si>
    <t>O estudo apresenta mortalidade específica por T18 em coorte populacional, indicando “among children aged 1-2 years with Trisomy 18 (RR = 206.4)”.</t>
  </si>
  <si>
    <t>O estudo avalia benefícios adicionais de um programa de rastreamento pré-natal e inclui T18 apenas como critério de rastreamento, pois “Women who were screen-positive for trisomy 21, trisomy 18 [...] received follow-up services”.</t>
  </si>
  <si>
    <t>O objeto é o linfoma MALT da parótida e a T18 aparece apenas como uma alteração genética encontrada em alguns pacientes, pois “1 patient had a t(14;18)(q32;q21) translocation plus trisomy 18”.</t>
  </si>
  <si>
    <t>O estudo investiga um marcador ultrassonográfico em fetos de primeiro trimestre e identifica três casos de T18, mas sem desfecho específico para eles, pois “trisomy 18, n = 3”.</t>
  </si>
  <si>
    <t>O estudo tem como objetivo avaliar métodos de rastreamento pré-natal para T18, e seus resultados concentram-se na detecção, como “The detection rate of ultrasound scan ≤ 14 weeks and 18 to 21 weeks to detect trisomy 18 was 92.7 and 100%”.</t>
  </si>
  <si>
    <t>O estudo analisa a expressão gênica fetal na T18, buscando “better understand the molecular mechanisms underlying the congenital anomalies”, sem dados de sobrevivência ou desfecho gestacional.</t>
  </si>
  <si>
    <t>O estudo compara diretamente a sobrevivência de pacientes com T18 submetidos ou não à cirurgia cardíaca, apresentando “cumulative survival rates at 1 month, 6 months, 12 months, and 24 months”.</t>
  </si>
  <si>
    <t>Embora haja um par de gêmeos concordante para T18, o estudo não apresenta desfecho específico dessa dupla, limitando-se a registrar “one twin pair was concordant for trisomy 18”.</t>
  </si>
  <si>
    <t>O estudo investiga marcadores ultrassonográficos de aneuploidias e identifica dez casos de T18, mas não apresenta desfecho específico, pois “In 55 cases there was subsequent prenatal diagnosis of aneuploidies (trisomy 21, n=28; trisomy 18, n=10”.</t>
  </si>
  <si>
    <t>O estudo analisa a associação entre diagnóstico pré-natal e via de parto, indicando que “Vaginal delivery was predicted by PND of [...] trisomy 18”, mas não apresenta os desfechos de sobrevivência ou perda gestacional definidos na pergunta.</t>
  </si>
  <si>
    <t>O estudo tem como objeto as características clínicas e a sobrevivência de pacientes com T18, informando que “Thirty patients (97%) progressed to death” e que “87% died within the first 6 months of life”.</t>
  </si>
  <si>
    <t>O objeto do estudo são anormalidades dos membros fetais e a T18 aparece como condição associada, com “Trisomy 18 was present in 9 cases”, sem desfecho específico separável para esses casos.</t>
  </si>
  <si>
    <t>O estudo investiga o prognóstico de fetos com onfalocele, e a T18 aparece apenas entre as anomalias cromossômicas associadas, com “10 cases of trisomy 18”.</t>
  </si>
  <si>
    <t>O objeto do estudo são os desfechos gestacionais de mulheres com doença inflamatória intestinal tratadas com anti-TNF, enquanto a T18 aparece incidentalmente em um único feto, “Trisomy 18 was diagnosed in one fetus”.</t>
  </si>
  <si>
    <t>O estudo avalia a experiência com amniocentese e identifica dez fetos com T18, mas os desfechos são apresentados para o conjunto das cromossomopatias, pois “Of the 68 cases with chromosomopathy, the outcome is known in 45”.</t>
  </si>
  <si>
    <t>O estudo analisa diretamente o desfecho natural após diagnóstico pré-natal e apresenta para T18 uma “live birth rate [...] 13% for trisomy 18”.</t>
  </si>
  <si>
    <t>O estudo apresenta dados específicos de sobrevivência de 134 pacientes com T18, informando que “In patients with T18, 23 (17%) of 134 were alive at this survey”.</t>
  </si>
  <si>
    <t>O estudo apresenta mortalidade e sobrevivência específicas de recém-nascidos de muito baixo peso com T18, informando que “Hospital mortality occurred among [...] 89.0% with T18” e que a “Median survival time was 4 days”.</t>
  </si>
  <si>
    <t>O artigo revisa desfechos associados ao aumento da translucência nucal em fetos com cariótipo normal, sem resultado específico de T18.</t>
  </si>
  <si>
    <t>informação insuficiente – verificar texto completo</t>
  </si>
  <si>
    <t>O estudo avalia diretamente o desfecho fetal e neonatal de gestações com diagnóstico pré-natal de T18, incluindo “The overall intrauterine fetal death rate was 61%” e “All infants born alive died within 48 h of birth”.</t>
  </si>
  <si>
    <t>O objeto é a leucemia linfocítica crônica, e a T18 aparece apenas como uma alteração cromossômica associada, em “trisomy 12 plus trisomy 18”.</t>
  </si>
  <si>
    <t>O estudo analisa tendências de prevalência de T18 e T13, apresentando “live birth prevalence was 11.2 [...] for trisomy 21, 1.04 [...] for trisomy 18”, sem investigar sobrevivência ou desfecho gestacional individual.</t>
  </si>
  <si>
    <t>O estudo combina T13 e T18 e informa que “Seventy-nine of these children with full T13-18 are still living”, sem separar o resultado específico de T18.</t>
  </si>
  <si>
    <t>A revisão é diretamente útil para o debate sobre prognóstico e manejo, recomendando “presentation of accurate survival figures, avoidance of language that assumes outcome”.</t>
  </si>
  <si>
    <t>O objeto é a macroglobulinemia de Waldenström, na qual a T18 aparece apenas entre as alterações citogenéticas, como “trisomy 18 (15%)”.</t>
  </si>
  <si>
    <t>O texto trata especificamente da síndrome de Edwards e sintetiza seu prognóstico, incluindo “approximately 50% of babies with trisomy 18 live longer than 1 week and about 5-10% of children beyond the first year”.</t>
  </si>
  <si>
    <t>O próprio resumo identifica o trabalho como relato de caso: “This case report presents a coincidence of trisomy 18 and balanced Robertsonian translocation (13;14)”.</t>
  </si>
  <si>
    <t>O objeto é o hipoplasia do coração esquerdo, e a T18 aparece apenas como uma das anomalias associadas, pois “the second had trisomy 18”.</t>
  </si>
  <si>
    <t>O caso tem como objeto a ectrodactilia associada à trissomia 10, sendo a T18 apenas mencionada entre possíveis condições associadas aos defeitos radiais.</t>
  </si>
  <si>
    <t>O estudo analisa tendências de prevalência de T18 e T13, incluindo “live birth prevalence, when adjusted for in utero attrition”, sem apresentar dados de sobrevivência ou desfecho gestacional específicos.</t>
  </si>
  <si>
    <t>A revisão é especificamente sobre T18 e aborda prognóstico e questões éticas, destacando que “The median of survival among live births has usually varied between 2.5 and 14.5 days”.</t>
  </si>
  <si>
    <t>O estudo acompanha 65 crianças com T18 e identifica fatores associados à sobrevivência, incluindo “Factors significantly associated with survival over 1 year included diagnosis after birth”.</t>
  </si>
  <si>
    <t>Embora o estudo tenha como objeto pacientes com T18, seu resultado principal é a frequência de defeitos do tubo neural, como “Three patients (6%) had major neural tube defects”, sem dados de sobrevivência ou desfecho gestacional.</t>
  </si>
  <si>
    <t>O estudo avalia gestações euploides com rastreamento falso-positivo para T18 e T21, pois os participantes tinham “confirmed euploid karyotypes”.</t>
  </si>
  <si>
    <t>O estudo apresenta diretamente dados de sobrevivência de nascidos vivos com T18, informando “The median survival time for live births with full trisomy 18 was 14 days”.</t>
  </si>
  <si>
    <t>O estudo reúne casos de T13, T18 e anencefalia e apresenta os desfechos conjuntamente, pois “Thirty-two cases were referred for Trisomy 13, Trisomy 18, or anencephaly”.</t>
  </si>
  <si>
    <t>O estudo analisa comprimento dos telômeros em neonatos com T18 e T21, tendo como resultado “we were unable to conclude that there were differences in telomere length”, sem desfecho de sobrevivência ou gestacional.</t>
  </si>
  <si>
    <t>O texto é diretamente útil ao debate sobre intervenção e qualidade de vida em T18, defendendo “Providing balanced information for families and personalised care for each child”.</t>
  </si>
  <si>
    <t>O estudo aborda diretamente atitudes e manejo perinatal de T18, mostrando que “There is variability in obstetricians' attitudes towards T18”.</t>
  </si>
  <si>
    <t>O estudo avalia uma técnica de rastreamento rápido de aneuploidias, tendo como objetivo a “identification of chromosome aneuploidies”, sem desfecho específico de T18.</t>
  </si>
  <si>
    <t>O objeto é o linfoma difuso de grandes células B, e a T18 aparece apenas entre as alterações citogenéticas observadas, como “trisomy 18”.</t>
  </si>
  <si>
    <t>O estudo acompanha especificamente gestações com T18 e T13 e apresenta “48% (T18) and 46% (T13) infants survived following birth”, além de analisar “pregnancy outcome, complications and survival”.</t>
  </si>
  <si>
    <t>O estudo apresenta diretamente sobrevivência de pacientes com T18 submetidos a cirurgia para atresia esofágica, incluindo “The 1-year survival rate was 17%”.</t>
  </si>
  <si>
    <t>O estudo avalia o desempenho de NIPT e relata que “NIPT was positive for common trisomies in 29 cases”, sem apresentar desfecho gestacional específico de T18.</t>
  </si>
  <si>
    <t>O objeto é o comprimento reduzido do fêmur fetal, enquanto T18 aparece apenas como uma das anormalidades cromossômicas associadas, em “Trisomy 13/18 [...] were also associated with a short FL”.</t>
  </si>
  <si>
    <t>O estudo compara assimetria de membros em diferentes aneuploidias e informa que a T18 pertence aos grupos com “very short life expectancies”, mas não fornece dados próprios de sobrevivência ou mortalidade.</t>
  </si>
  <si>
    <t>O estudo apresenta mortalidade e sobrevivência específicas de T18 entre prematuros de muito baixo peso, informando que “9% of infants with T18 survived to hospital discharge”.</t>
  </si>
  <si>
    <t>O estudo analisa desfechos de gestações com rastreamento falso-positivo e explicitamente exclui “Fetuses and neonates with chromosomal or neural tube defects”.</t>
  </si>
  <si>
    <t>O estudo é um relato de “partial type of trisomy 18 occurring through de novo unbalanced translocation of chromosomes 18 and 21”.</t>
  </si>
  <si>
    <t>O estudo desenvolve método de diagnóstico pré-natal não invasivo e relata que o sistema “detected 16 trisomy 18 cases”, sem desfecho gestacional específico.</t>
  </si>
  <si>
    <t>O estudo apresenta diretamente o resultado gestacional de gestações diagnosticadas com Edwards, informando que “Only 11% [...] of diagnoses of Edwards syndrome were live births”.</t>
  </si>
  <si>
    <t>O estudo é um protocolo de avaliação de NIPT, no qual “NIPT results for trisomy 21, 18, 13 will be reported”, sem resultados de desfecho efetivamente apresentados.</t>
  </si>
  <si>
    <t>Trata-se de uma revisão sobre diagnóstico pré-natal por plasma materno, cujo foco é “the performance of gNIPT”, sem dados de desfecho específico de T18.</t>
  </si>
  <si>
    <t>O objeto é exomphalos e seus desfechos, enquanto Edwards aparece como uma das anomalias associadas, sem resultados separáveis para T18.</t>
  </si>
  <si>
    <t>O artigo é diretamente relevante para a discussão terminológica e ética sobre T18, analisando o uso de “'lethal' or as 'incompatible with life'”.</t>
  </si>
  <si>
    <t>O estudo de coorte de T18 apresenta simultaneamente desfecho gestacional e sobrevivência, incluindo “Intrauterine death occurred in half of the patients (50%)” e “The median length of survival after birth was 18 days”.</t>
  </si>
  <si>
    <t>O estudo avalia a implementação de NIPT, e embora identifique casos de T18, os óbitos intrauterinos são apresentados para o conjunto dos resultados positivos, sem atribuição específica à T18.</t>
  </si>
  <si>
    <t>O estudo apresenta mortalidade e sobrevivência específicas para os 13 pacientes com T18, incluindo “80 % of patients were alive after a median follow-up of 116 days” no grupo cirúrgico.</t>
  </si>
  <si>
    <t>O estudo investiga marcadores ultrassonográficos de aneuploidia e conclui que “The combinations of aneuploidy markers with revDV are strong indicators of aneuploidy”, sem desfecho específico de T18.</t>
  </si>
  <si>
    <t>O objetivo é avaliar o valor da translucência nucal no rastreamento de aneuploidias, incluindo “trisomies 13, 18, and 21”, sem resultado específico de T18.</t>
  </si>
  <si>
    <t>O estudo avalia o desempenho do rastreamento ultrassonográfico para T18, tendo como objetivo “examine the screening performance of ultrasound-based protocols for detecting T18”.</t>
  </si>
  <si>
    <t>O estudo é útil ao debate sobre qualidade de vida e desenvolvimento de sobreviventes de T18, descrevendo “A range of developmental skills” em 22 crianças com T18.</t>
  </si>
  <si>
    <t>Embora apresente dados de pacientes com T18, os resultados se concentram em procedimentos e alta hospitalar, como “The rate of patients discharged to home”, sem dados de mortalidade ou sobrevivência propriamente ditos.</t>
  </si>
  <si>
    <t>O estudo caracteriza alterações cromossômicas em amostras pré-natais, identificando “trisomy 18 in 11 (0.6%)” sem apresentar desfechos gestacionais específicos para esses casos.</t>
  </si>
  <si>
    <t>O estudo investiga crescimento fetal e sua associação com prognóstico, mas a T18 aparece como incidência associada ao grupo de CRL reduzido, sem desfecho específico de T18.</t>
  </si>
  <si>
    <t>O estudo tem como objeto a tendência de prevalência da T13 e apenas informa que “Prevalence of trisomy 18 and 21 in older mothers remained stable”, sem dados de sobrevivência ou desfecho gestacional específico de T18.</t>
  </si>
  <si>
    <t>O estudo apresenta desfechos gestacionais e de sobrevivência específicos para T18, incluindo “Stillbirths occurred in 50 cases (40.7%)” e taxas de sobrevivência dos nascidos vivos.</t>
  </si>
  <si>
    <t>O objeto do estudo é o hepatoblastoma, enquanto T18 aparece apenas como condição associada em “One case with 18-trisomy”.</t>
  </si>
  <si>
    <t>O objeto são defeitos do tubo neural, e T18 aparece apenas incidentalmente em “one trisomy 18” entre os casos.</t>
  </si>
  <si>
    <t>O estudo trata da utilização do NIPT para “prenatal screening for aneuploidies” e não apresenta desfecho específico de T18.</t>
  </si>
  <si>
    <t>O estudo avalia gestações com “more than one positive prenatal screening result” e não apresenta desfecho específico de T18.</t>
  </si>
  <si>
    <t>O estudo analisa diretamente mortalidade e sobrevivência de 36 lactentes com T18, incluindo que “6 of 21 term infants (29%) achieved survival to discharge”.</t>
  </si>
  <si>
    <t>O registro inclui desfechos gestacionais e identifica especificamente “468 live born babies with trisomy 18”, além de registrar mortes fetais e interrupções.</t>
  </si>
  <si>
    <t>O estudo investiga a associação entre um achado ultrassonográfico e aneuploidias, concluindo que o EIF “is not associated with trisomy 18”.</t>
  </si>
  <si>
    <t>Embora trate de crianças com T18 e T13, o estudo tem como objeto os procedimentos otorrinolaringológicos e não apresenta desfecho próprio de sobrevivência.</t>
  </si>
  <si>
    <t>O estudo tem como objeto a análise anatômica de membros e menciona apenas incidentalmente “the AnNA of the limbs of a trisomy 18 human fetus”.</t>
  </si>
  <si>
    <t>O estudo analisa 84 casos de T18 completa e informa que “Twenty-one cases were still living at the time of survey completion”.</t>
  </si>
  <si>
    <t>O estudo apresenta desfechos de gestações com T18 diagnosticada prenatalmente, incluindo que “48% [37-60%] of fetuses were live born” e dados de sobrevivência pós-natal.</t>
  </si>
  <si>
    <t>O foco principal é a implementação de rastreamento por cfDNA, e os resultados de T18/T13 são apresentados no contexto da “screening” e do diagnóstico, sem desfecho específico de T18.</t>
  </si>
  <si>
    <t>O estudo tem como objeto recém-nascidos com atresia esofágica/fístula traqueoesofágica, e T18 aparece apenas em “One trisomy 18 infant received no treatment and died”.</t>
  </si>
  <si>
    <t>O estudo avalia níveis de M-CSF e cariótipos, mas não apresenta desfecho gestacional ou de sobrevivência específico de T18.</t>
  </si>
  <si>
    <t>O estudo populacional avalia diretamente sobrevivência de crianças com T18 e informa “among children with T18, it was 12.3%” de sobrevivência em cinco anos.</t>
  </si>
  <si>
    <t>O estudo apresenta resultados perinatais e de sobrevivência de casos de T18, incluindo “54 live births” e “Median duration of survival was 12 days”.</t>
  </si>
  <si>
    <t>O objeto é a cistoscopia fetal para obstrução do trato urinário, e os dois fetos com T18 foram “excluded from the present analysis”.</t>
  </si>
  <si>
    <t>O texto discute criticamente a relação entre diagnóstico pré-natal e sobrevivência em T18 e afirma haver “insufficient information available” para concluir que o diagnóstico prejudique a sobrevivência.</t>
  </si>
  <si>
    <t>O estudo retrospectivo analisa 44 pacientes com T18 e informa que foram avaliados “discharge from hospital and survival days” e a evolução da sobrevida.</t>
  </si>
  <si>
    <t>O estudo compara diretamente a duração da sobrevivência de pacientes com T18 submetidos ou não à cirurgia cardíaca, com “495.4±512.6 versus 93.1±76.2 days”.</t>
  </si>
  <si>
    <t>O artigo discute criticamente os resultados e controvérsias da cirurgia cardíaca em T13/T18 e afirma que é necessária pesquisa para identificar “factors that affect survival”.</t>
  </si>
  <si>
    <t>O objeto do estudo é o higroma cístico fetal, enquanto T18 aparece apenas entre os “abnormal karyotype” dos casos.</t>
  </si>
  <si>
    <t>O artigo é uma revisão sobre falhas de NIPT e seus efeitos no rastreamento de “the common trisomies of chromosomes 21, 18 and 13”, sem desfecho específico de T18.</t>
  </si>
  <si>
    <t>O estudo desenvolve método de “prenatal diagnosis of trisomy 21, 18 and 13” e avalia sua sensibilidade e especificidade, sem desfechos de T18.</t>
  </si>
  <si>
    <t>A revisão aborda a anatomia da T18 e menciona dados gerais de prognóstico, incluindo “&lt;10% chance of survival beyond one year of life”.</t>
  </si>
  <si>
    <t>O estudo tem como objeto a prevalência no primeiro trimestre e informa “The overall first trimester prevalence” de T18, sem analisar desfecho gestacional ou sobrevivência.</t>
  </si>
  <si>
    <t>O estudo combina T13 e T18 no grupo de análise, com “T13/18, n=25” e sem separar o óbito intrauterino especificamente para T18.</t>
  </si>
  <si>
    <t>A revisão aborda diretamente manejo e desfechos das gestações com T13/T18, incluindo que “Spontaneous abortion and in uterofetal demise occur at rates well above” as gestações normais.</t>
  </si>
  <si>
    <t>O consenso discute especificamente T18 e analisa “prenatal diagnostic methods, survival, and reported cases of prolonged survival”, sendo útil para a discussão prognóstica e terminológica.</t>
  </si>
  <si>
    <t>O estudo investiga opiniões e práticas de neonatologistas diante de T18, incluindo que “83% of respondents thought that trisomy 18 is a lethal condition”.</t>
  </si>
  <si>
    <t>O texto discute a controvérsia sobre intervenções em T18 e afirma que intervenções agressivas “have not been clearly demonstrated to improve survival”.</t>
  </si>
  <si>
    <t>Embora inclua 22 casos de T18, os resultados de sobrevivência são apresentados conjuntamente para T13/T18, sem dados separáveis de T18.</t>
  </si>
  <si>
    <t>O estudo apresenta dados populacionais específicos de sobrevivência para 254 crianças com T18, incluindo “12.6%” de sobrevivência em um ano e “9.8%” em dez anos.</t>
  </si>
  <si>
    <t>A revisão tem como objeto o perfil tumoral da T18, tratando de “45 malignancies”, e não apresenta desfechos de sobrevivência ou gestacionais como objeto.</t>
  </si>
  <si>
    <t>O estudo apresenta mortalidade e sobrevivência de 29 nascidos vivos com T18, incluindo “Median survival time was 13 days” e taxas de um mês e um ano.</t>
  </si>
  <si>
    <t>O estudo analisa 82 crianças com T18 completa e informa que “Seven of 14 male children (50%) and 52 of 68 female children (76.5%) were living”.</t>
  </si>
  <si>
    <t>O estudo apresenta sobrevivência específica para T18, incluindo “Estimated 1-year survival for those with a major procedure was 30% and 22% for trisomies 13 and 18”.</t>
  </si>
  <si>
    <t>O estudo avalia a acurácia do “first-trimester combined test” para rastreamento de T21, T18 e T13, sem desfecho específico de T18.</t>
  </si>
  <si>
    <t>O estudo reúne T13 e T18 e apresenta os principais resultados para “216 children with full trisomy” sem separar os desfechos de sobrevivência por síndrome.</t>
  </si>
  <si>
    <t>O manuscrito propõe um modelo de cuidado para T13/T18 baseado em “shared decision making” e aborda diretamente decisões pré-natais, perinatais e pós-natais.</t>
  </si>
  <si>
    <t>Embora apresente 75 casos de T18 e resultados de nascidos vivos, o desfecho é apresentado conjuntamente como “Trisomies 18/13”, sem separação suficiente dos demais resultados.</t>
  </si>
  <si>
    <t>O artigo apresenta perspectivas sobre o manejo de T13/T18 e busca “enrich and continue this emerging dialogue” sobre cuidado e intervenção.</t>
  </si>
  <si>
    <t>O estudo avalia o desempenho do “combined test in the first trimester of pregnancy” e sua taxa de detecção de T18, sem desfecho específico da síndrome.</t>
  </si>
  <si>
    <t>O estudo avalia a implementação do NIPT para “fetal trisomies 21, 18 and 13”, com foco em desempenho e rastreamento, não em desfechos próprios de T18.</t>
  </si>
  <si>
    <t>O estudo apresenta especificamente a taxa de interrupção para T18, informando “trisomy 18 (84.5% [163/193])”.</t>
  </si>
  <si>
    <t>O objeto da revisão é o “Fetal megacystis”, e T18 aparece apenas como uma das anomalias cromossômicas associadas.</t>
  </si>
  <si>
    <t>O estudo tem como objeto as anomalias do rádio, nas quais T18 aparece apenas como “one with trisomy 18” entre diagnósticos heterogêneos.</t>
  </si>
  <si>
    <t>Os desfechos de morte intrauterina e interrupção são apresentados conjuntamente para “T13/T18”, sem separação específica para T18.</t>
  </si>
  <si>
    <t>O estudo analisa conjuntamente T13 e T18 e apresenta a mortalidade segundo anomalias e peso, sem fornecer desfecho de mortalidade separável especificamente para T18.</t>
  </si>
  <si>
    <t>O estudo avalia a utilidade clínica do rastreamento por cfDNA, com foco em “screen-positive for trisomy 21, 18, or 13”, sem desfecho específico de T18.</t>
  </si>
  <si>
    <t>O artigo discute diretamente o discurso médico e familiar sobre T18, especialmente a linguagem “incompatible with life” e suas implicações para o cuidado.</t>
  </si>
  <si>
    <t>O estudo fornece estimativas específicas de perda fetal e nascimento vivo após diagnóstico pré-natal de T18, incluindo “For trisomy 18, 30% ... at 12 weeks will result in a live birth”.</t>
  </si>
  <si>
    <t>O artigo discute os diferentes posicionamentos sobre intervenções em T13/T18 e afirma que “we will discuss both points of view”.</t>
  </si>
  <si>
    <t>O objeto do estudo é o prognóstico do “fetal echogenic bowel”, enquanto T18 aparece apenas como “1 case of trisomy 18” entre as aneuploidias identificadas.</t>
  </si>
  <si>
    <t>A revisão avalia o desempenho do cfDNA para rastreamento de T21, T18 e T13, apresentando “weighted pooled DR and FPR” e não desfechos gestacionais ou de sobrevivência.</t>
  </si>
  <si>
    <t>O estudo apresenta mortalidade e sobrevivência específicas de pacientes com T18 submetidos a intervenção cardíaca, incluindo “Median survival ... 16.2 years ... for patients with trisomy 18”.</t>
  </si>
  <si>
    <t>O estudo tem como foco a prevalência de anomalias cromossômicas segundo idade materna, apresentando para T18 “The RR ... in mothers 35 years or older”, sem desfecho específico de T18.</t>
  </si>
  <si>
    <t>O estudo qualitativo aborda experiências familiares e decisões sobre T13/T18, concluindo que “over-reliance on dire prognostic data can alienate families”.</t>
  </si>
  <si>
    <t>O estudo avalia o “first trimester combined test for aneuploidies” e informa apenas que os casos de T18 foram detectados prenatalmente, sem desfecho específico da síndrome.</t>
  </si>
  <si>
    <t>O estudo reúne T13, T18 e anencefalia, informando que “Trisomy 13, Trisomy 18, and anencephaly comprised 21% of cases”, sem resultados separáveis para T18.</t>
  </si>
  <si>
    <t>O objeto do estudo é a mortalidade de crianças com “Tetralogy of Fallot”, e T18 aparece apenas como anomalia genética concomitante.</t>
  </si>
  <si>
    <t>O estudo compara estratégias de rastreamento e apresenta “one case of T18”, sem analisar desfecho gestacional ou de sobrevivência específico da síndrome.</t>
  </si>
  <si>
    <t>O objeto é o aumento da translucência nucal, enquanto T18 aparece apenas entre os achados cromossômicos, em “trisomy 18 (T18) (2%)”.</t>
  </si>
  <si>
    <t>O estudo tem como objeto “omphalocele and gastroschisis”, enquanto T18 é apenas uma das “Associated anomalies”.</t>
  </si>
  <si>
    <t>O estudo investiga mortalidade perinatal em mulheres com diabetes, e os cinco casos de T18 aparecem apenas entre “fetal trisomy” associadas às mortes.</t>
  </si>
  <si>
    <t>O objeto é o “congenital vertical talus”, associado a diversas anomalias, e o estudo não identifica desfechos específicos para os casos de T18.</t>
  </si>
  <si>
    <t>O estudo avalia a acurácia do NIPT para T21, T18 e T13, com foco em “Sensitivity and specificity for trisomy 21 ... trisomy 18 ... and trisomy 13”, sem desfechos da síndrome.</t>
  </si>
  <si>
    <t>O estudo apresenta dados próprios de sobrevivência após intervenção cardíaca em T13/T18, incluindo “Survival at last follow-up was greater” e resultados específicos para o grupo analisado.</t>
  </si>
  <si>
    <t>O estudo trata de “gastric mucosa-associated lymphoid tissue (MALT) lymphoma” e de alterações no gene MALT1, sem relação com T18.</t>
  </si>
  <si>
    <t>O estudo analisa diretamente mortalidade hospitalar em 1020 crianças com T18 e informa que “In-hospital mortality was decreased in those who underwent CHS (64% lower in T18)”.</t>
  </si>
  <si>
    <t>O estudo investiga mecanismos de expressão gênica em “fetal trisomies 18 and 21”, sem apresentar desfecho gestacional ou de sobrevivência dos fetos.</t>
  </si>
  <si>
    <t>O estudo apresenta simultaneamente desfechos gestacionais e sobrevivência, incluindo “All parents opted for termination in cases with prenatal diagnosis” e “Median survival for infants with full trisomies 13 and 18 was 36 and 60 days”.</t>
  </si>
  <si>
    <t>A revisão avalia a acurácia do “genomics-based non-invasive prenatal testing” para detecção de aneuploidias, não desfechos próprios de T18.</t>
  </si>
  <si>
    <t>O estudo investiga o valor diagnóstico da “absent fetal nasal bone” e identifica três casos de T18, sem apresentar desfechos específicos dessa síndrome.</t>
  </si>
  <si>
    <t>O estudo analisa resultados de gestações após testes cfDNA anormais, incluindo especificamente “trisomy 18 (7.7%, 3/39)” e os respectivos desfechos gestacionais.</t>
  </si>
  <si>
    <t>O estudo avalia decisões e desfechos após diagnóstico pré-natal de T13/T18, incluindo “Women who chose expectant management had a live birth in 50% of the cases” e ausência de sobreviventes de longo prazo.</t>
  </si>
  <si>
    <t>O estudo desenvolve um algoritmo de risco para “screening for trisomies 13 and 18 and triploidy”, sem fornecer desfechos específicos de T18.</t>
  </si>
  <si>
    <t>O objeto são fetos com “Congenital Heart Disease”, e T18 aparece como apenas um dos resultados genéticos, com “Only one ... identified as trisomy 18 syndrome”.</t>
  </si>
  <si>
    <t>O estudo avalia o desempenho de uma plataforma de “non-invasive prenatal genetic screening” para T21, T18 e T13, sem desfechos próprios de T18.</t>
  </si>
  <si>
    <t>O estudo tem como objeto pacientes com “Diffuse Large B-Cell Lymphoma”, e “trisomy 18” refere-se a uma aberração cromossômica no contexto do linfoma.</t>
  </si>
  <si>
    <t>O estudo inclui especificamente 350 lactentes com T18 e avalia diretamente “survival, hospital length of stay (LOS), and costs of medical care”.</t>
  </si>
  <si>
    <t>O estudo apresenta mortalidade específica de 140 pacientes com T18 submetidos a intervenção cardíaca, incluindo “Compared to T18, the T13 cohort had higher mortality (29% vs. 12%)”.</t>
  </si>
  <si>
    <t>O estudo trata da implementação de “cell-free DNA (cfDNA) analysis” para rastreamento de T21, T18 e T13, sem desfecho específico de T18.</t>
  </si>
  <si>
    <t>O estudo apresenta mortalidade própria de admissões com T18 submetidas a cirurgia cardíaca, incluindo “trisomy 18: 12%” de mortalidade.</t>
  </si>
  <si>
    <t>O estudo investiga atitudes de profissionais diante da cirurgia cardíaca em T18 e informa que “Ethical concerns and insufficient outcome data were the most agreed upon reasons”.</t>
  </si>
  <si>
    <t>O estudo avalia o desempenho de um “cell-free DNA prenatal screening assay for trisomies 21, 18, and 13”, sem apresentar desfecho específico de T18.</t>
  </si>
  <si>
    <t>O estudo compara complicações de amniocentese e CVS e apenas registra que “Trisomy 18 and 21 were common in cases underwent amniocentesis”, sem desfecho específico de T18.</t>
  </si>
  <si>
    <t>O estudo descreve a experiência de crianças com T18 em cuidados paliativos, mas não apresenta desfecho próprio de sobrevivência ou gestacional.</t>
  </si>
  <si>
    <t>O estudo apresenta mortalidade hospitalar específica para 115 pacientes com T18, informando “inpatient mortality was 27.6% and 20.9%, respectively”.</t>
  </si>
  <si>
    <t>O estudo analisa diretamente fatores associados à sobrevivência de 117 pacientes com T18, incluindo “Fifty-two (44%) patients with T18 survived at discharge”.</t>
  </si>
  <si>
    <t>O artigo tem como objeto a “Oesophageal atresia”, enquanto T18 aparece apenas como uma das anomalias associadas à atresia.</t>
  </si>
  <si>
    <t>O estudo apresenta desfechos gestacionais e pós-natais específicos para 29 casos de T18, incluindo “The rate of live births for T18 was 37%” e “90% ... died within first week of life”.</t>
  </si>
  <si>
    <t>O objeto é a restrição de crescimento fetal periviável associada a anomalias, e T18 aparece apenas entre as causas genéticas, como “9/17; 53%”.</t>
  </si>
  <si>
    <t>O estudo compara plataformas de “non-invasive prenatal screening (NIPS) methods” e apresenta 49 casos de T18 para avaliar detecção, sem desfechos gestacionais ou de sobrevivência.</t>
  </si>
  <si>
    <t>O estudo apresenta resultados cirúrgicos em 270 operações de T18 e informa que “prior cardiac surgery ... was associated with better survival in patients with T18”.</t>
  </si>
  <si>
    <t>O registro trata de “Myelomeningocele”, sem resumo disponível e sem indicação no título de que T18 seja objeto do estudo.</t>
  </si>
  <si>
    <t>O estudo analisa complicações da amniocentese e apenas registra “increased risk of Edward's syndrome (4.4%)” entre as indicações do procedimento.</t>
  </si>
  <si>
    <t>O estudo populacional apresenta prevalência, desfechos gestacionais e mortalidade específicos para T18, incluindo “mortality in first year of life was 87% for T13 and 88% for T18”.</t>
  </si>
  <si>
    <t>O estudo avalia o desempenho de uma estratégia de “non-invasive prenatal screening” para T21, T18 e T13, sem desfechos específicos de T18.</t>
  </si>
  <si>
    <t>O estudo trata do momento do diagnóstico das trissomias, mas os resultados de nascimento vivo apresentados são apenas para T21: “There was a significant trend to higher live birth rates of T21”.</t>
  </si>
  <si>
    <t>A revisão aborda aconselhamento e manejo de gestações com malformações limitantes da vida, incluindo a continuidade gestacional: “parents opt for expectant management”.</t>
  </si>
  <si>
    <t>O objetivo é avaliar alterações associadas ao aumento da translucência nucal e o papel do cfDNA, sem desfecho específico de T18: “which of these abnormalities would be missed if cell-free fetal DNA (cfDNA) were used”.</t>
  </si>
  <si>
    <t>A série inclui exclusivamente lactentes com T18 nascidos vivos e apresenta sobrevida em um ano: “The 1-year survival rate of infants in the PPV group was higher”.</t>
  </si>
  <si>
    <t>O objeto é o mosaicismo placentário em amostras de vilosidades coriônicas, sem tratar especificamente da síndrome de Edwards: “clinical outcome of pregnancies affected by confined placental mosaicism”.</t>
  </si>
  <si>
    <t>O texto discute diretamente a mudança de paradigma terapêutico na T18 e as decisões sobre tratamento: “the discussion has shifted towards the type of treatment that is appropriate to initiate at birth”.</t>
  </si>
  <si>
    <t>A revisão aborda história natural e manejo cardíaco das aneuploidias, incluindo T18, afirmando que as cardiopatias são determinantes da sobrevivência: “they are often the major determinants of survival”.</t>
  </si>
  <si>
    <t>O estudo avalia a experiência com CVS e diagnóstico cromossômico, sem apresentar desfechos específicos de T18: “The most frequent chromosomal abnormalities were trisomy 21, trisomy 18 and 45,X”.</t>
  </si>
  <si>
    <t>O objeto do estudo é a mortalidade em pacientes com atresia esofágica, sendo T18 apenas uma síndrome associada: “The most common syndrome leading to palliation was trisomy 18”.</t>
  </si>
  <si>
    <t>O estudo acompanha 69 indivíduos com T18 e apresenta taxas de sobrevida em diferentes períodos: “overall survival rates in 6, 12 and 60 months were 57%, 43% and 12%”.</t>
  </si>
  <si>
    <t>O objeto é a holoprosencefalia, enquanto T18 aparece apenas como alteração cromossômica associada: “trisomy 18 in two cases with semilobar HPE”.</t>
  </si>
  <si>
    <t>O estudo aborda qualidade de vida e perspectivas familiares após cirurgia cardíaca em T18/T13, sem apresentar desfecho de sobrevivência próprio: “generate a descriptive summary of parental perspectives on quality of life”.</t>
  </si>
  <si>
    <t>O objetivo é analisar resultados falso-negativos de NIPS, com apenas um caso de T18 entre os achados: “one trisomy 18 caused by placental mosaicism”.</t>
  </si>
  <si>
    <t>O estudo tem como objeto gastrosquise e onfalocele, com T18/T21 apenas entre as anomalias associadas: “The main associated anomalies in the 197 patients with omphalocele were trisomy 18/21”.</t>
  </si>
  <si>
    <t>O estudo investiga opiniões de especialistas sobre cirurgia e conforto em cardiopatias, incluindo situações acompanhadas de T18: “Physicians were less likely to seek legal action when parents refused surgery”.</t>
  </si>
  <si>
    <t>O estudo sobre T13/T18 investiga distúrbios respiratórios e intervenções, sem apresentar dados próprios de sobrevivência ou desfecho gestacional: “we performed a retrospective chart review to investigate the characteristics of these patients”.</t>
  </si>
  <si>
    <t>Embora T18 esteja entre os defeitos congênitos estudados, os resultados de mortalidade são apresentados para a categoria geral de defeitos: “The aOR for mortality during the neonatal intensive care unit admission was 10.6”.</t>
  </si>
  <si>
    <t>O estudo analisa especificamente resultados cirúrgicos em 310 pacientes com T18 e informa sobrevivência pós-operatória: “90% survived over 30 days from the operation”.</t>
  </si>
  <si>
    <t>O estudo avalia a utilidade de NIPT e a confirmação diagnóstica, sem apresentar desfecho específico de T18: “NIPT indicated 15 high-risk pregnancies”.</t>
  </si>
  <si>
    <t>O objeto é a utilidade clínica do NIPT para diferentes indicações, com T18 utilizado como resultado diagnóstico: “The PPVs of NIPT results for trisomy 21 (T21) and trisomy 18 (T18)”.</t>
  </si>
  <si>
    <t>O estudo avalia o desempenho do cfDNA em gestação avançada, sem desfecho específico de T18: “one for chromosome 18, and one for chromosome 13”.</t>
  </si>
  <si>
    <t>O texto discute diretamente a evolução das decisões éticas relativas às crianças com T13/T18: “The present strategies for decision-making for children with trisomy 13 and 18”.</t>
  </si>
  <si>
    <t>O estudo acompanha desfechos de aneuploidias diagnosticadas prenatalmente e identifica especificamente o comportamento de T18: “T18 was the most likely diagnosis to result in miscarriage, IUD or intrapartum death”.</t>
  </si>
  <si>
    <t>Embora haja 13 pacientes com T18, o único dado de sobrevivência apresentado é agregado para T13 e T18: “Overall survival to hospital discharge was 46%”.</t>
  </si>
  <si>
    <t>A revisão reúne T13 e T18 e discute mortalidade conjunta, sem separar os resultados de T18: “An extensive review of the existing literature on cardiac surgery in patients with these trisomies”.</t>
  </si>
  <si>
    <t>O estudo fornece taxas de mortalidade e alta com vida separadamente para T18: “Mortality rates in the NICU were 70, 77, and 5.8% for T18, T13, and BD-”.</t>
  </si>
  <si>
    <t>O estudo reúne T13 e T18 e não separa a mortalidade entre as duas condições: “In the 14 trisomy 13/18 patients who underwent cardiac surgery”.</t>
  </si>
  <si>
    <t>A revisão sistemática inclui estudos específicos de T18 e realiza meta-análise de sua sobrevivência: “trisomy 18 [n = 2,174] were included in the meta-analysis”.</t>
  </si>
  <si>
    <t>O objeto do estudo é a síndrome do gêmeo evanescente após reprodução assistida, sem tratar T18 como objeto: “applications of noninvasive prenatal testing in vanishing twin syndrome pregnancies”.</t>
  </si>
  <si>
    <t>O estudo é voltado à avaliação de NIPT positivo e seus valores preditivos, sem apresentar desfecho específico de T18: “The positive predictive values for trisomy 21, trisomy 18, trisomy 13”.</t>
  </si>
  <si>
    <t>O título trata genericamente de genética e cariótipo, sem indicar que a síndrome de Edwards seja objeto do estudo: “Genetics, Cytogenetic Testing and Conventional Karyotype”.</t>
  </si>
  <si>
    <t>O estudo avalia a capacidade diagnóstica do NIPT, apresentando T18 como resultado de teste: “The overall positive predictive value (PPV) of NIPT for trisomy 21 (n = 9), trisomy 18 (n = 3)”.</t>
  </si>
  <si>
    <t>O estudo fornece desfecho gestacional específico para casos de T18 diagnosticados pelo NIPT: “4 had Edwards syndrome” entre os casos que resultaram em nascidos vivos.</t>
  </si>
  <si>
    <t>O modelo foi desenvolvido para uma coorte conjunta de T13 e T18, sem resultados de sobrevivência separáveis por síndrome: “The study cohort included 1,761 infants with trisomy 13 and 18”.</t>
  </si>
  <si>
    <t>O estudo tem como desfecho principal o desempenho do teste de cfDNA para trissomias, não os resultados gestacionais de T18: “the screening performance of cell-free DNA”.</t>
  </si>
  <si>
    <t>O estudo analisa diretamente a sobrevivência de pessoas cuja causa primária de morte foi T18: “The median survival time of infants with trisomy 18 increased over time”.</t>
  </si>
  <si>
    <t>O estudo é específico para T18 e apresenta sobrevivência de pacientes submetidos à cirurgia cardíaca: “the median duration of survival was 46.3 (14.3-186.4) months since birth”.</t>
  </si>
  <si>
    <t>A revisão apresenta dados gerais de mortalidade e orientações de acompanhamento para T18, sem constituir estudo próprio de desfecho: “The goal of this review is to present a comprehensive description of complications in children with trisomy 18”.</t>
  </si>
  <si>
    <t>A série é composta por pacientes com T18 e registra ocorrência de morte no acompanhamento perioperatório: “One patient died in the immediate postoperative period”.</t>
  </si>
  <si>
    <t>O objeto é o linfoma MALT salivar, e a trissomia 18 aparece apenas como alteração molecular tumoral: “trisomy 18 (7/70, 10%)”.</t>
  </si>
  <si>
    <t>O estudo é uma avaliação de desempenho de cfDNA em gestações gemelares, sem desfecho gestacional específico de T18: “the pooled weighted detection rate (DR) and false-positive rate (FPR)”.</t>
  </si>
  <si>
    <t>O estudo avalia o desempenho do NIPT e a decisão de realizar diagnóstico invasivo, sem apresentar desfecho específico de T18: “The sensitivity of expanded NIPT was 100% ... 96.67% ... and 100%”.</t>
  </si>
  <si>
    <t>O estudo investiga fatores associados à falha do teste de cfDNA e seu manejo subsequente, sem desfecho específico de T18: “The rate of cell-free DNA test failure at the first sampling was 1.49%”.</t>
  </si>
  <si>
    <t>O objeto é a onfalocele e seus desfechos perinatais, sendo T18 apenas uma anomalia cromossômica associada: “Trisomy 18 was the most common chromosomal anomaly”.</t>
  </si>
  <si>
    <t>O estudo avalia o desempenho do NIPT em gestações múltiplas, sem apresentar desfechos gestacionais específicos para T18: “Sensitivity and specificity were calculated for the detection of trisomy 21, 18, and 13”.</t>
  </si>
  <si>
    <t>O estudo avalia NIPT e amniocentese para diagnóstico cromossômico, sem apresentar desfecho gestacional específico de T18: “2 cases with a high risk of trisomy 18”.</t>
  </si>
  <si>
    <t>O estudo avalia a eficiência clínica do NIPS e seus valores preditivos, sem desfecho específico de T18: “The PPVs were 90.4, 56.6, and 13.0% ... for trisomy 21 (T21), trisomy 18 (T18) and trisomy 13”.</t>
  </si>
  <si>
    <t>O objeto é a restrição isolada do crescimento fetal, enquanto T18 aparece apenas entre os achados cromossômicos: “chromosomal microarray analysis did not detect trisomy 18 mosaicism”.</t>
  </si>
  <si>
    <t>O estudo reúne T13 e T18 e apresenta a sobrevivência apenas de forma agregada por modalidade de tratamento: “Survival in infants who received surgeries was 51%; intensive medical treatment was 30%”.</t>
  </si>
  <si>
    <t>O estudo avalia a eficiência diagnóstica do NIPT, com T18 apresentado como resultado de detecção e não como desfecho: “trisomy 18 (T18) in 5 cases”.</t>
  </si>
  <si>
    <t>O estudo apresenta curvas de sobrevivência específicas para T18, com “33% (n = 162) [...] deceased by 24 h” e “53% [...] by 1 week”.</t>
  </si>
  <si>
    <t>O estudo é específico para T18 e informa “The overall mortality rate decreased in those with trisomy 18 from 32% in 1997 to 21% in 2016”.</t>
  </si>
  <si>
    <t>A coorte inclui 30 lactentes com T18 e apresenta “One-year overall survival rate (45% vs. 26%)”.</t>
  </si>
  <si>
    <t>Embora registre 19 casos de T18, o estudo avalia “the expected accuracy of NIPT in FCA detection”, sem desfecho gestacional específico da T18.</t>
  </si>
  <si>
    <t>O estudo avalia o desempenho do NIPT, apresentando para T18 “specificity, positive predictive value, and false-positive rate”, sem desfecho gestacional específico.</t>
  </si>
  <si>
    <t>A coorte de 56 pacientes com T18 apresenta “One-year survival rates” e “survival to discharge rate” comparados entre períodos.</t>
  </si>
  <si>
    <t>O texto revisa evidências e questões éticas sobre T13/T18, destacando que “surgery can, in some cases, prolong survival”.</t>
  </si>
  <si>
    <t>O estudo mede “test performance” do cfDNA para T18, com sensibilidade, especificidade e PPV, sem desfecho gestacional específico da T18.</t>
  </si>
  <si>
    <t>A coorte separa 335 crianças com T18 e informa “The rates of postoperative mortality” e “T18 neonates [...] 31.8%” de mortalidade cirúrgica.</t>
  </si>
  <si>
    <t>O objeto do estudo são “Genetic Alterations in Congenital Heart Diseases”, enquanto T18 aparece apenas entre as alterações cromossômicas detectadas.</t>
  </si>
  <si>
    <t>O estudo avalia a implementação do NIPT para “Down's syndrome, Edwards' syndrome and Patau's syndrome”, mas os resultados não apresentam desfecho específico de T18.</t>
  </si>
  <si>
    <t>O objeto são fetos com “central nervous system (CNS) anomalies”, enquanto T18 aparece entre as anormalidades cromossômicas associadas.</t>
  </si>
  <si>
    <t>O estudo de T13/T18 apresenta especificamente “The median length of survival was 7 and 29 days, for infants with T13 and T18, respectively”.</t>
  </si>
  <si>
    <t>O objeto é “Hepatoblastoma in molecularly defined, congenital diseases”, com T18 citado como condição associada ao hepatoblastoma.</t>
  </si>
  <si>
    <t>A coorte de seis crianças com T18 apresenta “One-month, 1-year, and 10-year survival” segundo o seguimento dos pacientes.</t>
  </si>
  <si>
    <t>O estudo acompanha resultados de NIPT e relata “true-positive rates after definitive diagnoses of trisomy 13, 18, and 21”, sem desfecho específico de T18.</t>
  </si>
  <si>
    <t>Embora T18 e T13 estejam presentes, o resultado de mortalidade é apresentado para “VLBW infants with CHD” em conjunto, sem desfecho separável por T18.</t>
  </si>
  <si>
    <t>O estudo combina T13, T18 e T21, e informa conjuntamente que “Ten out of twenty-one (47.6%) infants with trisomy 13 or 18 were born alive”, sem separação entre T13 e T18.</t>
  </si>
  <si>
    <t>O estudo calcula “PPV of trisomy 21, 18, and 13”, concentrando-se no desempenho diagnóstico do NIPT, sem desfecho gestacional específico de T18.</t>
  </si>
  <si>
    <t>O registro é um aviso de arquivamento de diversas diretrizes, cujo conteúdo principal não constitui estudo de desfechos da T18.</t>
  </si>
  <si>
    <t>O estudo avalia fetos com “nasal bone hypoplasia” e a identificação de anormalidades cromossômicas, sem desfecho específico dos seis casos de T18.</t>
  </si>
  <si>
    <t>O artigo avalia “Positive predictive value” do NIPT em gestações gemelares, incluindo T18, mas não apresenta desfecho gestacional específico da T18.</t>
  </si>
  <si>
    <t>O estudo é sobre NIPT em “patients with a Vanishing Twin”, e os nove resultados de alto risco para T18 são tratados no contexto da confirmação diagnóstica.</t>
  </si>
  <si>
    <t>O estudo analisa “gene expression profile” e alterações imunes em gestações com T21, T18 e T13, sem avaliar desfechos gestacionais.</t>
  </si>
  <si>
    <t>A coorte combina T13 e T18 e apresenta mortalidade e sobrevida “overall”, sem separar os desfechos conforme a trissomia.</t>
  </si>
  <si>
    <t>O estudo específico de T18 apresenta tanto resultados gestacionais (“14 (33%) were live births”) quanto sobrevida neonatal (“none surviving to 1 year”).</t>
  </si>
  <si>
    <t>O objeto são “pregnancies with fetal megacystis”, enquanto T18 aparece apenas entre as etiologias reconhecidas.</t>
  </si>
  <si>
    <t>O estudo de T13/T18 apresenta cinco mortes tardias, “4 with trisomy 18”, e informa “Five-year survival was 66.6%”.</t>
  </si>
  <si>
    <t>A coorte é específica de T18 e compara grupos de pacientes, relatando “freedom from in-hospital mortality” após o primeiro mês de vida.</t>
  </si>
  <si>
    <t>O estudo específico de T18 apresenta tanto “7 (41.2%) experienced stillbirth” quanto “five babies were born alive with no survival at 6 months”.</t>
  </si>
  <si>
    <t>A coorte europeia inclui 602 nascidos vivos com T18 e apresenta sobrevida específica de T18 de “38% [...] at 4 weeks, 13% [...] at 1 and 10 years”.</t>
  </si>
  <si>
    <t>O estudo avalia “clinical efficiency of noninvasive prenatal testing (NIPT)” em gestações gemelares, sem desfecho gestacional específico de T18.</t>
  </si>
  <si>
    <t>O objeto são gestações com “omphalocele”, sendo T18 uma das aneuploidias concomitantes encontradas.</t>
  </si>
  <si>
    <t>Embora inclua 41 fetos com T18 e registre “survival time” entre os dados analisados, o resumo não apresenta resultado de sobrevida ou desfecho gestacional.</t>
  </si>
  <si>
    <t>O estudo combina 18 pacientes com T13 e 29 com T18, mas o dado de sobrevivência é apresentado conjuntamente: “81% of patients were living at the time of the study”.</t>
  </si>
  <si>
    <t>A coorte nacional de T18 apresenta “median survival of 127 days” e “The 1-year survival rate for children with T18 was 63.2%”.</t>
  </si>
  <si>
    <t>A revisão sistemática avalia o “screening performance of non-invasive prenatal testing (NIPT)” em gestações com vanishing twin, e não seus desfechos gestacionais de T18.</t>
  </si>
  <si>
    <t>O estudo avalia fetos com “increased NT thickness” e identifica quatro casos de T18, mas não apresenta seus desfechos gestacionais específicos.</t>
  </si>
  <si>
    <t>A coorte inclui 54 pacientes com T18 e informa que “Outcomes including cardiac surgical interventions, electrical system interventions and death were collected”.</t>
  </si>
  <si>
    <t>O objeto do estudo são “fetuses seen with suspected facial cleft”, e T18 aparece entre as anormalidades cromossômicas associadas.</t>
  </si>
  <si>
    <t>O estudo tem como objeto a “Congenital Diaphragmatic Hernia” e T18 é uma das síndromes associadas ao quadro.</t>
  </si>
  <si>
    <t>O estudo avalia a eficácia de “QF-PCR combined with ultrasound in early pregnancy” para diagnóstico pré-natal de aneuploidias, sem desfechos específicos de T18.</t>
  </si>
  <si>
    <t>Embora avalie desfechos perinatais e inclua T18 no rastreamento, o estudo tem como objeto a “crown-rump length discordance” e não apresenta desfechos específicos de T18.</t>
  </si>
  <si>
    <t>A revisão aborda diretamente questões éticas e de cuidado em T13/T18, propondo “a shared decision-making approach with an informed parent(s)”.</t>
  </si>
  <si>
    <t>O estudo registra um caso de T18 confirmado e informa que “1 case that showed a high risk of trisomy 18 [...] opted to induce labor and terminate the pregnancy”.</t>
  </si>
  <si>
    <t>O artigo apresenta uma diretriz institucional para aconselhamento de T13/T18, com objetivo de “create a standardized approach to counseling expectant persons and parents”.</t>
  </si>
  <si>
    <t>O estudo avalia a performance do “expanded noninvasive prenatal testing (NIPT-Plus)” e apresenta quatro T18 confirmadas, sem desfecho gestacional específico.</t>
  </si>
  <si>
    <t>A coorte de 27 pacientes com T18 apresenta sobrevida específica por intervenção, com “Median survival times in the no-surgery and surgery groups” de 223 e 723 dias.</t>
  </si>
  <si>
    <t>O estudo tem como objeto “fetuses with omphalocele”, e T18 aparece apenas entre as anormalidades cromossômicas identificadas.</t>
  </si>
  <si>
    <t>A revisão reúne literatura sobre cardiopatias nas principais síndromes cromossômicas e inclui T18, descrevendo “a brief description of the frequency of the disease and its mortality”.</t>
  </si>
  <si>
    <t>O estudo trata do desempenho do NIPS e, embora mencione acompanhamento, não apresenta desfecho específico de T18, tendo como resultado “composite positive predictive value (PPV) of trisomy 21, 18, and 13”.</t>
  </si>
  <si>
    <t>O objeto é a epidemiologia de “67 major congenital anomalies”, e embora T18 seja apontada entre as mais fatais, não há dados de desfecho específicos da T18.</t>
  </si>
  <si>
    <t>A coorte é específica de T18 e analisa mortalidade após o primeiro ano, incluindo “cause of death in individuals with trisomy 18”.</t>
  </si>
  <si>
    <t>Trata-se expressamente de “a case report” de um único paciente com T18 e atresia intestinal.</t>
  </si>
  <si>
    <t>O estudo descreve achados de vias aéreas em T13/T18, mas não apresenta sobrevida, mortalidade ou desfecho gestacional, tendo como foco “airway findings”.</t>
  </si>
  <si>
    <t>O estudo avalia o risco de aneuploidias segundo idade materna, sem apresentar desfecho específico de T18, embora acompanhe as gestações “until delivery, miscarriage or termination of pregnancy”.</t>
  </si>
  <si>
    <t>T18 aparece entre diversas alterações cromossômicas em um estudo sobre AFAFP, mas os desfechos não são separáveis por T18, pois “thirty (54.5%) had fetal chromosomal abnormalities, major structural abnormalities, and/or adverse obstetric events”.</t>
  </si>
  <si>
    <t>O estudo específico de fetos com T18 realiza fenotipagem por autópsia, mas não apresenta os desfechos de sobrevida ou gestacionais requeridos, descrevendo “16 fetuses (2%) in our cohort of 784 fetal/neonatal losses”.</t>
  </si>
  <si>
    <t>A coorte é específica de T18 e compara cuidados intensivos e não intensivos com dados de sobrevida, incluindo “The 1- and 3-year survival rates were both 33% in the intensive group”.</t>
  </si>
  <si>
    <t>O estudo específico de T18 avalia perda auditiva e tratamento otológico, sem apresentar dados de sobrevida ou desfecho gestacional, tendo como foco “hearing loss (HL) in children with Trisomy 18”.</t>
  </si>
  <si>
    <t>A coorte inclui 271 pacientes com T18 e atresia esofágica e apresenta mortalidade hospitalar e idade ao óbito, incluindo “The overall in-hospital mortality was lower (54% vs 79%)”.</t>
  </si>
  <si>
    <t>O estudo específico de T18 compara cirurgia cardíaca e tratamento clínico e apresenta sobrevida, incluindo “The median survival in surgical and medical treatment groups was 150 [...] days and eight [...] days”.</t>
  </si>
  <si>
    <t>A série apresenta separadamente a mortalidade dos 27 pacientes com T18, registrando “Intrahospital mortality was 83% for T13, and 59% for T18”.</t>
  </si>
  <si>
    <t>O objetivo é aprimorar o rastreamento de aberrações cromossômicas por índice de atipicidade, sem desfecho específico de T18, com foco em “the risk of chromosomal aberrations”.</t>
  </si>
  <si>
    <t>É um documento de consenso sobre manejo cardíaco de T13/T18, elaborado para oferecer “a framework for clinical decision making based on the literature and expert opinions”.</t>
  </si>
  <si>
    <t>O objeto é o prognóstico perinatal de gestações com artéria umbilical única, enquanto T18 aparece apenas como associação, com “two cases of trisomy 18 and one case with trisomy 13 associated with SUA”.</t>
  </si>
  <si>
    <t>O estudo identifica separadamente a população T18 e apresenta mortalidade hospitalar dos pacientes submetidos à cirurgia, incluindo “Hospital mortality was &lt;10% for both surgical cohorts”.</t>
  </si>
  <si>
    <t>O objeto é linfoma MALT gástrico e as referências a “trisomy/tetrasomy 18” dizem respeito a alterações cromossômicas do tumor, não à síndrome de Edwards.</t>
  </si>
  <si>
    <t>O objeto são defeitos do septo atrioventricular e T18 aparece como anomalia cromossômica associada, com “Partial AVSDs were associated with trisomy 18”.</t>
  </si>
  <si>
    <t>O estudo tem como objeto a holoprosencefalia e apenas identifica um caso de T18 entre os resultados genéticos, “one case of trisomy 18 was found”.</t>
  </si>
  <si>
    <t>T18 é a anomalia cromossômica mais frequente no estudo de FGR, mas os desfechos não são separados segundo T18, pois “All fetuses with FGR associated with two or more system malformations were either terminated or stillborn, irrespective of chromosomal aberrations”.</t>
  </si>
  <si>
    <t>A população é específica de T18 e o estudo compara procedimentos para atresia esofágica com dados de sobrevida até a alta, incluindo “Survival-to-discharge rates were 31% (5/16) [...] and 67% (6/9)”.</t>
  </si>
  <si>
    <t>O objeto do estudo é a genética da síndrome de hipoplasia do coração esquerdo, sem T18 como objeto de investigação.</t>
  </si>
  <si>
    <t>A revisão sistemática reúne exclusivamente pacientes com T18 e hepatoblastoma e apresenta mortalidade, incluindo “overall mortality was 35.5% (n = 22/62)”.</t>
  </si>
  <si>
    <t>O estudo avalia desempenho de NIPT para T21/T18/T13, sem apresentar desfechos específicos de T18, tendo como foco “PPV, sensitivity, and specificity”.</t>
  </si>
  <si>
    <t>O objeto é a malformação do corpo caloso e T18 aparece apenas entre os diagnósticos cromossômicos encontrados, com “Edwards syndrome was diagnosed in six cases”.</t>
  </si>
  <si>
    <t>O estudo analisa gestações com resultado de rastreamento duplo positivo no qual “trisomies 21 and 18 were ruled out”, portanto não fornece desfecho de gestações com T18.</t>
  </si>
  <si>
    <t>O estudo qualitativo aborda a experiência dos pais de crianças com T18, buscando “parents' views and perspective of the lived experience of rearing a child with trisomy 18”.</t>
  </si>
  <si>
    <t>Embora inclua 53 pacientes com T18, os resultados de sobrevida são apresentados conjuntamente para T13/T18, sem separação por síndrome, como em “One-year survival was 79% operated versus 51.5% nonoperated”.</t>
  </si>
  <si>
    <t>O estudo tem como objeto cistos de cordão umbilical e T18 aparece somente como uma das anomalias fetais associadas, com “including trisomy 18 (2 cases)”.</t>
  </si>
  <si>
    <t>O objeto é o pé torto fetal e T18 aparece apenas entre os dois cariótipos anormais encontrados, com “abnormal karyotypes were detected in 2 patients (trisomy 18, 22q11.2 del)”.</t>
  </si>
  <si>
    <t>A revisão avalia a acurácia diagnóstica do cfDNA em mulheres com aborto, sem investigar o desfecho das gestações com T18, tendo como resultado “100% [...] for trisomy 18”.</t>
  </si>
  <si>
    <t>O estudo é sobre uso e desempenho do NIPT na Croácia e não apresenta desfechos específicos de T18, limitando-se a informar “39 chromosomal abnormalities detected”.</t>
  </si>
  <si>
    <t>O objeto é atresia tricúspide e T18 aparece apenas como uma anomalia cromossômica encontrada em um caso, “identified a chromosomal anomaly in one case (trisomy 18)”.</t>
  </si>
  <si>
    <t>O estudo desenvolve uma plataforma para diagnóstico pré-natal de células fetais, mencionando Edwards apenas como exemplo de anomalia detectável, “including Down syndrome and Edwards syndrome”.</t>
  </si>
  <si>
    <t>O estudo acompanha fetos diagnosticados prenatalmente com T18, descreve continuidade da gestação e apresenta sobrevida, incluindo “two babies survived for more than four years”.</t>
  </si>
  <si>
    <t>A coorte é específica de T18 submetida ao fechamento de comunicação interventricular e apresenta mortalidade e sobrevida de longo prazo, incluindo “a 5-year estimated survival of 79.5%”.</t>
  </si>
  <si>
    <t>O estudo avalia métodos de diagnóstico pré-natal em gestações de alto risco, sem desfechos específicos de T18, embora identifique “4 cases of trisomy 18”.</t>
  </si>
  <si>
    <t>O estudo investiga trissomias autossômicas raras detectadas pelo NIPT, enquanto as trissomias comuns T21/T18/T13 são apenas mencionadas como contexto e não constituem a população analisada.</t>
  </si>
  <si>
    <t>A coorte reúne T13 e T18 e apresenta os dados de vida e morte conjuntamente, sem separar os desfechos por T18, embora informe que “All were born alive”.</t>
  </si>
  <si>
    <t>O objeto é a associação de anomalias congênitas em CAKUT e T18 aparece apenas como uma das alterações cromossômicas associadas, com “39 trisomy 18 (2%)”.</t>
  </si>
  <si>
    <t>O estudo é sobre amostragem de vilosidades coriônicas e diagnóstico pré-natal, sem apresentar desfechos específicos de T18, embora informe “Trisomy 18 (4.2%)”.</t>
  </si>
  <si>
    <t>O estudo qualitativo investiga narrativas parentais sobre T18 e busca compreender “parents' narratives of trisomy 18”, sem produzir dados de sobrevida ou desfecho gestacional.</t>
  </si>
  <si>
    <t>O estudo reúne pacientes com T13/T18 e apresenta os dados de sobrevida conjuntamente, sem separação por T18, embora avalie “survival outcomes among GT and non-GT patients with T13/18”.</t>
  </si>
  <si>
    <t>A revisão sistemática seleciona literatura sobre crianças nascidas vivas com T18 e inclui explicitamente estudos que reportam desfechos, abrangendo “What are the chances of survival with trisomy 18?”.</t>
  </si>
  <si>
    <t>O objeto é o rastreamento ultrassonográfico de anomalias cardíacas e T18 aparece somente como associação em quatro casos, “Down syndrome-eight cases, Edwards syndrome-four cases”.</t>
  </si>
  <si>
    <t>O estudo é sobre cistos umbilicais e T18 aparece como uma das alterações genéticas associadas, sendo “the most frequent genetic disorder [...] trisomy 18”.</t>
  </si>
  <si>
    <t>A revisão sistemática tem como objeto o desfecho perinatal de higroma cístico e T18 é apenas uma das aneuploidias encontradas, com prevalência de “10% for Trisomy 18”.</t>
  </si>
  <si>
    <t>O texto é uma revisão sobre hepatoblastoma e T18 aparece apenas como condição genética predisponente, incluindo “genetic conditions such as [...] trisomy 18”.</t>
  </si>
  <si>
    <t>O estudo avalia algoritmo de rastreamento de T21/T18/T13, sem apresentar desfechos específicos das nove gestações com T18, tendo como foco “common trisomies screening”.</t>
  </si>
  <si>
    <t>Os resultados de mortalidade e sobrevida são apresentados conjuntamente para T13 e T18, sem separação específica por T18: “Five retrospective cohort studies (1627 patients)” e os resultados são reportados de forma agregada.</t>
  </si>
  <si>
    <t>O estudo é específico para nascidos vivos com T18 e apresenta diretamente sobrevida: “The primary aim of this study was to describe the outcomes of a contemporary Canadian population-based cohort of children born alive with trisomy 18.”</t>
  </si>
  <si>
    <t>O objeto do estudo é a artéria umbilical única, sendo T18 apenas uma das anomalias genéticas identificadas: “the most frequently detected chromosomal disorder was trisomy 18”.</t>
  </si>
  <si>
    <t>O estudo avalia estratégias de rastreamento para T21 e T18, sem apresentar desfecho gestacional específico de T18: “compare the performance of first-trimester serum screening (FTSS) and non-invasive prenatal testing (NIPT)”.</t>
  </si>
  <si>
    <t>O estudo trata de translucência nucal e rastreamento, sem apresentar desfechos específicos dos casos de T18: “High-risk NIPT findings for trisomy 21 and 18 increased with NT”.</t>
  </si>
  <si>
    <t>Trata-se de relatório clínico voltado ao manejo de T13/T18 e à tomada de decisão, afirmando que “multiple studies have demonstrated improved morbidity and mortality”.</t>
  </si>
  <si>
    <t>O objeto é a investigação genética de fissuras orofaciais, e T18 aparece apenas como uma das alterações cromossômicas: “The most frequent abnormalities were trisomy 13 and trisomy 18.”</t>
  </si>
  <si>
    <t>O estudo é específico para crianças com T18 submetidas a cirurgia cardíaca e informa mortalidade hospitalar: “Forty-two (8.4%) patients died in-hospital”.</t>
  </si>
  <si>
    <t>O estudo descreve causas gerais de morte neonatal e apenas contabiliza T18 entre as malformações: “Trisomy 18 (n=542), trisomy 13 (n=397) [...] were the four most common types of malformations.”</t>
  </si>
  <si>
    <t>Embora registre casos de Edwards, o estudo tem como objeto a amniocentese e seus resultados gerais, sem desfecho específico para T18: “Down syndrome was the most common abnormality (14), followed by Edwards syndrome.”</t>
  </si>
  <si>
    <t>O estudo inclui nascidos vivos com T18 e apresenta sobrevida de dez anos, inclusive separando T18 completo de mosaicismo/forma parcial: “among all infants with T18, 43 (8.6% [...] survived to 10 years of age.”</t>
  </si>
  <si>
    <t>Trata-se de estudo sobre aconselhamento pré-natal e percepção de cardiologistas, sem produzir dados próprios de sobrevida ou desfecho gestacional: “The landscape of prenatal counseling related to cardiac disease and trisomy 18 is unknown.”</t>
  </si>
  <si>
    <t>O objeto do estudo é exclusivamente a mortalidade por T13: “Mortality Patterns and Phenotypic Clusters in Trisomy 13”.</t>
  </si>
  <si>
    <t>O estudo tem como objeto anomalias auriculares fetais e T18 aparece como apenas um resultado genético entre os casos: “one fetus had complete trisomy 18”.</t>
  </si>
  <si>
    <t>O estudo analisa as causas gerais de morte neonatal e apenas identifica T18 como uma causa frequente, sem apresentar desfecho específico de uma coorte T18: “Trisomy 18 was the most common cause (12.4%).”</t>
  </si>
  <si>
    <t>O estudo avalia a acurácia do NIPT para T21, T18 e T13, e os desfechos gestacionais são agregados: “98.51% (132/134) of pregnancies identified with chromosomal abnormalities were terminated”.</t>
  </si>
  <si>
    <t>A revisão tem como objeto a fisiopatologia da geleia de Wharton, sendo T18 apenas um marcador associado: “Umbilical cord pseudocysts [...] are significant markers for severe chromosomal abnormalities, particularly Trisomy 18 and 13”.</t>
  </si>
  <si>
    <t>O estudo é uma modelagem econômica de estratégias de rastreamento e inclui T18 apenas entre as aneuploidias rastreadas: “All strategies screened for common trisomies 21 (Down syndrome), 18 (Edwards syndrome), and 13 (Patau syndrome)”.</t>
  </si>
  <si>
    <t>O objeto é a mortalidade de pacientes com fissura labiopalatina, e T18 constitui apenas uma das causas identificadas: “Trisomy 13 (30.8%), holoprosencephaly (23.1%), congenital cardiac defects (11.5%), and trisomy 18 (11.5%) were the leading causes of death.”</t>
  </si>
  <si>
    <t>O estudo investiga alterações epigenéticas em fetos T18 e não apresenta dados de sobrevida ou desfecho gestacional: “This study aimed to characterize genome-wide DNA methylation changes associated with T18 during early development.”</t>
  </si>
  <si>
    <t>Trata-se de revisão sobre T18 que sintetiza evidências de desfechos e orientações de acompanhamento, sem apresentar dados originais: “This review summarizes the clinical manifestations of trisomy 18 syndrome but also explores the updated long-term outcomes”.</t>
  </si>
  <si>
    <t>O estudo aborda diretamente questões éticas e manejo pré e pós-natal de T18, sem produzir desfechos clínicos próprios: “This study aimed to determine how obstetricians' knowledge of T18 influences their attitudes”.</t>
  </si>
  <si>
    <t>É um comentário ético sobre transplante pediátrico e deficiência que menciona T18 como possível população beneficiária: “This argument may also extend beyond T21 to other patient populations with genetic conditions, including select patients with trisomy 18 (T18).”</t>
  </si>
  <si>
    <t>O estudo apresenta dados específicos de sobrevida para T18 em uma coorte de T13/T18: “Newborns affected by T18 lived significantly longer than those with T13 (median 33 h vs 6.5 h).”</t>
  </si>
  <si>
    <t>O estudo retrospectivo é específico para pacientes com T18 e calcula diretamente probabilidades de sobrevida: “Survival probabilities at different age intervals were calculated”.</t>
  </si>
  <si>
    <t>O objeto do estudo é atresia de esôfago, enquanto os três pacientes com T18 são excluídos da análise principal de sobrevida: “Survival to discharge was 86% after excluding three trisomy 18 infants managed palliatively.”</t>
  </si>
  <si>
    <t>O estudo analisa discrepâncias de idade gestacional como marcador de anomalias cromossômicas, sem desfecho específico para T18: “For triploidy and trisomy 18, 91% and 59% of cases, respectively, had discrepancies of &lt;-3 days.”</t>
  </si>
  <si>
    <t>O próprio resumo caracteriza o trabalho como relato de um único caso: “CASE PRESENTATION: We report a case of a 3-year-11-month-old girl with trisomy 18”.</t>
  </si>
  <si>
    <t>A coorte inclui 23 pacientes com T18 e apresenta mediana de sobrevida específica: “Median survival was 90 days for T18 and 120 days for T13”.</t>
  </si>
  <si>
    <t>O estudo é sobre translucência nucal e alterações cromossômicas, sem apresentar desfecho específico para T18: “with trisomy 18 being the most frequent.”</t>
  </si>
  <si>
    <t>Embora haja 1.808 neonatos com T18, o resultado de sobrevida à alta é apresentado conjuntamente para T13 e T18: “survival to discharge rates improved from 44.5 to 57.9%”.</t>
  </si>
  <si>
    <t>O objeto do estudo são defeitos do raio radial, sendo T18 apenas uma das alterações genéticas encontradas: “Trisomy 18 was identified in two cases.”</t>
  </si>
  <si>
    <t>O estudo avalia a utilidade do NIPT para aneuploidias, e os resultados gestacionais não são discriminados para T18: “4 trisomy 18, and 2 trisomy 13”.</t>
  </si>
  <si>
    <t>A revisão aborda fatores relacionados à interrupção terapêutica e menciona T18 entre as condições associadas, sendo útil para discussão contextual: “Data from the EUROCAT network show rising trends in congenital anomalies like trisomy 13, trisomy 18”.</t>
  </si>
  <si>
    <t>O estudo é epidemiológico sobre anormalidades cromossômicas em amostras de abortamento e apenas identifica um caso de T18: “followed by trisomy 18 (1, 2.6%).”</t>
  </si>
  <si>
    <t>O estudo descreve fenotipagem fetal por MRI em T13/T18 e pretende auxiliar aconselhamento, mas não apresenta desfecho-alvo próprio: “Future studies will be necessary to correlate prenatal imaging findings to outcome data”.</t>
  </si>
  <si>
    <t>O estudo busca valores de referência ultrassonográficos e utiliza um caso T18 para exemplificação diagnóstica: “NT thickness (2.8 mm) in the trisomy 18 patient with VSD was high”.</t>
  </si>
  <si>
    <t>O objeto da revisão são cistos do plexo coroide, sendo T18 uma associação prognóstica: “their detection often causes parental concern because of potential associations with chromosomal abnormalities, particularly trisomy 18.”</t>
  </si>
  <si>
    <t>O estudo tem como objeto malformações do sistema digestivo e registra apenas um caso de T18 entre os achados genéticos: “1 case of trisomy-18”.</t>
  </si>
  <si>
    <t>O estudo apresenta uma grande coorte pediátrica com 401 admissões de T18 e mortalidade específica: “inpatient mortality rates were high in both (T13 27.1%, T18 23.7%)”.</t>
  </si>
  <si>
    <t>O estudo compara diretamente a sobrevida de nascidos vivos com T18 conforme o momento do diagnóstico: “the Kaplan-Meier estimated 12-month survival rates were 8% [...] in the prenatal group and 40% [...] in the postnatal group”.</t>
  </si>
  <si>
    <t>O objeto do estudo é a malformação de Dandy-Walker, e T18 aparece apenas entre as anormalidades cromossômicas encontradas: “with trisomy-18 (2.26%) being the most commonly detected.”</t>
  </si>
  <si>
    <t>O estudo investiga translucência nucal e alterações cromossômicas, sem apresentar desfecho específico para os cinco casos de T18/Klinefelter: “5 fetuses with either trisomy 18 syndrome or Klinefelter syndrome”.</t>
  </si>
  <si>
    <t>O estudo é específico para T18 e avalia diretamente sobrevida após fechamento de CIV: “Kaplan-Meier analysis demonstrated significantly better survival in the VSD closure group”.</t>
  </si>
  <si>
    <t>A série inclui 18 pacientes com T18 que sobreviveram além de um ano e apresenta mortalidade durante o seguimento: “Eleven patients survived and seven died during follow-up.”</t>
  </si>
  <si>
    <t>O estudo avalia desempenho diagnóstico do NIPT e resultados gerais por subgrupo, sem apresentar desfecho específico de T18: “Pregnancy outcomes differed significantly among high-risk NIPT subgroups.”</t>
  </si>
  <si>
    <t>O objeto é a epidemiologia das cardiopatias congênitas e os 29 casos de Edwards constituem apenas uma síndrome associada, sem desfecho específico para T18: “Genetic syndromes were confirmed in 95 patients (42.2%), with a predominance of Down syndrome (35), followed by Edwards syndrome (29)”.</t>
  </si>
  <si>
    <t>O estudo avalia principalmente o impacto de políticas de rastreamento sobre a detecção pré-natal de T18, sem apresentar distribuição dos desfechos gestacionais para T18: “Prenatal detection rate for T18 [...] increased from 87.5% [...] to 100%”.</t>
  </si>
  <si>
    <t>A revisão sistemática analisa diretamente sobrevida de neonatos com T18: “Outcomes included mean survival days and 1-year survival as primary outcomes”.</t>
  </si>
  <si>
    <t>A coorte acompanha especificamente crianças com T18 e apresenta sobrevida e mortes após a alta: “Two patients died within 1 year after discharge.”</t>
  </si>
  <si>
    <t>Link</t>
  </si>
  <si>
    <t>Claude</t>
  </si>
  <si>
    <t>Gemini</t>
  </si>
  <si>
    <t>ChatGPT</t>
  </si>
  <si>
    <t>Concordância</t>
  </si>
  <si>
    <t>Arbitragem humana (decisão)</t>
  </si>
  <si>
    <t>Pergunta arbitrada</t>
  </si>
  <si>
    <t>Código arbitrado</t>
  </si>
  <si>
    <t>Recorte anual</t>
  </si>
  <si>
    <t>Observação do pesquisador</t>
  </si>
  <si>
    <t>Decisão final</t>
  </si>
  <si>
    <t>Pergunta final</t>
  </si>
  <si>
    <t>Código final</t>
  </si>
  <si>
    <t>First trimester prenatal screening for chromosomal abnormalities using a combination of maternal serum biochemistry and fetal nuchal translucency thickness can achieve detection rates in excess of 90%. These services can be provided in a one stop multidisciplinary clinic.</t>
  </si>
  <si>
    <t>Sonography assists in predicting the postnatal outcome of CDH. Diagnosis of CDH at less than 25 weeks' gestation and the existence of hydramnios are associated with higher mortality. Postnatal therapy and prenatal surgical intervention are necessary to salvage fetuses in the presence of these two situations. The survival rate of infants with CDH was 45%. Of these, 55.6% had persistent morbidity. Prenatal counseling should reflect this.</t>
  </si>
  <si>
    <t>CCAM can lead to fetal or neonatal demise from hydrops, lung hypoplasia, prematurity or severe associated malformations, but has a good prognosis in the majority of cases.</t>
  </si>
  <si>
    <t>This study demonstrated that Down's syndrome screening using the combined test in the first trimester had a higher detection rate than that of serum screening in the second trimester. Implementation of NT measurement in the first trimester provides substantial advantages for Down's syndrome detection and early diagnosis of fetal structural abnormalities.</t>
  </si>
  <si>
    <t>The patient-specific risk protocol to screen for trisomy 18 is a beneficial adjunct to screening programs already in place for Down syndrome and neural tube defects. Patients found to be screen positive for trisomy 18 are at significant risk for adverse pregnancy outcome.</t>
  </si>
  <si>
    <t>This study has found a significant increase in the frequency of cardiac abnormalities encountered in a cohort of OA patients during the period under review. Cardiac disease and multiple abnormalities carried a substantial increased risk of mortality. In the era of the Spitz classification, the phenotypic presentation is important to accurately assess caseload severity and prognosis.</t>
  </si>
  <si>
    <t>Overall, first-year survival for infants with congenital anomalies was high. Additional population-based studies are needed to quantify improvements in first-year survival.</t>
  </si>
  <si>
    <t>The very high frequency of emergency cesarean section (100%) among fetuses with unrecognized major chromosomal anomalies should make us increase our efforts to obtain at prenatal diagnosis. In all of these cases, a prior diagnosis would have probably avoided a cesarean section and the associated potential maternal morbidity. PRECIS: The high incidence of emergency cesarean section among fetuses with unrecognized chromosomal anomalies should make prenatal diagnosis of these conditions a primary goal.</t>
  </si>
  <si>
    <t>Our data show a high prevalence of atrioventricular septal defect associated with other malformations when diagnosed during fetal life. This combination is less frequently associated with chromosomal and extracardiac anomalies, but more often with obstructive lesions of the left heart and with atrioventricular block. The association results in a less favourable outcome.</t>
  </si>
  <si>
    <t>The high rate of aneuploidy (50%) in this small cohort emphasises the need for karyotyping. A successful karyotype in all ten pregnancies demonstrates the value of offering these procedures before a termination of pregnancy. We would recommend the adoption of this approach in the management of IUFD occurring after the first trimester.</t>
  </si>
  <si>
    <t>The second trimester triple and quadruple tests provide benchmarks for evaluating new screening protocols. The combination of fetal biometry, new test development as well as clarification of the role of co-factors that affect the concentrations of analytes in existing tests should lead to greater efficacy in second trimester screening for Down syndrome.</t>
  </si>
  <si>
    <t>In obstetric practice without routine biochemical or sonographic screening tests the detection of findings suggestive of aneuploidy is low for trisomy 21, but is high for trisomies 18 and 13. These findings provide information for counseling about the antenatal, intrapartum, and neonatal course of these trisomies.</t>
  </si>
  <si>
    <t>Fetal liver calcifications are relatively common. Isolated cases have a good prognosis after aneuploidy and infection have been ruled out. However, additional major abnormalities present a risk for chromosomal abnormalities, mainly trisomy 13.</t>
  </si>
  <si>
    <t>Although survival is greatly affected by trisomy 13 and trisomy 18, 5% to 10% of people with these conditions survive beyond the first year of life. These population-based data are useful to clinicians who care for patients with these trisomies or counsel families with infants or fetuses who have a diagnosis of trisomy 13 or 18.</t>
  </si>
  <si>
    <t>In our experience, prenatal detection of ultrasound findings associated with EA/TEF does not affect neonatal outcome or identify a group at increased risk for neonatal morbidity and mortality. Our favorable outcomes, with or without prenatal suspicion, may reflect the comprehensive care readily available at a tertiary care facility. Larger series need to be studied to exclude the possibility of a type II error.</t>
  </si>
  <si>
    <t>In low risk patients, fetal karyotyping in the third trimester may be justified when the diagnosis of fetal malformation is made in the third trimester of pregnancy. Two or more anomalies increase the risk of fetal aneuploidy even with a negative-screening test in the first and second trimester of pregnancy.</t>
  </si>
  <si>
    <t>Trisomy 18q21, including MALT1, may be associated with advanced tumour stage and may be a predictor of poor outcome in surgically resected primary GI BCLs.</t>
  </si>
  <si>
    <t>Fetuses with NCH are at high risk for adverse outcome and detailed prenatal diagnosis including invasive procedures should be offered. According to the presented autopsy findings, to determine fetal outcome in NCH cases with normal karyotypes, detailed sonography should be concentrated beside the exclusion of fetal heart defects and existence of hydrops fetalis, on the skeletal, urogenital and craniofacial anomalies, as these might cause severe morbidity.</t>
  </si>
  <si>
    <t>The presence of an atypical umbilical cord vascular coiling is associated with an increased risk of unfavourable pregnancy outcome. The identification of an umbilical artery notch at Doppler investigation is frequently associated with an atypical UC coiling pattern.</t>
  </si>
  <si>
    <t>First-trimester cystic hygroma was a frequent finding in a general obstetric screening program. It has the strongest prenatal association with aneuploidy described to date, with significantly worse outcome compared with simple increased nuchal translucency. Most pregnancies with normal evaluation at the completion of the second trimester resulted in a healthy infant with a normal pediatric outcome.</t>
  </si>
  <si>
    <t>Fetuses with HLHS diagnosed prenatally who have normal chromosomes are unlikely to die in utero.</t>
  </si>
  <si>
    <t>CRL discrepancy in twin pregnancies in the first trimester is a frequent finding. Discrepancy&gt;95th centile indicates major growth delay of one twin, which could indicate the presence of aneuploidy. For milder degrees of discordance the CRL of the smaller fetus is a more accurate estimate of the actual GA.</t>
  </si>
  <si>
    <t>Fetal central and epigastric omphaloceles may be different entities: central omphaloceles are more strongly associated with abnormal karyotype (69%) than are epigastric omphaloceles (12.5%). The outcome of fetuses with omphalocele is poor irrespective of the type of omphalocele, with only eight of the 90 (9%) being alive and healthy at present. The results emphasize the importance of identifying both those fetuses with a potentially good prognosis and favorable outcome and those which are likely to have a fatal outcome.</t>
  </si>
  <si>
    <t>The current study agrees with a previous report that, overall, there is no strong correlation between first and second trimester markers. The extension of the integrated test for detecting various categories of common chromosomal aneuploidies using NT, PAPP-A and uE3 deserves further evaluation.</t>
  </si>
  <si>
    <t>Probabilistic record linkage and manual follow-up is an efficient method for ascertainment of pregnancy outcomes, with a higher follow-up rate than that reported in similar studies. MSS should remain an available option for all pregnant women in Victoria, with test characteristics comparable with other recent reports of the quadruple test.</t>
  </si>
  <si>
    <t>This study can be used to evaluate individual state surveillance data, and to help plan for public health care and educational needs. It also provides valuable data on racial/ethnic patterns of selected major birth defects.</t>
  </si>
  <si>
    <t>For the cases of EA surgery that were examined, the authors concluded that bodyweight at birth and the existence of pre-surgery respiratory system complications have a significant effect on post-surgery recovery, and that results appear to indicate the importance of classification using the Waterston classification and Spitz classification as a means of assessing the degree of risk. Results also appeared to indicate that the control of Respiratory Distress Syndrome throughout both the pre-surgery and post-surgery periods is critical.</t>
  </si>
  <si>
    <t>For screening programs implementing the SLOS algorithm, the present data may be useful for counseling and to guide diagnostic studies.</t>
  </si>
  <si>
    <t>The novel, recently developed JOY software package allowed reliable evaluation of the risk for aneuploidy with increased specificity whereas sensitivity was unchanged. Our data suggest an improvement of the screening for aneuploidy when using this novel software: With an identical detection rate, the number of unnecessary invasive measures may be reduced.</t>
  </si>
  <si>
    <t>The combined use of record linkage and manual follow-up techniques was effective in ascertaining more than 99% of pregnancy outcomes for calculations of accurate test characteristics of the combined screen. The sensitivity for Down syndrome at Genetic Health is comparable to similar populations. However, the sensitivity for trisomy 18 is lower than that elsewhere, which may reflect the overall low birth prevalence of trisomy 18 and associated small numbers in this particular cohort.</t>
  </si>
  <si>
    <t>t(11;18)/API2-MALT1 is frequent, whereas IGH-involved translocations are rare in gastric MALT lymphoma in Japan. The presence of extra copies of MALT1, often suggestive of partial or complete trisomy 18, is a frequent genetic aberration in gastric MALT lymphoma, which appears to predict adverse clinical behaviour.</t>
  </si>
  <si>
    <t>Prenatal ultrasonographic findings associated with survival less than 1 month included severe polyhydramnios, absence of the fluid in the stomach, severe cardiac anomaly and male sex.</t>
  </si>
  <si>
    <t xml:space="preserve"> Bidirectional flow in one or both great arteries is an unusual finding at the first-trimester scan and must be distinguished from the retrograde flow occurring only in systole in duct-dependent heart defects. It carries a poor prognosis, which is a consequence of both the high chance of underlying chromosomal abnormality and the hemodynamic compromise associated with severe arterial valve regurgitation.</t>
  </si>
  <si>
    <t>If cordocentesis is carried out by highly skilled physicians and optimal culture conditions are available, cordocentesis is an invasive prenatal diagnostic and therapeutic procedure that is performed secondary to amniocentesis with high accuracy and safety. In cases of hydrops fetalis in which cordocentesis is carried out, fetal loss is more likely to occur.</t>
  </si>
  <si>
    <t>Knowing less' by the rapid aneuploidy stand-alone testing could miss about half of all chromosomal abnormalities detectable by amniocentesis performed for advanced maternal age. Findings from two fifths of the latter were of potential clinical significance, and the parents chose to terminate one out of six of the corresponding pregnancies. If both techniques are available, parents could have enhanced autonomy to choose.</t>
  </si>
  <si>
    <t>Our findings suggest that CAT is found in patients with not only thyroidal but also nonthyroidal MALT lymphoma. While the nature of our data does not allow for delineation of a direct association between CAT and development of extrathyroidal MALT lymphoma, further prospective studies on this issue are warranted.</t>
  </si>
  <si>
    <t>Transabdominal CVS is a rather safe and reliable prenatal diagnostic technique. The fetal loss rate following the procedure in the present study was 0.54%. However operator' experience and skill in ultrasound-directed needle guidance procedure are essential.</t>
  </si>
  <si>
    <t>The post amniocentesis rate of miscarriage is calculated at 1% in our centre. FISH analysis can relieve stress of couples by reducing the waiting time for results.</t>
  </si>
  <si>
    <t>The observed performance of this large triple-marker screening program exceeds generally predicted detection rates for Down syndrome. This study methodology will be used to measure the performance of subsequent screening enhancements. LEVEL OF EVIDENCE: III.</t>
  </si>
  <si>
    <t>Scanning the umbilical cord is one of the essential parts of US examination. As the rate of cardiac malformations seen with single umbilical arteries is high, fetal echocardiography should be performed in suspected cases. The newborn should be reexamined immediately after birth due to the possibility of undetected anomalies.</t>
  </si>
  <si>
    <t>Our findings suggest that a third of cases of BCLP diagnosed in utero have a flat profile and these are at high risk of lethal aneuploidies.</t>
  </si>
  <si>
    <t>All trisomy 18 infants in this study were preterm or full-term deliveries. Mean birth weight was lower than previously reported, and a high percentage of families signed do-not-resuscitate consent forms. Females did not survive longer than males, due to more females not being resuscitated. Most infants died in the first few weeks of life, but 3-6% of infants lived for 21 year. The possibility of long-term survival should be considered when counseling parents regarding trisomy 18.</t>
  </si>
  <si>
    <t>Our case represents the seventh published case of hepatoblastoma in a patient with trisomy 18. All of the seven published cases were women, possibly due to the high preponderance of females among the children with Edward's syndrome and longer survival of females with trisomy 18 compared to males. Since both trisomy 18 and hepatoblastoma are rare conditions, the probability that a child with trisomy 18 will independently develop a hepatoblastoma is very low. Therefore, we believe that the existence of these cases in children with trisomy 18 indicates a significant association. It can be assumed that trisomy 18 potentiates the development of hepatoblastoma. Careful clinical and post-mortem studies are needed to recognize the real frequency of hepatoblastoma in children with trisomy 18, who might die from different causes with unrecognizable hepatoblastoma.</t>
  </si>
  <si>
    <t>This study provides the first estimates of maternal age-specific prevalence of trisomies 13 and 18 for women aged 16-45.</t>
  </si>
  <si>
    <t>Data indicate presence of common presenting physical and medical characteristics and varied medical assistance to newborns with full t18.</t>
  </si>
  <si>
    <t>Changes in prenatal screening and maternal age have had dramatic effects on the live born prevalence of trisomies 13 and 18. Infant survival remains largely unchanged with the majority dying in the neonatal period.</t>
  </si>
  <si>
    <t>Closure of VSDs in patients with trisomy 18 was found feasible and was associated with extended survival.</t>
  </si>
  <si>
    <t>The finding of an SUA should prompt the sonographer to search for fetal defects and if these are found the risk for chromosomal abnormalities is increased. In cases of apparently isolated SUA there is no evidence of increased risk of chromosomal abnormalities.</t>
  </si>
  <si>
    <t>There was a statistically significant increase in the odds of Klinefelter syndrome with increasing paternal age. The larger positive associations of Klinefelter and XYY syndromes with paternal age compared with Patau and Edwards syndromes are consistent with the greater percentage of these sex chromosome anomalies being of paternal origin.</t>
  </si>
  <si>
    <t>Using the state-wide, population-based birth defects surveillance data to conduct a long-term follow-up of a large cohort of New York children, we were able to examine mortality and survival experience of the affected children during infancy and childhood period by individual birth defects of interest. As expected, children born with birth defects had a higher risk of mortality compared to children without birth defects. The magnitude of the risk varied by children's age, birth and maternal characteristics and the lethality of the specific birth defects involved.</t>
  </si>
  <si>
    <t>While Prenatal Screening Programs do not explicitly screen for structural abnormalities other than NTDs and AWDs, clearly many other structural abnormalities may be associated with a screen-positive status. Thus, the detection of these additional structural defects can be considered an ancillary program benefit.</t>
  </si>
  <si>
    <t>Our data suggest that MALT lymphoma of the parotid gland is often associated with autoimmune diseases and that trisomy 3 is the most common genetic feature of this disease. The high rate of relapse warrants further study on optimal therapy of such patients.</t>
  </si>
  <si>
    <t>Low-resistance HA flow can be observed in first-trimester fetuses and, based on its association with adverse outcome, it can be regarded as an ominous sign.</t>
  </si>
  <si>
    <t>Ultrasound scan for fetal anomalies is the most effective screening test for trisomy 18. A policy of conservative management for women with positive second-trimester biochemical screening or first-trimester combined screening for trisomy 18 is reasonable in the absence of ultrasound fetal abnormalities. Unnecessary invasive tests can be avoided.</t>
  </si>
  <si>
    <t>Cardiac surgery contributed to increased survival rate but not the rate of discharge alive in trisomy 18 patients. Cardiac surgery could not prevent all the trisomy 18 patients from death. The indication of cardiac surgery should be carefully individualised to improve the quality of life in trisomy 18 patients and concerned surrounding people.</t>
  </si>
  <si>
    <t>Postfertilization nondisjunction leading to mosaicism in one fetus, discordant phenotypes yet concordant karyotypes, and discordance for CPM were documented phenomena, supporting karyotyping of both twins. In this case series, discordant NT was a marker for chromosome abnormalities, as well as for complications specific to monochorionic gestations, including TRAP sequence, amniotic fluid discordance, and structural anomalies. Nonetheless, normal fetal anatomy and karyotype were the most common outcomes.</t>
  </si>
  <si>
    <t>At 6-10 weeks' gestation there are sonographically detectable differences between euploid and trisomic embryos.</t>
  </si>
  <si>
    <t>Texas children with birth defects are more likely to have been delivered by CS than the population in general. For several types of defects, prenatal diagnosis is predictive of higher odds of CS; for others, especially fatal defects, PND predicts lower CS likelihood.</t>
  </si>
  <si>
    <t>Fetal limb abnormalities can be detected on sonography before 15 weeks' gestational age and are often associated with serious congenital conditions, especially trisomy 18. Transabdominal sonography alone can show most of these abnormalities, although transvaginal and 3-dimensional sonography can provide additional information. Targeted evaluation of fetal limbs during sonography before 15 weeks should be considered in high-risk populations.</t>
  </si>
  <si>
    <t>Direct exposure to anti-TNF treatment during pregnancy was not related to a higher incidence of adverse pregnancy outcomes than IBD overall.</t>
  </si>
  <si>
    <t>Amniocentesis is a reliable and low risk method. Cytogenetic findings in this series are similar to those reported in the literature. Most patients with fetal disease decided to have an abortion. The finding of two patients with a condition related with abnormal epigenetic regulation suggests that the magnitude of this risk remains to be defined.</t>
  </si>
  <si>
    <t>In this cohort of VLBW infants, survival among infants with T18, T13, or triploidy was very poor. This information can be used to counsel families.</t>
  </si>
  <si>
    <t>This article reviews the current literature on outcomes in pregnancies with an increased nuchal translucency and a normal karyotype. We summarize the range of outcomes detected in the first trimester with recommendations for further prenatal testing and counseling of patients.</t>
  </si>
  <si>
    <t>Children with trisomy 13 and trisomy 18 receive significant inpatient hospital care. Despite the conventional understanding of these syndromes as lethal, a substantial number of children are living longer than 1 year and undergoing medical and surgical procedures as part of their treatment.</t>
  </si>
  <si>
    <t>These data provide reliable information for parental counselling pertaining to risk of intrauterine death when trisomy 18 is diagnosed prenatally. These findings suggest that long-term survival implications for trisomy 18 are different when it is diagnosed prenatally.</t>
  </si>
  <si>
    <t>Parents who engage with parental support groups may discover an alternative positive description about children with T13-18. Disagreements about interventions may be the result of different interpretations between families and providers about the experiences of disabled children and their quality of life.</t>
  </si>
  <si>
    <t>Thorough antenatal evaluation should include karyotyping, detailed extracardiac and intracardiac assessment to accurately predict the risks of surgery. Prenatal counseling might be modified after the exclusion of additional anomalies. These data provide up-to-date information for parental counseling.</t>
  </si>
  <si>
    <t>T18 is increasing in prevalence because of maternal age and earlier surveillance. Prenatal diagnosis occurs mostly in the first trimester, without the intrinsic structures of a formal screening programme. These findings support the extension of first trimester combined screening to include T18 and T13.</t>
  </si>
  <si>
    <t>Knowledge on the clinical picture and on the prognosis of Edwards syndrome patients is of great importance regarding the neonatal care and the decisions about invasive treatments. The speed to have a confirmed diagnosis is important for making decisions about medical procedures. Often, interventions are performed under emergency conditions, without many opportunities for discussion, and they involve difficult medical and ethical issues.</t>
  </si>
  <si>
    <t>Our data, in accordance with the literature, support the idea that the presence of neural tube defects among patients with trisomy 18 is not coincidental (i.e., these defects are actually part of the spectrum of abnormalities presented in trisomy 18). Thus, the diagnosis of trisomy 18 should be considered in children with major neural tube defects, especially in the presence of other abnormalities or dysmorphisms.</t>
  </si>
  <si>
    <t>Pregnancies with double false-positive first trimester aneuploidy screening were associated with pregnancy/fetal abnormalities.</t>
  </si>
  <si>
    <t>One-third of women met with the palliative care team only once or twice prior to delivery, indicating a need for earlier referral to provide more comprehensive palliative care.</t>
  </si>
  <si>
    <t>We should strive to improve communication with parents by 1. Investigating these conditions further to be able to better inform parents and 2. Providing balanced information for families and personalised care for each child.</t>
  </si>
  <si>
    <t>There is variability in obstetricians' attitudes towards T18, with significant implications for management of affected pregnancies.</t>
  </si>
  <si>
    <t>We suggest that isolated cytogenetic aberrations can be regarded as BM involvement and cytogenetic evaluation of BM improves staging accuracy along with prognostic information for DLBCL patients.</t>
  </si>
  <si>
    <t>This large series provides information for professionals and women regarding the natural histories of trisomies 18 and 13. These pregnancies can go undiagnosed antenatally without routine anomaly scanning. While many fetuses die in-utero, postnatal survival is possible.</t>
  </si>
  <si>
    <t>Low-coverage whole-genome sequencing of maternal plasma DNA was highly accurate in detecting common trisomies. It also enabled the detection of other aneuploidies and structural chromosomal abnormalities with high positive predictive value.</t>
  </si>
  <si>
    <t>Short FL at the second-trimester anomaly scan is associated with a significantly higher relative risk of chromosomal abnormalities, and a substantially higher absolute risk for SGA and early preterm delivery.</t>
  </si>
  <si>
    <t>In this cohort of liveborn VLBW infants with T13 or T18, the timing of trisomy diagnosis affected the plan for care, survival was poor, and death usually occurred early.</t>
  </si>
  <si>
    <t>Among pregnancies without chromosomal or neural tube defects, prenatal sequential integrated screening provides information regarding risk across a variety of adverse pregnancy outcomes.</t>
  </si>
  <si>
    <t>Almost 700 women per year had a pregnancy with Edwards or Patau syndrome. Over 90% of these pregnancies were detected antenatally, with the increased use of first trimester screening for Down's syndrome resulting in the reduction in the mean gestational age at diagnosis of these syndromes.</t>
  </si>
  <si>
    <t>We report a higher birth prevalence than has previously been reported. The proportion of infants surviving with exomphalos remained unchanged over the time period.</t>
  </si>
  <si>
    <t>T18 is associated with a high risk of fetal and neonatal death. The majority of the patients present major malformations identified through ultrasound, such as congenital heart defects, which could help in identifying such cases prenatally.</t>
  </si>
  <si>
    <t>We described our nationwide 1-year experience with noninvasive prenatal genetic testing. It is expected that the present data will stimulate a debate regarding prenatal genetic testing and hopefully lead to improvements in the perinatal care system with respect to genetic counseling in Japan. © 2014 John Wiley &amp; Sons, Ltd.</t>
  </si>
  <si>
    <t>The presence of noDV might be useful in suspicion of monosomy X among cases with increased nuchal translucency, as well as in differentiating them from other aneuploidies. The combinations of aneuploidy markers with revDV are strong indicators of aneuploidy. revDV alone is a poor screening tool for aneuploidy and euploidy with CHD.</t>
  </si>
  <si>
    <t>In three out of 25,057 pregnancies (0.01%), non-invasive prenatal testing and fetal ultrasound would have missed a chromosomal anomaly that would have been identified by NT measurement. © 2015 John Wiley &amp; Sons, Ltd.</t>
  </si>
  <si>
    <t>Our results showed good screening performance of ultrasound-based risk calculation models. When the first trimester pattern of T18 is considered, an increased NT, tricuspid regurgitation, single umbilical artery, omphalocele and right dominant heart should be specifically searched for.</t>
  </si>
  <si>
    <t>Conventional GTG-banding along with molecular cytogenetic techniques is useful in detecting genomic alterations and rearrangements. Comprehensive characterization of chromosomal rearrangements like sSMC has the potential to save potentially healthy fetuses from being terminated.</t>
  </si>
  <si>
    <t>Measuring CRL at 9 weeks is useful for determining gestational days prior to measuring CRL at 11-13 weeks. After reconfirming the gestational age at 9 weeks, measuring CRL at 11-13 weeks is useful for predicting the incidence of trisomy 18 as well as SGA later in pregnancy.</t>
  </si>
  <si>
    <t>The unexpected declining trend in trisomy 13 in older mothers could not be explained by the risk factors examined in this study. There have been no other reports of trends in the prevalence of trisomy 13 in older mothers in recent years. There is further need for surveillance of trends in future and in other populations.</t>
  </si>
  <si>
    <t>It was found that multidisciplinary therapy based on surgery, including complete resections of recurrent lesions, offers long-term survival, even for cases which develop recurrent metastatic tumors or cases complicated with 18 trisomy.</t>
  </si>
  <si>
    <t>NIPT is currently the screening test with the highest detection rate (greater than 98%, with a false negative rate lesser than 0.5% and a sensitivity and specificity close to 100%), although it can vary from one chromosome to another. It is indicated for women with a result of high risk for trisomy 13, 18 and 21. This test has not been validated for low risk women or multiple pregnancies. In our series, the most frequent indication was advanced maternal age. The weight of the patients is important because it is a factor related to the percentage of fetal DNA. In cases with high risk for X monosomy in which the cytogenetic result was 46, XX, it is important to consider as much causes as possible, such as uniparental disomy (UPD), mosaicism and maternal contamination. Only in a case with W-A story the test was conducted specifically for fetal sex determination and confirmed by amniocentesis. In the cases of high-risk results, confirmation by an invasive method, before an obstetric decision, is indispensable. Further studies are still needed to continue the validation of this test by different molecular techniques and in other groups of patients.</t>
  </si>
  <si>
    <t>Although it is rare to screen positive for more than one condition, such results indicate a very high risk for chromosomal abnormality, fetal demise, or structural abnormality.</t>
  </si>
  <si>
    <t>Seventeen percent of procedures performed in children with trisomy 18 and 13 were otolaryngologic, highlighting the significant role of the otolaryngologist in the treatment of these patients. Surgical intervention may be considered as part of a balanced approach to patient care.</t>
  </si>
  <si>
    <t xml:space="preserve"> Our results confirm that prenatal ultrasound has high sensitivity in detection of T18 but is not predictive of the outcome of the continued pregnancies. The data on survival support that T18, even when antenatally diagnosed, cannot be considered as a uniformly lethal syndrome.</t>
  </si>
  <si>
    <t>Screening for fetal trisomies by cfDNA analysis of maternal blood, contingent on the results of the combined test, can be implemented easily in routine clinical practice. In the high-risk group from the combined test, most but not all women chose cfDNA testing rather than invasive testing. Performance of screening for trisomy 21 was superior by the cfDNA test than by the combined test. However, prenatal detection of trisomies and pregnancy outcome depend not only on performance of screening tests but also on parental choice.</t>
  </si>
  <si>
    <t>ELBW infants with EA/TEF are rare and result in high morbidity and mortality. Mortality is mainly related to complications not associated with EA/TEF repair. Fistula ligation followed by delayed anastomosis seems to achieve a better outcome in ELBW infants.</t>
  </si>
  <si>
    <t>M-CSF is a cytokine promoting placental growth and differentiation. M-CSF is known to be involved in the process of implantation in pregnancy. The role of M-CSF with respect to disturbed pregnancy outcomes such as placental insufficiency in normal or aberrant karyotypes, for example, is yet subject to further research.</t>
  </si>
  <si>
    <t>Fetal cystoscopy is accurate in the diagnosis of the etiology of LUTO and serves as a guide to the specific prenatal treatment. This procedure is associated with modest long-term survival (54%) but with adequate preserved normal renal function in two thirds of the infants among fetuses with PUV.</t>
  </si>
  <si>
    <t>Cardiac surgery was effective in prolonging survival by managing high pulmonary blood flow; however, the indication for surgery should be carefully considered on a case-by-case basis, because the risk of sudden death remains even after surgery. Patients' families should be provided with sufficient information to make decisions that will optimise the quality of life for both patients and their families.</t>
  </si>
  <si>
    <t>Cystic hygroma detected when crown-rump length measures below 45 mm have lower rates of chromosomal abnormalities and a higher proportion of normal birth outcomes when compared to those detected later in the first trimester. © 2016 John Wiley &amp; Sons, Ltd.</t>
  </si>
  <si>
    <t>Recent publications suggest that patients who receive a 'no call' result are at increased risk of aneuploidy. Some professional societies have therefore recommended that these patients undergo genetic counseling and be offered invasive diagnostic testing. NIPT technology that has a high failure rate may increase the false positive rates, decrease the positive predictive value, and increase the procedure-related pregnancy loss. © 2016 John Wiley &amp; Sons, Ltd.</t>
  </si>
  <si>
    <t>We found that the age-related risks are better described by sigmoidal functions, contrary to the widely assumed exponential functions. Our results indicate a lower age-related a priori risk of T21, T18 and T13 compared to widely used risk models. © 2016 John Wiley &amp; Sons, Ltd.</t>
  </si>
  <si>
    <t>A CAPP would be: anencephaly, severe pulmonary hypoplasia, acardiac foetus, cervical ectopia cordis, non-mosaic triploidy, limb body wall complex, body stalk anomaly, non-mosaic trisomy 13, non-mosaic trisomy 18, and bilateral renal agenesis. For their diagnosis, it is required that all pregnant women have access to assessments by foetal anatomy ultrasound and occasionally MRI, and cytogenetic and molecular testing.</t>
  </si>
  <si>
    <t>Regardless of desired level of neonatal INT, many women who continue pregnancies complicated by T13/18 have infants who survive beyond hospital discharge.</t>
  </si>
  <si>
    <t>Among children born with trisomy 13 or 18 in Ontario, early mortality was the most common outcome, but 10% to 13% survived for 10 years. Among children who underwent surgical interventions, 1-year survival was high.</t>
  </si>
  <si>
    <t>A significant proportion of infants with trisomy 18 were discharged home. These data are helpful in counseling parents of infants with trisomy 18.</t>
  </si>
  <si>
    <t xml:space="preserve"> In a prospective validation study, the first-trimester combined test detected 90%, 97% and 92% of trisomies 21, 18 and 13, respectively, as well as &gt; 95% of cases of monosomy X and triploidies and &gt; 50% of other chromosomal abnormalities, at a FPR of 4%. Copyright © 2016 ISUOG. Published by John Wiley &amp; Sons Ltd.</t>
  </si>
  <si>
    <t>These data provide a better basis for planning of services for live-born children affected by trisomy.</t>
  </si>
  <si>
    <t>This study was the first large population study performed with the aim of analyzing the performance of the combined test in Korea. This study demonstrated that the detection rates and other figures of the first trimester combined test are comparable to the results reported in other papers worldwide. Consequently, if strict conditions for good screening outcomes are achieved, the first trimester combined test might well be the earliest detectable screening, improving detection rates without increasing karyotyping or economic and other implications that inevitably ensue.</t>
  </si>
  <si>
    <t>Introduction of NIPT in the Dutch National healthcare-funded Prenatal Screening Program resulted in high uptake and a vast reduction of invasive testing. Our study supports offering NIPT to pregnant women at increased risk for fetal trisomy. © 2016 The Authors. Prenatal Diagnosis published by John Wiley &amp; Sons, Ltd. © 2016 The Authors. Prenatal Diagnosis published by John Wiley &amp; Sons, Ltd.</t>
  </si>
  <si>
    <t>In Japan, pregnancies with fetal trisomy 21 are more likely to result in TOP when diagnosed in utero than any other chromosome anomaly. The indications for prenatal karyotyping strongly affect the decision to TOP. © 2016 John Wiley &amp; Sons, Ltd.</t>
  </si>
  <si>
    <t>This review demonstrated some consensus on the ultrasound criteria for defining fetal megacystis, and illustrated the spectrum of pathologies and their relative frequencies that can cause this condition. It also underlined important associated karyotype anomalies. To progress understanding of the natural history of enlarged fetal bladders, more accurate diagnostics are required, and risk stratification needs to be refined to facilitate prenatal counseling.</t>
  </si>
  <si>
    <t>The assessment of these patients needs to involve the combined use of ultrasound, clinical, genetic, cytogenetic and molecular testing. The present results indicate that the chromosome breakage test should always be performed to rule out Fanconi anemia in this group.</t>
  </si>
  <si>
    <t xml:space="preserve"> The introduction of prenatal screening had limited impact on the time of detection and outcome of the most common trisomies. The introduction of the 20-week anomaly scan has resulted in more trisomy cases diagnosed &lt;24 weeks and a shift from fetal death to terminations.</t>
  </si>
  <si>
    <t>Risk stratification by anomaly type and birth weight may help provide more accurate family counseling for infants with T13 and T18.</t>
  </si>
  <si>
    <t>This first clinical utility study of cfDNA screening found higher uptake rates, patient understanding of basic concepts, and easy incorporation into routine obstetrical practices. There were no reported cases of aneuploidy among cfDNA test failures.Genet Med advance online publication 12 January 2017.</t>
  </si>
  <si>
    <t>Our study shows that the grade should not be considered a prognostic factor of neonatal outcomes. Our data suggests the need to reevaluate the concept of systematic amniocentesis. Sonographic evolution of fetal bowel is an independent, strong prognostic factor for good neonatal outcomes. It also better defines the FEB prognostic.</t>
  </si>
  <si>
    <t>Screening by analysis of cfDNA in maternal blood in singleton pregnancies could detect &gt; 99% of fetuses with trisomy 21, 98% of trisomy 18 and 99% of trisomy 13 at a combined FPR of 0.13%. The number of reported cases of SCA is too small for accurate assessment of performance of screening. In twin pregnancies, performance of screening for trisomy 21 is encouraging but the number of cases reported is small. Copyright © 2017 ISUOG. Published by John Wiley &amp; Sons Ltd.</t>
  </si>
  <si>
    <t>In-hospital mortality rate for all surgical risk categories was higher in patients with trisomy 13 or 18 than that reported for the general population. However, patients with trisomy 13 or 18, who were selected as acceptable candidates for cardiac intervention and who survived CHD intervention, demonstrated longer survival than previously reported. These findings can be used to counsel families and make program-level decisions on offering intervention to carefully selected patients.</t>
  </si>
  <si>
    <t>The prevalence of CA increased as maternal age increased. Cases with CA were associated with other congenital defects and high mortality risk.</t>
  </si>
  <si>
    <t>Our results are similar to those of the main studies on the FMF method of first trimester screening for aneuploidies. Our numbers are small because of limited availability of the very specialized resources involved.</t>
  </si>
  <si>
    <t>The vast majority of women with potentially life limiting fetal diagnoses are not referred to perinatal palliative care. Evaluation of how to integrate palliative care into high-risk obstetrics is needed.</t>
  </si>
  <si>
    <t>Both concomitant BDs and genetic anomalies increase the risk of mortality among infants with TOF. Future studies are needed to identify the underlying genetic and socioeconomic risk factors for high-risk TOF infants. Birth Defects Research 109:1154-1165, 2017. © 2017 Wiley Periodicals, Inc.</t>
  </si>
  <si>
    <t xml:space="preserve"> In a clinical setting with efficient cFTS, contingent screening offering women with a cFTS risk of ≥ 1 in 100 an invasive test and women with a risk from 1 in 100 to 1 in 1000 a cfDNA test had the same sensitivity for T21, T18 and T13, but significantly increased specificity, when compared with offering an invasive test to all women with a risk of ≥ 1 in 300. Implementing contingent screening would therefore reduce significantly the number of invasive tests performed at no loss of sensitivity. Copyright © 2017 ISUOG. Published by John Wiley &amp; Sons Ltd.</t>
  </si>
  <si>
    <t>Perinatal mortality was more likely to occur in women with glucose intolerance. In the Japanese infants that succumbed to perinatal mortality, fetal anomaly was more prevalent in those born to women with a glucose intolerance than in those born to the general population.</t>
  </si>
  <si>
    <t xml:space="preserve"> In our series, there were no cases of isolated congenital vertical talus, with additional anomalies variably affecting multiple systems including the brain, spine, face, viscera and limbs. When congenital vertical talus is identified prenatally, a thorough search for additional anomalies is indicated. Fetal MRI can be a useful adjunct in confirming the diagnosis and further delineating additional anomalies, particularly in the brain and spine.</t>
  </si>
  <si>
    <t>NIPT provides a very high quality for the fetal trisomies 21, 13 and 18 in clinical routine. The results support the recommendation that NIPT should be offered after genetic counseling and only in conjunction with a qualified ultrasound examination.</t>
  </si>
  <si>
    <t xml:space="preserve"> In our group of trisomy 13 and 18 patients, those able to undergo complete repair had improved outcomes. Patients undergoing complete repair were older and bigger; this suggests that delaying intervention and optimizing the likelihood of complete repair may be beneficial.</t>
  </si>
  <si>
    <t>Patients with t(11;18) translocation should be treated differently from others. Patients with extra copies of MALT1 could be initially treated with H. pylori eradication, similar to patients without t(11;18) translocation or extra copies of MALT1.</t>
  </si>
  <si>
    <t>CHS is associated with decreased in-hospital mortality in T18 and T13. These results suggest CHS may be beneficial in select cases.</t>
  </si>
  <si>
    <t>To which extent the major interventions should be withheld is an issue of debate in managing such infants; however, current approaches are subject to change, given the technological advances.</t>
  </si>
  <si>
    <t>These results show that MPSS and TMPS perform similarly in terms of clinical sensitivity and specificity for the detection of fetal T31, T18, T13 and sex chromosome aneuploidy (SCA). However, no study compared the two approaches head-to-head in the same cohort of patients. The accuracy of gNIPT as a prenatal screening test has been mainly evaluated as a second-tier screening test to identify pregnancies at very low risk of fetal aneuploidies (T21, T18 and T13), thus avoiding invasive procedures. Genomics-based non-invasive prenatal testing methods appear to be sensitive and highly specific for detection of fetal trisomies 21, 18 and 13 in high-risk populations. There is paucity of data on the accuracy of gNIPT as a first-tier aneuploidy screening test in a population of unselected pregnant women. With respect to the replacement of invasive tests, the performance of gNIPT observed in this review is not sufficient to replace current invasive diagnostic tests.We conclude that given the current data on the performance of gNIPT, invasive fetal karyotyping is still the required diagnostic approach to confirm the presence of a chromosomal abnormality prior to making irreversible decisions relative to the pregnancy outcome. However, most of the gNIPT studies were prone to bias, especially in terms of the selection of participants.</t>
  </si>
  <si>
    <t xml:space="preserve"> Absent fetal nasal bone is a highly specific ultrasonographic soft marker that should be included in the routine second trimester ultrasound scan.</t>
  </si>
  <si>
    <t>The majority of women who continue their pregnancy after a fetal diagnosis of T13 or T18 desire expectant management with palliative care. A live birth can be expected at least half of the time.
Mistura os resultados de T18 e T13, confundindo as coisas</t>
  </si>
  <si>
    <t>For pregnancies with a FF too low to receive a result on standard NIPT, the FFBR algorithm identified a subset of cases at increased risk for trisomy 13, trisomy 18 or triploidy. For the remainder of cases, the risk of a fetal chromosomal abnormality was unchanged from that expected based on MA and GA. © 2018 The Authors. Ultrasound in Obstetrics &amp; Gynecology published by John Wiley &amp; Sons Ltd on behalf of the International Society of Ultrasound in Obstetrics and Gynecology.</t>
  </si>
  <si>
    <t>Karyotyping and CMA are effective and accurate prenatal genetic techniques for identifying fetal chromosomal abnormalities associated with cardiac defects, and this can assist clinical doctors to perform appropriate genetic counselling with regard to the etiology and outcome of CHD.</t>
  </si>
  <si>
    <t>We describe one of the largest studies evaluating Ion Proton-based NIPS and the first clinical study reporting pregnancy outcome in a large series of patients. This platform is highly efficient in detecting the three most common trisomies. Our protocol is robust and can be implemented easily in any medical genetics laboratory. Copyright © 2018 ISUOG. Published by John Wiley &amp; Sons Ltd.</t>
  </si>
  <si>
    <t>This suggests that patients with DLBCL are likely to accumulate specific translocations depending on their age at the onset of DLBCL.</t>
  </si>
  <si>
    <t>Care practices and survival have changed over time for infants with T18, T13, bilateral renal agenesis, and skeletal dysplasias. This information will be useful for clinicians in counseling families and in shaping goals of care prenatally and postnatally.</t>
  </si>
  <si>
    <t>A select group of T13 and T18 CHD patients can undergo successful cardiac interventions, albeit with a higher mortality and resource use. T13 patients have higher mortality and resource use compared to T18. In T13 and T18 patients, interventions for CHD may be an acceptable and ethical option following a careful individualized selection and counseling by a team of experts.</t>
  </si>
  <si>
    <t>This study has demonstrated the feasibility of introducing cfDNA testing, contingent on the results of the first-trimester combined test for major trisomies, in a routine population of twin pregnancies. Copyright © 2018 ISUOG. Published by John Wiley &amp; Sons Ltd.</t>
  </si>
  <si>
    <t>This cfDNA prenatal screening assay provides highly accurate discrimination between affected and unaffected pregnancies among a population of pregnant women at average and high risk for fetal genetic abnormalities.</t>
  </si>
  <si>
    <t>Women who underwent CVS are not at higher risk for developing hypertensive disorders than women underwent amniocentesis.</t>
  </si>
  <si>
    <t>Children with trisomy 18 receive pediatric palliative care services, with variable age at referral and for a variable length of time. Further research is needed to understand the experience of children with trisomy 18 and their families receiving pediatric palliative care services.</t>
  </si>
  <si>
    <t>Understanding predictors that are associated with longer LOS and higher THC may be associated in hospital resource allocation for this vulnerable population of infants.</t>
  </si>
  <si>
    <t>Results of this study are consistent with those referenced in the literature, emphasizing the need of structured protocols and guidelines aiming early T13 and T18 diagnosis, prenatal care, gestation/parents follow-up, and counseling processes. For those couples with earlier diagnosis, a better follow-up and counseling during the prenatal care lead to the option for a support or palliative management of the newborn. Finally, when the counseling process is appropriate, it becomes easier to take decisions respecting the parent's autonomy and to look for better outcomes for both, the mother and the fetus.</t>
  </si>
  <si>
    <t>Most pregnancies complicated by anomalous FGR were associated with a structural defect. The presence of an associated genetic defect was invariably lethal, while those with a structural defect, in the absence of a confirmed genetic abnormality, survived into infancy in over 90% of cases, with an overall one in three chance of perinatal survival. These data can be used for counseling prospective parents. Copyright © 2019 ISUOG. Published by John Wiley &amp; Sons Ltd.</t>
  </si>
  <si>
    <t>Data from this nationally representative sample indicate that most centers offer surgical intervention for both patients with T13 and T18, even in highly complex patients. However, the overall mortality rate was high in this select patient cohort. The association of preoperative mechanical ventilation with mortality suggests that this subset of patients with T13 and T18 should perhaps not be considered surgical candidates. This information is valuable to clinicians and families for counseling and deciding what interventions to offer.</t>
  </si>
  <si>
    <t>This 5-year retrospective study on amniocentesis procedure showed that the majority of amniocentesis were safe as 86.0% of the patients were free from any complications. Anticipating its complication is important as there is always a risk even though it is a safe procedure in general.</t>
  </si>
  <si>
    <t>This study provides an international perspective on prevalence and mortality of T13 and T18. Overall outcomes and survival among LB were poor with about half of live born infants not surviving first week of life; nevertheless about 10% survived the first year of life. Prevalence and outcomes varied by country and termination policies. The study highlights the variation in screening, data collection, and reporting practices for these conditions.</t>
  </si>
  <si>
    <t xml:space="preserve"> Our clinical experience demonstrates that a customized WGS-based NIPS without a FF threshold achieves high accuracy while maintaining a low test-failure rate of 0.1%. As such, alternative strategies to ensure high accuracy of detection of common aneuploidies in samples with low FF (such as redraw after test failure, redrawing at a later gestational age, risk scoring based on FF) are not necessary for this screening approach. © 2019 The Authors. Ultrasound in Obstetrics &amp; Gynecology published by John Wiley &amp; Sons Ltd on behalf of the International Society of Ultrasound in Obstetrics and Gynecology.</t>
  </si>
  <si>
    <t>There is a significant relationship between lower SES, later prenatal diagnosis of trisomy, and higher live birth rate of T21 in Victoria.</t>
  </si>
  <si>
    <t>Although cfDNA is superior to the combined test, especially for the detection of trisomy 21, 34% of the congenital abnormalities occurring in fetuses with increased NT may remain undetected in the first trimester of pregnancy, unless cfDNA is used in combination with fetal sonographic assessment, including NT measurement.</t>
  </si>
  <si>
    <t>Respiratory support is effective against apnea in infants with trisomy 18. Intervention with ventilation provides a higher chance of prolonged survival. Improved survival leads to the accurate diagnosis and treatment of epilepsy-associated apnea.</t>
  </si>
  <si>
    <t>Prevalence of mosaicism in CVS samples is higher after CMA on uncultured tissue than after conventional karyotyping on cultured tissue. The risk of TFM is equally high in cases of mosaicism for CNVs and whole chromosomes.</t>
  </si>
  <si>
    <t>There is a rethinking of treatment behavior in children with trisomy 18. The possible quality of life achieved should be further investigated. It seems inappropriate to simply dismiss medical interventions.What is Known• Until recently, trisomy 18 was considered a disease incompatible with life. The most common behavior was abortion and denial of treatment.What is New• It is no longer considered a lethal disease. The type of medical intervention that is appropriate to perform is now being discussed. Selected children benefit from an interventionist approach.</t>
  </si>
  <si>
    <t>Although significant advances have been made in noninvasive methods such as NIPT, CVS is still a reliable technique for cytogenetic diagnosis in early gestation.</t>
  </si>
  <si>
    <t>We identified predictors of mortality in patients with esophageal atresia in a large prospective cohort. Parents of children with esophageal atresia must be counselled appropriately as to the likelihood of death after discharge from hospital.</t>
  </si>
  <si>
    <t>Aggressive surgical interventions contribute not to the long-term survival but to achieve homecare among individuals with trisomy 18. EVIDENCE LEVEL: Level 3 (Prognostic study, Case-Control study).</t>
  </si>
  <si>
    <t>Our study illustrates the clinical and genetic heterogeneity of HPE and describes different chromosomal abnormalities associated with HPE.</t>
  </si>
  <si>
    <t>Understanding parental motivations and perceptions on the child's quality of life has potential to inform care teams in considering cardiac interventions for children with trisomy 18 and trisomy 13.</t>
  </si>
  <si>
    <t>Our results revealed that mosaicism contributes to a major cause of false negative in NIPS, and highlighted the importance of ultrasound in identifying these false-negative results.</t>
  </si>
  <si>
    <t>Despite the fact that paediatric surgical care is organized in a decentralized manner in Germany, the mortality rates for gastroschisis and omphalocele are equal to those reported in international data.</t>
  </si>
  <si>
    <t>The results of our study suggest that T13 and T18 patients are at increased risk for OSA due to common features found in this population. These findings indicate a need for otolaryngologist intervention to increase both survival and quality of life in this population.</t>
  </si>
  <si>
    <t>This detailed information about mortality and morbidity of preterm VLBW infants with birth defects should be useful for genetic counseling as well as prenatal and neonatal care, with the limitation that we lacked information about the timing of diagnosis, abortion, or stillbirth.</t>
  </si>
  <si>
    <t>In this data set, patients with trisomy 18 undergoing noncardiac surgical procedures experience excellent surgical outcomes with minimal morbidity and low mortality. Most patients more than a year of age will experience similar outcomes to patients without trisomy 18. TYPE OF STUDY: Treatment study (retrospective comparative study) LEVEL OF EVIDENCE: Level III.</t>
  </si>
  <si>
    <t>The application of NIPT as a secondary screening for women with low- and critical-risk pregnancies as determined by serological screening but with MoM abnormalities will greatly reduce the number of invasive prenatal diagnosis procedures, significantly improve the rate and accuracy of fetal chromosomal abnormality detection.</t>
  </si>
  <si>
    <t>NIPT for T21 and T18 and SCAs screening were ideal, and the PPVs for trisomy 13 (T13), RATs, and CNVs were low. For the AMA and VS groups, NIPT could be used as a first-line screening program; for SSHR and SSIR groups, NIPT could be used as a second-line supplementary screening program.</t>
  </si>
  <si>
    <t>There is no gestational age upper limit for cfDNA use in the clinical practice. Most of the time, cfDNA was used in late gestation for reassurance in patients who is at low risk for aneuploidies but had second-trimester soft markers on ultrasound.</t>
  </si>
  <si>
    <t>With regards to T13 and T18, live birth rates show that some parents may achieve the goal of spending time with their baby in the immediate postpartum period. This information will act as a valuable resource in our counselling.</t>
  </si>
  <si>
    <t xml:space="preserve"> Although complications are frequent, the mortality rate in patients with T13 and T18 remains within the reported range for the general pediatric population. T13 and T18 alone should not be viewed as absolute contraindications to ECLS within the pediatric population but rather considered during the evaluation of a patient's potential candidacy.</t>
  </si>
  <si>
    <t>Although most trisomy 13/18 patients survive cardiac surgery, these patients have an increased incidence of airway complications, requiring longer intensive respiratory support postoperatively that contributes to longer length of stay. Parental guidance before cardiac surgery should include a discussion about postoperative airway management.</t>
  </si>
  <si>
    <t>This systematic review and meta-analysis summarises estimates of long-term survival associated with major congenital anomalies. We report a significant improvement in survival of children with specific congenital anomalies over the last few decades and predict survival estimates up to 20 years of age for those born in 2020. This information is important for the planning and delivery of specialised medical, social, and education services and for counselling affected families. This trial was registered on the PROSPERO database (CRD42017074675).</t>
  </si>
  <si>
    <t>NIPT has the potential to be used in prenatal screening for VTS pregnancies. For the pregnant women who obtained positive and testing failure results, resampling after 15 weeks of gestation is recommended.</t>
  </si>
  <si>
    <t>The results of present study showed 100% PPV effectiveness of NIPT Panorama test detecting trisomies of 21 and 18 chromosomes, as well as XYY syndrome in the studied cohort. Therefore, NIPT due to its high PPV, significantly reduces the need for invasive testing, thereby reducing the risk of miscarriage and stillbirth.</t>
  </si>
  <si>
    <t xml:space="preserve"> The total number of NIPT analyses was low compared with the number of invasive procedures in the implementation period. In contrast to the generally high termination rate after a positive result following invasive testing in Denmark, a high proportion of true-positive NIPT results from the public setting resulted in live births. NIPT may be an important risk-free alternative to invasive testing for a minority of women in the public setting who wish to use prenatal genetic testing for information only and not for reproductive decision-making.</t>
  </si>
  <si>
    <t>This large multicenter study confirms that cell-free DNA testing is the most accurate screening test for trisomy 21 in twin pregnancies, with screening performance similar to that in singletons and very low failure rates (0.31%). The predictive accuracy for trisomies 18 and 13 may be less. However, given the low false-positive rate, offering first-line screening with cell-free DNA to women with twin pregnancy is appropriate in our view and should be considered a primary screening test for trisomy 21 in twins.</t>
  </si>
  <si>
    <t>In Japan, the median survival time of infants with trisomy 18 increased over time, and the proportion of death within 24 h and at ≥1 year increased. Greater acknowledgement of the possible benefits of surgical intervention likely led to the increased provision of interventions and contributed to the increased survival time.</t>
  </si>
  <si>
    <t>Two-stage ICR improves the long-term survival of patients with VSDs and T18. This safe surgical strategy can also prevent pulmonary hypertension in such patients.</t>
  </si>
  <si>
    <t>Difficult airway management and respiratory compromise were critical concerns during the perioperative period in our patient population, and the inability to ventilate could lead to cardiorespiratory arrest. This case series provides a comprehensive, longitudinal view of complete trisomy 18 patients in the perioperative period and adds information for counseling families and care providers.</t>
  </si>
  <si>
    <t>Salivary gland MALT lymphoma is associated with autoimmune diseases, and trisomy 3 is the most common genetic change. Trisomy 18 can be used to predict the possibility of tumor relapse.</t>
  </si>
  <si>
    <t>In twin pregnancy, the reported DR of trisomy 21 by cfDNA testing is high, but lower than that in singleton pregnancy, whereas the FPR appears to be equally low. The number of cases of trisomy 18 and more so trisomy 13 was too small for accurate assessment of the predictive performance of the cfDNA test. © 2021 International Society of Ultrasound in Obstetrics and Gynecology.</t>
  </si>
  <si>
    <t>Our study demonstrates that the expanded NIPT detects fetal trisomies 21, 18, and 13 with high sensitivity and specificity. The accuracy of detecting SCAs, RATs, and CNVs is still relatively poor and needs to be improved. With a high-risk expanded NIPT result, the women at high risk for common trisomies are more likely to undergo invasive prenatal diagnosis procedures and terminate their pregnancies than those with unusual chromosome abnormalities.</t>
  </si>
  <si>
    <t>High-risk pregnant women with cell-free DNA test failure are at increased risk of adverse pregnancy outcomes. A second sampling for cell-free DNA test or maternal serum screening might be suggested to low-risk women. Invasive prenatal diagnosis should be offered to the high-risk patients, especially those with a second cell-free DNA test failure.</t>
  </si>
  <si>
    <t>Most of the cases with an omphalocele can be diagnosed in the first trimester. Cardiac anomalies were the most common associated anomalies, while trisomy 18 is the most common chromosomal anomaly. Thus, earlier and effective counseling can be made about the prognosis of pregnancy.</t>
  </si>
  <si>
    <t>Genome-wide NIPT performed accurately for detection of aneuploidy in dichorionic-diamniotic twin gestations.</t>
  </si>
  <si>
    <t>NGS of the fetal free DNA from the peripheral blood of pregnant females was an important complement to the prenatal diagnosis of chromosomal disorders represented by fetal chromosome aneuploidy with high sensitivity and specificity. In combination with the traditional karyotyping by amniocentesis, it could improve the diagnostic efficacy for fetal chromosomal disorders.</t>
  </si>
  <si>
    <t>Our study found that compared with karyotype, chromosomal microarray analysis improves the detection of genetic anomalies in fetuses diagnosed with isolated fetal growth restriction. These results support the use of chromosomal microarray analysis in addition to karyotype for isolated fetal growth restriction.</t>
  </si>
  <si>
    <t>Infants with T13 or T18 at CHNC NICUs represent a select group for whom parents may have desired more intensive treatment. Survival to NICU discharge was possible, and surviving infants had a longer hospital stay and needed more discharge supports.</t>
  </si>
  <si>
    <t>NIPT is indicated for trisomies 21, 18 and 13 screening, especially for T21. It also has some certain reference value for SCA and CNV, but is not recommended for screening of other chromosomal aneuploidy.</t>
  </si>
  <si>
    <t>We highlight a decreased inpatient mortality rate during the study period. The number of children undergoing interventions such as gastrostomy tube and tracheostomy increased, as did the number of children undergoing cardiac intervention. Although the number of procedures has increased with the mortality rate decreasing, it is unclear at present whether the 2 are related.</t>
  </si>
  <si>
    <t>In conclusion, being born at VLBW may not be fatal for infants with T18 undergoing active interventions.</t>
  </si>
  <si>
    <t>SNP-based testing by a Swiss genetics center confirms the expected accuracy of NIPT in FCA detection.</t>
  </si>
  <si>
    <t>NIPT is an ideal prenatal test for IVF-pregnant women due to its high sensitivity and specificity in screening for fetal aneuploidy.</t>
  </si>
  <si>
    <t xml:space="preserve"> In women at a low risk for aneuploidy, single-nucleotide-polymorphism-based cell-free DNA has high sensitivity and specificity, positive predictive value of 85.7% for trisomy 21 and 74.3% for the 3 common trisomies. Patients who receive a no-call result are at an increased risk of aneuploidy and require additional investigation.</t>
  </si>
  <si>
    <t>Approximately, one-third of T18 and T13 neonates, who had surgery, died, underscoring the lethality of these trisomies and the need for a comprehensive preoperative ethical discussion with families of these children.</t>
  </si>
  <si>
    <t>The high uptake of NIPT in NHS antenatal screening pathway conditions should inform planning for other national screening programmes.</t>
  </si>
  <si>
    <t xml:space="preserve"> Less than 50% of fetuses with prenatally diagnosed CNS anomalies resulted in live births. Even if they survive till delivery, 36.45% of them passed away within 2 years and 62.79% of children who survived till 2 years old had neurodevelopmental disability.</t>
  </si>
  <si>
    <t>Although many infants with T13 or T18 did not survive past the first week of life, nearly 20% lived for more than 1 year with varying degrees of medical support. The length of survival for an infant cannot be easily predicted, and surviving infants have high health care use throughout their lifespans.</t>
  </si>
  <si>
    <t xml:space="preserve"> Recent studies show that the labels of "incompatible with life"/"lethal" are not adequate, establishing a need to change this mindset. • The development of pediatric palliative care teams in the last decade and early referral allow for an optimal individualized advanced care plan. Under-referral to pediatric palliative care teams persists and efforts must be made to increase awareness of their existence and role in patient care.</t>
  </si>
  <si>
    <t xml:space="preserve"> Our results were generally similar to nationwide data for Japan. NIPT providers can provide more detailed and individualized genetic counseling for each situation by understanding their own medical facility's data in detail.</t>
  </si>
  <si>
    <t>Trisomy 18 and trisomy 13 of chromosomal anomalies are frequently associated with VLBW infants with CHD. The mortality of VLBW infants with CHD is high, even when chromosomal anomalies are excluded. Sepsis has a significant impact on death in VLBW infants with CHD.</t>
  </si>
  <si>
    <t>NIPT has high accuracy, specificity and and can effectively avoid the occurrence of birth defects, but it cannot replace prenatal diagnosis. The accuracy, specificity, and sensitivity of NIPT in detecting sex chromosomes, chromosome microdeletion/microduplication, and other chromosomal abnormalities should be improved.</t>
  </si>
  <si>
    <t>Nasal bone hypoplasia is a highly specific soft marker that is associated with multiple chromosomal abnormalities. The risk of chromosomal abnormalities increases when combined with structural abnormalities or increased nuchal translucency (NT). Chromosomal microarray analysis is a powerful prenatal test for chromosomal abnormalities, which may be warranted in fetuses with nasal bone hypoplasia.</t>
  </si>
  <si>
    <t>The performance of SNP-based NIPT in this large twin cohort was comparable to previously reported twin NIPT studies. SNP-based NIPT allows for zygosity-based PPV assessment.</t>
  </si>
  <si>
    <t>These results suggest that the distribution characteristics of cfDNA nucleosomes in maternal plasma can be used to reflect the status of fetal development and changes of the immune responses in trisomic pregnancies. Overall, our findings may provide research ideas for non-invasive detection of the physiological and pathological states of other diseases.</t>
  </si>
  <si>
    <t>Trisomy 13 and 18 patients have vast surgical needs. Variant trisomy was associated with lower mortality after surgery while general surgical comorbidities were associated with increased mortality after surgery. Those who survived to undergo surgery survived longer overall. LEVEL OF EVIDENCE: III.</t>
  </si>
  <si>
    <t xml:space="preserve"> In our cohort, infants with T18 had lower live birth rates and shorter survival than in the current literature from HIC. This may be due to the implementation of non-aggressive intrapartum care and comfort care for the neonates. This has implications for counselling in our setting.</t>
  </si>
  <si>
    <t>Most FM are detected in the 2nd trimester, most are electively terminated, are associated with other ultrasonic abnormalities in 75%, most commonly umbilical cord cyst, and have an identifiable cause in 44%.</t>
  </si>
  <si>
    <t>Cardiac operation with an emphasis on complete repair can be performed safely in carefully selected children with trisomy 13 or trisomy 18. Hospital resource use measured by postoperative intensive care and hospital stays is considerably greater compared with nontrisomy 13 and 18.</t>
  </si>
  <si>
    <t>Short-term outcomes for T18CHS patients are encouraging, suggesting a freedom from in-hospital mortality that resembles the T18NoCHD. The highlighted socio-economic differences between the groups warrant further investigation. Development of a prospective registry for T18 patients should be a priority for better understanding of longer-term outcomes.</t>
  </si>
  <si>
    <t>In France, in the case of foetal trisomy 18, most women request termination of pregnancy. In the post-natal period, the management of a newborn with trisomy 18 is oriented towards palliative care. The mother's risk of obstetrical complications should be part of counselling. Follow-up, support and safety should be the goal of management of these patients, regardless of the patient's choice.</t>
  </si>
  <si>
    <t>This multi-registry European study found that despite extremely high neonatal mortality in children with T13 and T18, 32% and 21%, respectively, of those who survived to 4 weeks were likely to survive to age 10 years. These reliable survival estimates are useful to inform counselling of parents after prenatal diagnosis.</t>
  </si>
  <si>
    <t>NIPT is a high-performing routine primary prenatal screening test in twin pregnancies, with high sensitivity and specificity in screening for fetal aneuploidy.</t>
  </si>
  <si>
    <t>The chromosomal abnormalities presented in up to 31.8% of cases diagnosed with omphalocele. Moreover, for cases with normal genetic testing results, the propensity for additional structural defects was high and the prognosis remains poor. Counseling parents to consider their option of terminating the pregnancy is appropriate.</t>
  </si>
  <si>
    <t>Congenital heart defects in female fetuses with intrauterine growth restriction in 3rd trimester with polyhydramnios and in subsequent pregnancy, regardless of maternal age, were typical prenatal findings for Trisomy 18. Heart defects with incomplete septum such as AVC or VSD (which nowadays can be detected in the 1st half of the pregnancy) were the most common anomaly in Edwards Syndrome. These heart defects did not require intervention in the early neonatal period.</t>
  </si>
  <si>
    <t>Patients with a diagnosis of trisomy 13 or 18 often require multidisciplinary management and the range of required care spans the breadth of otolaryngology. LEVEL OF EVIDENCE: 4 Laryngoscope, 133:1501-1506, 2023.</t>
  </si>
  <si>
    <t>We suggest these data could be used in ante- and postnatal counseling. Ethical concerns about the prolonged survival of children with T18 remain; however, the potential benefits of interventions for congenital heart disease in this population need further study.</t>
  </si>
  <si>
    <t>Increased NT was associated with high risk of chromosomal abnormalities and structural anomalies. Chromosomal abnormalities and structural defects could be detected when NT thickness was between 95th centile and 2.5 mm.</t>
  </si>
  <si>
    <t>Prenatal ultrasound exhibited a high accuracy to assess the type of facial clefts with an average rate of 88.9% (73.7%-93.7%) and a concordance rate of up to 93.7%, depending on the type of cleft. The search for additional malformations as well as clarifying underlying genetic conditions is essential. This allows for a targeted counseling of the parents and to best prepare for postnatal care, including surgery by the maxillofacial team.</t>
  </si>
  <si>
    <t>Syndromic CDH is rare and only 3.4% of the reported cases of CDH have a known syndrome or association, but, if including patients with two dysmorphic features malformations, in addition to CDH, altogether as many as 8.2% have a diagnosed or suspected genetic condition. These children have with lower survival rates. Given higher rates of non-repair and decreased extracorporeal life support use, along with a high early mortality, decision-making regarding goals of care clearly influences outcomes. Survival varies depending on the genetic cause. Early genetic diagnosis is important and may influence the decision-making.</t>
  </si>
  <si>
    <t>QF-PCR combined with ultrasound in early pregnancy can effectively improve the accuracy of prenatal diagnosis of fetal chromosome aneuploidy, especially for high-risk pregnant women with a high, positive, predictive value, providing a feasible detection method for clinical practice.</t>
  </si>
  <si>
    <t>Crown-rump length discordance in dichorionic twins is associated with an increased risk of aneuploidy, structural anomalies, and adverse perinatal outcomes, even without other sonographic abnormalities. Cell-free DNA screening demonstrated high sensitivity and negative predictive values irrespective of crown-rump length discordance; however, 1 false-negative result illustrated that there is a role for diagnostic testing. These data may prove useful in identifying twin pregnancies that may benefit from increased screening and surveillance and are not ascertained by other early sonographic markers.</t>
  </si>
  <si>
    <t>NIPT has demonstrated its efficacy as a screening tool in the face of increasing maternal age. As a result, it can substantially decrease the requirement for invasive prenatal diagnosis. Nonetheless, there are instances of erroneous positive outcomes in NIPT testing, and therefore, interventional prenatal diagnosis remains necessary for individuals with high-risk screening outcomes to prevent false positives or unwarranted labor induction.</t>
  </si>
  <si>
    <t>Through multidisciplinary collaboration, we successfully created a patient-centered approach for counseling families facing a diagnosis of T13/T18. Other institutions may use our approach as a model for developing their own standardized approach. KEY POINTS: · Trisomy 13 and trisomy 18 are associated with high but variable morbidity and mortality.. · Research on which patients are most likely to benefit from surgery is lacking.. · We present our institution's framework to counsel families with fetal/neonatal T13/T18..</t>
  </si>
  <si>
    <t>NIPT-Plus has great potential for the detection of aneuploidies and microdeletion/microduplication syndromes owing to its high sensitivity, safety, and specificity, which greatly reduces unnecessary invasive procedures and the risk of miscarriage and allows informed maternal choice.</t>
  </si>
  <si>
    <t>The prognosis of fetuses with nonisolated omphalocele varies greatly, and individualized analysis should be performed to determine fetal retention carefully. Routine karyotyping with CMA testing should be provided for fetuses with omphalocele. WES is an option if karyotype and CMA tests are normal. If the fetal karyotype is normal and no associated abnormalities are observed, fetuses with omphalocele could have a high survival rate, and most will have a good prognosis.</t>
  </si>
  <si>
    <t>NIPS yielded high PPVs for trisomy 21, 18, and 13 aneuploidies and moderate PPVs for SCAs and CNVs. The screening effectiveness was closely related to the size of CNV fragments. Larger CNVs, especially larger than 5 Mb, could be detected more accurately by NIPS in our analytic technique. Meanwhile, diagnostic confirmation by microarray analysis was highly recommended.</t>
  </si>
  <si>
    <t xml:space="preserve"> The proportion of surgeries, preterm births and mortality was high in infants with major congenital anomalies. The establishment of a national registry of congenital anomalies and systematic support by national medical policies are needed for infants with major congenital anomalies in Korea.</t>
  </si>
  <si>
    <t>We treat congenital intestinal atresia in extremely low birth weight infants with severe chromosomal abnormalities and severe cardiac malformations as follows: Stoma creation is performed quickly to avoid deterioration of the patient's hemodynamics. After that, while continuing enteric management, palliative cardiovascular surgery is performed as necessary, and the patient's body weight and intestinal tract status are determined to allow safe intestinal reconstruction.</t>
  </si>
  <si>
    <t>These findings can have significant implications for clinical care, and thus knowledge of trends has the potential to improve counseling on expected clinical course, presurgical planning, and informed consent before interventions.</t>
  </si>
  <si>
    <t>This study provides insight into the accurate risk of fetal aneuploidies that pregnant women of advanced ages encounter.</t>
  </si>
  <si>
    <t>A high AFAFP level (&gt;2.0 MoM) in midtrimester can be associated with abnormal fetal outcome, including chromosomal abnormalities, major structural abnormalities, and adverse obstetric events. Women with a prenatal diagnosis of high AFAFP levels (&gt;2.0 MoM) should be alerted of the possibility of abnormal fetal outcomes, and further detailed genetic studies and serial sonographic examinations are recommended.</t>
  </si>
  <si>
    <t>Neonatal intensive care for neonates with 18 trisomy significantly improved not only survival rates but also survival-discharge rates. Our findings would be helpful in providing 18 trisomy neonates with standard neonatal intensive care when discussing medical care with their parents.</t>
  </si>
  <si>
    <t>This study provides information that will aid the clinical decision-making process for patients with oesophageal atresia and trisomy 18. Radical surgery may be a safe and feasible treatment option.</t>
  </si>
  <si>
    <t xml:space="preserve"> Although cardiac surgery contributed positively to survival in patients with trisomy 18, the mortality rate was still high due to non-cardiac causes. We believe that a multidisciplinary approach would contribute positively to the treatment of this patient group with multi-organ failure and would aid in prolonging their life span.</t>
  </si>
  <si>
    <t>Patients with T13 and T18 have high morbidity and mortality, and long hospital and ICU stays. Multicentric studies are needed to allow the analysis of important aspects for creating protocols that, seeking therapeutic proportionality, may bring better quality of life for patients and their families.</t>
  </si>
  <si>
    <t>As an add-on to cFTS, the atypicality index identifies women with typical measurement profiles, which may provide reassurance, whereas atypical profiles may warrant specialist referral and further investigation. In pregnancies identified as low risk on cFTS but with a highly atypical distribution of NT, PAPP-A and β-hCG, the risk of a chromosomal aberration is substantially increased. The atypicality index optimizes the interpretation of pre-existing prenatal screening profiles and is not limited to cFTS markers or EFW. © 2023 International Society of Ultrasound in Obstetrics and Gynecology.</t>
  </si>
  <si>
    <t>This is the first set of recommendations collated by an expert multidisciplinary group to address specific issues around indications for surgical intervention in children with trisomy 13 or trisomy 18 with congenital heart defect. Based on our analysis of recent data, we recommend that decisions should not be based solely on the presence of trisomy but, instead, should be made on a case-by-case basis, considering both the severity of the baby's heart disease as well as the presence of other anomalies. These recommendations offer a framework to assist parents and clinicians in surgical decision making for children who have trisomy 13 or trisomy 18 with congenital heart defect.</t>
  </si>
  <si>
    <t>Perinatal prognosis regarding SUA is significantly poorer than in cases without this pathology. One-third of fetuses with SUA were associated with fetal anomalies. The most common pathologies associated with SUA were cardiovascular, limb, urogenital, and digestive system malformations. Our data are similar to those described in other studies; therefore, we conclude, we can implement the general recommendations in our region regarding counselling patients.</t>
  </si>
  <si>
    <t>Patients with T13 or T18 and CHD receive surgical palliation, but at a low prevalence (≤17%) nationally. Given operative mortality &lt;10%, opportunity exists perhaps for quality improvement in the performance of cardiac surgery for these vulnerable patient populations.</t>
  </si>
  <si>
    <t>Rapid aneuploidy testing using the QF-PCR technique is a simple, reliable, time- and cost-effective method sufficient to conclude the etiologic investigation in the majority of holoprosencephaly cases post-mortem.</t>
  </si>
  <si>
    <t>T18 does not preclude resection with curative intent for hepatoblastoma. Combination of surgery and chemotherapy should be considered in children on an individualized basis depending on tumor characteristics and underlying cardiopulmonary comorbidities. Locoregional modalities may have a role in the setting of severe comorbidities. LEVEL OF EVIDENCE: Level IV evidence.</t>
  </si>
  <si>
    <t>NIPT performed well in screening for T21, T18, and T13. Our discoveries offer an important and useful guideline in laboratory and clinical genetic counseling.</t>
  </si>
  <si>
    <t>We found that corpus callosum abnormalities are often linked to chromosomal problems. We recommend that a cytogenetic test be performed in all cases to rule out inherited diseases. Also, the long-term outcome does not just depend on the disease's severity and the associated other conditions, and hence proper follow-up and early development are also key. For this reason, close teamwork between neonatology, developmental neurology, and pediatric surgery is vital.</t>
  </si>
  <si>
    <t>Although rare, double-positive multiple marker screening results are associated with an increased risk of preterm birth and other adverse perinatal outcomes, even when excluding all identified chromosomal abnormalities.</t>
  </si>
  <si>
    <t>Controversy exists regarding the role of primary cardiac repair in patients with trisomy 13/18 and congenital heart disease. Cardiac repair can be performed safely with low early mortality and operated patients had higher long-term survival compared with nonoperated in our cohort.</t>
  </si>
  <si>
    <t>The outcomes of congenital clubfoot are generally favorable, especially in isolated cases.</t>
  </si>
  <si>
    <t>cfDNA has high diagnostic accuracy in detecting fetal trisomies 21, 18 and 13 in women experiencing miscarriage, while its accuracy for other autosomal aneuploidies and CNVs is only moderate. © 2024 International Society of Ultrasound in Obstetrics and Gynecology.</t>
  </si>
  <si>
    <t>Our findings demonstrate the increasing efficiency and accessibility of NIPT in prenatal care in Croatia, while the significant reduction in TAT and the decreasing age of women undergoing NIPT reflect enhanced operational practices and broader acceptance. Introducing NIPT into the public healthcare system in the Republic of Croatia could improve equitable access to advanced prenatal care and enhance pregnancy outcomes. Future advancements in technology and genetic counselling will further enhance its role, requiring careful attention to ethical and regulatory considerations.</t>
  </si>
  <si>
    <t>Tricuspid atresia can be accurately diagnosed in utero with a thorough echocardiographic evaluation. Restrictive VSD and outflow tract obstructions are critical determinants of early survival, while abnormal DV Doppler patterns may serve as additional markers for adverse outcomes. More extensive studies are needed to validate these findings and improve prognostic counseling.</t>
  </si>
  <si>
    <t>This study demonstrates that the SACA chip, combined with an automated image positioning system, can efficiently isolate single fetal nucleated red blood cells (FnRBCs) from 50 million PBMCs in 2 mL of maternal blood, completing STR analysis within 120 min. With higher purification efficiency compared to existing NIPT methods, this platform shows great promise for prenatal diagnostics and potential applications in other clinical fields.</t>
  </si>
  <si>
    <t>despite the severity of the diagnosis, couples may choose to continue the pregnancy and give birth. Our study shows that trisomy 18 is not merely a lethal condition and the Perinatal Hospice plays a crucial role in supporting these families.</t>
  </si>
  <si>
    <t xml:space="preserve"> Although further studies are mandatory, surgical closure of ventricular septal defect may be an effective treatment option even for children with trisomy 18.</t>
  </si>
  <si>
    <t>The integration of karyotyping, CNV-seq, and QF-PCR provides superior diagnostic yield compared to individual testing strategies in high-risk pregnancies. Although karyotyping remains the gold standard for detecting major chromosomal aberrations, CNV-seq and QF-PCR enhance diagnostic precision through detection of submicroscopic variations. Multi-center studies with larger cohorts are needed to confirm these findings and clarify the clinical significance of uncertain variants.</t>
  </si>
  <si>
    <t>Prenatal diagnosis for high-risk rare autosomal trisomies typically reveals a normal karyotype with no detectable chromosomal abnormalities, and most cases can achieve full-term pregnancy outcomes. However, adverse pregnancy outcomes such as preterm birth, fetal demise, placental abnormalities, and intrauterine growth restriction are common and should be given clinical attention and consideration.</t>
  </si>
  <si>
    <t>GT status predicted 30-day post-discharge survival in our cohort. GT patients had reduced overall mortality risk compared to non-GT patients. In patients with expected survival to initial discharge and feeding difficulty, GT placement at or after initial admission may be associated with improved survival outcomes. LEVEL OF EVIDENCE: III.</t>
  </si>
  <si>
    <t>A sizeable number of publications grouped trisomy 18 with other syndromes. Relatively few showed the longitudinal evolution of medical issues associated with trisomy 18, nor did they unfold the clinical heterogeneity of this population. This review shows the limited knowledge base guiding decision-making and care for children born alive with trisomy 18.</t>
  </si>
  <si>
    <t>Ultrasound screening for the detection of congenital heart disease is feasible early in pregnancy, but some anomalies would be obvious later in pregnancy. An early diagnosis using an extended ultrasound protocol, genetic testing, and a multidisciplinary evaluation would improve the prognosis and the overall survival rate by delivering in a tertiary center that allows for rapid cardiac surgery in dedicated cases.</t>
  </si>
  <si>
    <t>Large umbilical cord cysts are correlated with uncertain prognosis. We made the conclusion that large umbilical cord cystic lesions might have an unfavorable prognosis. Although there are case series that have shown an unproblematic evolution of the pregnancy, large umbilical cysts could be associated with increased risk of fetal anomalies and intrauterine fetal death.</t>
  </si>
  <si>
    <t>Our findings confirm that while CHs have a strong association with common trisomies and Turner syndrome, there is a proportion of cases with nonaneuploidy genetic diagnoses. Forty percent of cases are also associated with other structural anomalies that may be able to be elicited with a detailed first trimester anatomic ultrasound. Further studies should explore modifiers of CH outcomes to allow for more accurate and tailored patient counseling.</t>
  </si>
  <si>
    <t>The first trimester non-biochemical FMF algorithm is sufficiently effective in predicting common trisomies, particularly trisomy 21. This simple approach can be easily implemented in clinical practice, including healthcare facilities that lack access to maternal blood testing services.</t>
  </si>
  <si>
    <t>Trisomy 18 is not a homogeneous clinical condition. Some children may have their lives extended to spend their lives at home with their families.</t>
  </si>
  <si>
    <t>Overall, we believe that the patients need to be recruited for a detailed ultrasonographic examination, as well as CNS and CVS examinations, following the diagnosis of SUA and that interventional diagnostic tests need to be applied to those with structural anomalies. Although genetic diagnostic tests are not required among iSUA cases, we found that cases with iSUA had higher IUFD in the second trimester, premature birth, low birth weight, and need for cesarean section.</t>
  </si>
  <si>
    <t>A strongly significant relationship exists between NT measurements, and the results of NIPT/pregnancy outcomes. NIPT and ultrasound help guide counseling and management of cases with increased NT, notably between 2.5- and 3.4-mm. IMPLICATION: The combination of first trimester ultrasound findings and the result of non-invasive prenatal testing is a valuable tool to counsel patients with increased nuchal translucency, notably between 2.5 and 3.4 mm.</t>
  </si>
  <si>
    <t>Most cases of first-occurrence OFCs are isolated and carry a low risk of chromosomal abnormalities. Genetic evaluation is particularly valuable in syndromic OFCs, where the likelihood of clinically significant chromosomal abnormalities is higher. The combined use of karyotyping and SNP array analysis enhances diagnostic accuracy and provides important guidance for pregnancy management.</t>
  </si>
  <si>
    <t>Extreme prematurity, nosocomial sepsis, HIE in term neonates, chromosomal abnormalities due to trisomy 18 and trisomy 13, ductal-dependent CVS malformations, and NTD were the six most common causes of neonatal deaths in Malaysian NICUs.</t>
  </si>
  <si>
    <t>The findings of this cohort study of infants with T13 and T18 support differences in long-term survival based on cytogenetic status and emphasize the need to potentially reassess the context of these conditions generally being considered incompatible with life, particularly for those with mosaic trisomies. These findings offer context surrounding treatment decisions, such as withholding interventions, for affected infants in the future.</t>
  </si>
  <si>
    <t>Significant variability in prenatal counseling exists for trisomy 18. Indecision may be influenced by the genetic diagnosis, survival, and quality of life.</t>
  </si>
  <si>
    <t>Congenital auricular deformities exhibit characteristic ultrasound features, and in most cases, prenatal diagnosis and evaluation can be achieved through ultrasound. This provides valuable information to support clinical decision-making and prenatal counseling.</t>
  </si>
  <si>
    <t>This study revealed the common causes and trends of early neonatal death in a regional part of Japan. To reduce early neonatal death, a preventive strategy against early neonatal death due to common causes would be required in the future.</t>
  </si>
  <si>
    <t>The study demonstrates that the Z-score is valuable in accurately assessing NIPT results. Consequently, clinicians can provide more efficient prenatal genetic counseling by utilizing a specific reference value for the Z-score.</t>
  </si>
  <si>
    <t>Among the strategies evaluated, first-tier GW-NIPT had the greatest diagnostic yield and the lowest cost per diagnosis, improving detection rates and supporting reproductive autonomy at lower costs. Implementation decisions should also consider local pricing, laboratory capacity, and counseling resources. Future research that links screening outcomes to long-term health consequences (e.g., quality-adjusted life years or life-years), healthcare utilization, costs, and psychosocial outcomes will enable formal cost-effectiveness evaluations and support further refinement of prenatal screening policy.</t>
  </si>
  <si>
    <t>Prerepair mortality in CL/P is significantly driven by underlying genetic syndromes or congenital anomalies. For surgeons, this highlights the importance of genetic testing and prenatal care to guide appropriate surgical management. Considering a wait in surgical intervention until patients are approximately 4 months old may allow for better survival assessment and informed decisions for these high-risk individuals.</t>
  </si>
  <si>
    <t>To our knowledge, this is the first comprehensive MC-seq-based analysis of T18-specific DNA methylation patterns in first-trimester chorionic villi. These findings suggest that DNA methylation changes may represent downstream consequences of chromosomal imbalance in T18 and provide a foundation for future investigations into its pathophysiology and the development of epigenetic biomarkers for early non-invasive detection.</t>
  </si>
  <si>
    <t>This study reveals significant gaps and variability in knowledge, attitudes, and management strategies for prenatally diagnosed T18 among obstetricians in Turkey. Such variability may result in some women not being offered appropriate care options during pregnancy or delivery. More practical training and ethical guidance are needed for consistent, patient-centred care in fetal anomaly management.</t>
  </si>
  <si>
    <t>The duration of survival in infants with T13 and T18 remains highly variable and difficult to predict. Management strategies must therefore be clarified within an interdisciplinary framework, supporting families through informed, individualised decision-making while balancing the poor prognosis with a focus on comfort, dignity, and quality of life.</t>
  </si>
  <si>
    <t>Gap length was the principal determinant of anastomotic stricture and prolonged recovery after EA/TEF repair. These data provide a baseline for ongoing quality improvement and support early referral of long-gap cases to specialized multidisciplinary centers with structured follow-up programs.</t>
  </si>
  <si>
    <t>A smaller than expected CRL was strongly associated with chromosomal aberrations, adverse pregnancy outcomes, and obstetric complications. Incorporating EDD discrepancies into risk algorithms for genetic disease, growth restriction, and preeclampsia may improve prediction and warrants further study.</t>
  </si>
  <si>
    <t>NT measurement in fetuses with CRL &lt; 45 mm provides clinically relevant prognostic information. Elevated NT in this early gestational window is significantly associated with chromosomal anomalies, structural defects, and poor pregnancy outcomes. Reliance on cell-free DNA screening for aneuploidy alone in this cohort may miss a substantial proportion of abnormal cases. Early NT assessment should prompt comprehensive diagnostic evaluation and genetic counseling, even when the CRL is below 45 mm.</t>
  </si>
  <si>
    <t>We observed an increase in interventions and a corresponding improvement in survival to discharge, with significant regional variations.</t>
  </si>
  <si>
    <t>The frequency of a radial ray defect accompanied by syndromic and congenital anomalies was high, and visualization of the radial bone or other preaxial bone structures on the 1st trimester fetal ultrasonography will ensure the diagnosis of a radial ray defect in early gestational weeks. In the case of a radial ray defect diagnosis, systemic organ screening should be performed with detailed ultrasonography and the necessary invasive procedure for karyotype examination should be advised to all families.</t>
  </si>
  <si>
    <t xml:space="preserve"> The study's finding is a powerful clinical message that strengthens confidence in positive NIPT results at similar referral centers and provides a strong local evidence base for counseling high-risk Saudi women about the implications of positive NIPT results. It provides confirmation that local risk factors align with global patterns.</t>
  </si>
  <si>
    <t>Chromosomal abnormalities contribute significantly to pregnancy loss in this study, with autosomal trisomies representing the predominant genetic findings. QF-PCR provides a rapid and reliable diagnostic approach for detecting common aneuploidies in abortus tissue. Routine incorporation of molecular testing may enhance etiological clarification and improve genetic counselling and reproductive planning in affected couples.</t>
  </si>
  <si>
    <t>Considering recent trends towards a change in management from mostly palliative to therapeutic care for patients with CS, T13, and T18, care providers face challenging decisions regarding management. The proposed preliminary MRI-based phenotyping score and the provided phenome visualization aim to aid physicians in counseling and choosing appropriate management plans. Future studies will be necessary to correlate prenatal imaging findings to outcome data in larger patient collectives. KEY POINTS: Question What are the phenotypical presentations of CHARGE syndrome, trisomy 13, and trisomy 18 in fetal MRI and can prenatal MRI findings help clinicians in predicting postnatal outcomes? Findings MRI phenomes were visualized in co-occurrence networks, and a preliminary disease severity score was proposed, based on available outcome data, to aid in risk stratification. Clinical relevance Recent trends in management, a shift from mostly palliative to therapeutic care for affected patients, have challenged clinicians. The provided phenome visualization of these heterogeneous diseases and the proposed disease severity score may aid physicians in counseling and selecting appropriate pregnancy management.</t>
  </si>
  <si>
    <t>Our results provide reference values for NT thickness and DV flow parameters, which may advance our understanding of embryonic growth and promote earlier prenatal diagnosis of chromosome abnormalities and/or cardiac anomalies before 11 weeks.</t>
  </si>
  <si>
    <t>Isolated CPCs in the context of low-risk screening should be regarded as benign variants with excellent prognosis, and invasive testing is unnecessary. Conversely, CPCs with additional risk factors require further evaluation, including chromosomal microarray, supporting a risk-adapted approach.</t>
  </si>
  <si>
    <t>Several pCNVs/lpCNVs that associate with DSMs were identified. Our findings may strengthen the association between 16p11.2 microduplication syndrome and DSMs, and the correlation between 16p13.11 microduplication syndrome and intestinal malrotation.</t>
  </si>
  <si>
    <t>While T13 and T18 both have high mortality, particularly in infancy, there is survival with persistent health-care utilization and operative needs throughout childhood. This highlights significant long-term health-care needs and evolving surgical indications. Longitudinal care coordination of multidisciplinary surgical care is needed to optimize outcomes of affected patients.</t>
  </si>
  <si>
    <t>Overall survival was poorer among infants with trisomy 18 diagnosed prenatally than among those diagnosed postnatally, and this difference may be partly associated with differences in treatment policies. These findings suggest that treatment policies following prenatal diagnosis may be associated with survival duration in trisomy 18.</t>
  </si>
  <si>
    <t>Pregnant women carrying DWM fetuses should undergo prenatal diagnosis including karyotyping, CNV-seq/SNP-array and WES if necessary, especially for fetuses with cDWM or VH, as the fetuses with cDWM or VH showed higher rates of genetic abnormalities. The pregnancy outcomes of most fetuses with MCM are favorable, while fetuses with cDWM or VH are prone to adverse gestational outcomes.</t>
  </si>
  <si>
    <t xml:space="preserve"> Aneuploidy was found to be the predominant type of abnormality in fetuses with increased NT. This study suggests that high-resolution SNP-array exhibit greater sensitivity in detecting chromosomal microstructural abnormalities and can serve as an effective complement to conventional karyotyping.</t>
  </si>
  <si>
    <t>VSD closure was associated with improved survival in infants with trisomy 18, but a substantial hospitalization burden persisted due to non-cardiac comorbidities. These findings highlight the importance of lifelong multidisciplinary care and detailed parental counseling regarding the expected long-term medical burden following VSD closure.</t>
  </si>
  <si>
    <t>Individuals with trisomy 18 develop scoliosis with very early onset. Screening for scoliosis from birth is recommended to facilitate early identification and characterization of spinal deformities in patients with trisomy 18.</t>
  </si>
  <si>
    <t>PPV varies considerably among high-risk NIPT subtypes, and NIPT cannot replace invasive prenatal diagnosis. NIPT subtype classification and abnormal ultrasound soft markers independently affect true-positive results, and advanced maternal age elevates the detection risk of chromosomal anomalies. Stratified genetic counseling should integrate NIPT subtype, maternal age, and ultrasound findings. Early amniocentesis is recommended for high-risk pregnancies with autosomal trisomy, advanced maternal age, or abnormal ultrasound soft markers to facilitate standardized prenatal diagnosis and informed pregnancy decision-making.</t>
  </si>
  <si>
    <t>Despite the absence of a demonstrated survival benefit of intensive neonatal interventions over non-intensive care in Trisomy 18, the findings should be interpreted cautiously given the small number of available studies, substantial clinical and statistical heterogeneity, and very low certainty of evidence. Findings highlight the importance of individualized, informed decision-making guided by prenatal counseling that integrates evidence-based outcomes and parental values. High-quality, multicenter prospective studies are needed to evaluate the impact of specific interventions and improve guidance for families and clinicians.</t>
  </si>
  <si>
    <t>Identificação</t>
  </si>
  <si>
    <t>Busca A – registros recuperados para a triagem</t>
  </si>
  <si>
    <t>29/09/2026, 19h21 (horário de Brasília; 22h21 UTC) – 253 registros</t>
  </si>
  <si>
    <t>Busca B – registros recuperados para a triagem</t>
  </si>
  <si>
    <t>29/09/2026, 19h21 (horário de Brasília; 22h21 UTC) – 241 registros</t>
  </si>
  <si>
    <t>Buscas A e B – reexecução de conferência</t>
  </si>
  <si>
    <t>29/09/2026, 19h48 (horário de Brasília; 22h48 UTC) – 253 e 241 registros; mesmos 449 registros distintos</t>
  </si>
  <si>
    <t>Busca A – execução pelo pesquisador na interface do PubMed</t>
  </si>
  <si>
    <t>29/09/2026, 19h20 (horário de Brasília; 22h21 UTC) – 253 registros</t>
  </si>
  <si>
    <t>Busca B – execução pelo pesquisador na interface do PubMed</t>
  </si>
  <si>
    <t>29/09/2026, 19h47 (horário de Brasília; 22h48 UTC) – 241 registros</t>
  </si>
  <si>
    <t>Registros da Busca A</t>
  </si>
  <si>
    <t>Registros da Busca B</t>
  </si>
  <si>
    <t>Duplicados removidos (presentes nas duas buscas)</t>
  </si>
  <si>
    <t>Registros de outras fontes (validação/citações)</t>
  </si>
  <si>
    <t>Registros únicos triados</t>
  </si>
  <si>
    <t>Concordância entre os revisores de IA</t>
  </si>
  <si>
    <t>Aguardando revisão do Gemini e/ou do ChatGPT</t>
  </si>
  <si>
    <t>Concordância plena (3/3)</t>
  </si>
  <si>
    <t>Concordância parcial (2/3)</t>
  </si>
  <si>
    <t>Divergência total</t>
  </si>
  <si>
    <t>Concordância plena entre os revisados (%)</t>
  </si>
  <si>
    <t>Triagem de título e resumo (decisão final)</t>
  </si>
  <si>
    <t>Pendentes de arbitragem humana</t>
  </si>
  <si>
    <t>Excluídos</t>
  </si>
  <si>
    <t xml:space="preserve">   E1 – Fora do tema (não trata da síndrome de Edwards como objeto)</t>
  </si>
  <si>
    <t xml:space="preserve">   E2 – Rastreamento/diagnóstico pré-natal (acurácia, testes) sem desfecho de sobrevida ou gestacional específico da T18</t>
  </si>
  <si>
    <t xml:space="preserve">   E3 – Outra anomalia como objeto; T18 aparece só como achado associado</t>
  </si>
  <si>
    <t xml:space="preserve">   E4 – Sem dados próprios (revisão narrativa, diretriz, opinião) e sem utilidade direta</t>
  </si>
  <si>
    <t xml:space="preserve">   E5 – Sem desfecho de sobrevida ou gestacional (morbidade, genética, fenótipo, utilização de serviços)</t>
  </si>
  <si>
    <t xml:space="preserve">   E6 – Relato de caso ou capítulo de livro</t>
  </si>
  <si>
    <t xml:space="preserve">   E7 – T18 não é objeto ou dados não separáveis de outras condições</t>
  </si>
  <si>
    <t xml:space="preserve">   E8 – Estudo de prevalência/epidemiologia sem desfecho de sobrevida ou gestacional</t>
  </si>
  <si>
    <t xml:space="preserve">   E9 – Apenas trissomia parcial ou mosaico</t>
  </si>
  <si>
    <t>Apoio (fora da síntese, úteis ao texto)</t>
  </si>
  <si>
    <t>Selecionados para leitura do texto completo</t>
  </si>
  <si>
    <t xml:space="preserve">   Pergunta A (sobrevida)</t>
  </si>
  <si>
    <t xml:space="preserve">   Pergunta B (desfecho gestacional)</t>
  </si>
  <si>
    <t xml:space="preserve">   Perguntas A e B</t>
  </si>
  <si>
    <t>Conferência: pendentes + excluídos + apoio + selecionados + fora do recorte + erros = únicos triados</t>
  </si>
  <si>
    <t>Fora do recorte anual (publicados antes de 2024)</t>
  </si>
  <si>
    <t>Os 20 textos mais pertinentes publicados a partir de 2024 (para seleção pelo pesquisador)</t>
  </si>
  <si>
    <t>Universo: os 33 textos com decisão final Incluir ou Apoio dentro do recorte anual (2024 em diante). Critérios de ordenação no Leia-me. Trechos literais copiados dos resumos do PubMed; traduções livres do Claude, a conferir.</t>
  </si>
  <si>
    <t>Nº</t>
  </si>
  <si>
    <t>Bloco temático</t>
  </si>
  <si>
    <t>Referência</t>
  </si>
  <si>
    <t>Desenho</t>
  </si>
  <si>
    <t>Trecho literal do resumo (para citação direta)</t>
  </si>
  <si>
    <t>Tradução livre (conferir)</t>
  </si>
  <si>
    <t>Por que usar</t>
  </si>
  <si>
    <t>Cautela</t>
  </si>
  <si>
    <t>Posição sobre o rótulo (aba Gráficos)</t>
  </si>
  <si>
    <t>Decisão final atual</t>
  </si>
  <si>
    <t>Incluir no artigo? (pesquisador)</t>
  </si>
  <si>
    <t>Terminologia e heterogeneidade</t>
  </si>
  <si>
    <t>Ludorf KL et al. 2025. Long-Term Survival Among Children With Trisomy 13 and Trisomy 18 by Cytogenetic Status. JAMA Netw Open.</t>
  </si>
  <si>
    <t>Coorte de base populacional (Texas, 1999–2008)</t>
  </si>
  <si>
    <t>The findings of this cohort study of infants with T13 and T18 support differences in long-term survival based on cytogenetic status and emphasize the need to potentially reassess the context of these conditions generally being considered incompatible with life, particularly for those with mosaic trisomies.</t>
  </si>
  <si>
    <t>A sobrevida de longo prazo difere conforme o status citogenético, e os autores defendem reavaliar o enquadramento da T18 como "incompatível com a vida", sobretudo nas formas mosaico.</t>
  </si>
  <si>
    <t>Dado populacional e revista de alto impacto; base para exigir que o laudo especifique a forma citogenética.</t>
  </si>
  <si>
    <t>Na trissomia completa, só 6,6% vivos aos 10 anos.</t>
  </si>
  <si>
    <t>Rejeita ou historiciza o rótulo</t>
  </si>
  <si>
    <t>Contraponto</t>
  </si>
  <si>
    <t>Fonseca Queiroz L et al. 2026. Intensive versus comfort-focused care in neonates with trisomy 18: A systematic review and meta-analysis. J Neonatal Perinatal Med.</t>
  </si>
  <si>
    <t>Revisão sistemática com metanálise (5 estudos, 211 pacientes)</t>
  </si>
  <si>
    <t>Despite the absence of a demonstrated survival benefit of intensive neonatal interventions over non-intensive care in Trisomy 18, the findings should be interpreted cautiously given the small number of available studies, substantial clinical and statistical heterogeneity, and very low certainty of evidence.</t>
  </si>
  <si>
    <t>Apesar da ausência de benefício de sobrevida demonstrado das intervenções intensivas sobre o cuidado não intensivo, os resultados devem ser interpretados com cautela, pela heterogeneidade e pela certeza muito baixa da evidência.</t>
  </si>
  <si>
    <t>O contraponto de maior peso metodológico; reforça a decisão individualizada.</t>
  </si>
  <si>
    <t>Enfraquece o argumento de que a mortalidade decorre da falta de tratamento.</t>
  </si>
  <si>
    <t>Não menciona o rótulo</t>
  </si>
  <si>
    <t>Intervenções</t>
  </si>
  <si>
    <t>de Sá Bittencourt Câmara Bastos C et al. 2025. Outcomes of heart surgery in neonates with trisomy 13 and 18: a systematic review with metanalysis. Eur J Pediatr.</t>
  </si>
  <si>
    <t>Revisão sistemática com metanálise (5 coortes, 1.627 pacientes)</t>
  </si>
  <si>
    <t>Despite the positive impact of cardiac surgery on survival and discharge rates, the evidence remains low quality, as the included studies were primarily retrospective cohorts with moderate risk of bias.</t>
  </si>
  <si>
    <t>Apesar do impacto positivo da cirurgia cardíaca sobre a sobrevida e a alta, a evidência continua de baixa qualidade.</t>
  </si>
  <si>
    <t>Autores brasileiros (USP); mostra que o desfecho muda com a intervenção.</t>
  </si>
  <si>
    <t>Erros numéricos internos no artigo (OR do resumo x gráfico); citar qualitativamente.</t>
  </si>
  <si>
    <t>Terminologia e decisão caso a caso</t>
  </si>
  <si>
    <t>Pyle AK et al. 2025. Guidance for Caring for Infants and Children With Trisomy 13 and Trisomy 18: Clinical Report. Pediatrics.</t>
  </si>
  <si>
    <t>Relatório clínico da Academia Americana de Pediatria</t>
  </si>
  <si>
    <t>Despite previous characterizations of these disorders as being uniformly lethal, multiple studies have demonstrated improved morbidity and mortality when indicated interventions, such as cardiac surgery, are performed, and these interventions and their potential risks and benefits can be carefully explored with parents who may wish to pursue them.</t>
  </si>
  <si>
    <t>Apesar das caracterizações anteriores desses distúrbios como uniformemente letais, vários estudos demonstraram melhora de morbidade e mortalidade quando intervenções indicadas são realizadas.</t>
  </si>
  <si>
    <t>A principal diretriz pediátrica atual; autoridade institucional.</t>
  </si>
  <si>
    <t>Trata de cuidado neonatal, não de aborto; também admite cuidado de conforto.</t>
  </si>
  <si>
    <t>St Louis JD et al. 2024. The American Association for Thoracic Surgery (AATS) 2023 Expert Consensus Document: Recommendation for the care of children with trisomy 13 or trisomy 18 and a congenital heart defect. J Thorac Cardiovasc Surg.</t>
  </si>
  <si>
    <t>Based on our analysis of recent data, we recommend that decisions should not be based solely on the presence of trisomy but, instead, should be made on a case-by-case basis, considering both the severity of the baby's heart disease as well as the presence of other anomalies.</t>
  </si>
  <si>
    <t>Recomendamos que as decisões não se baseiem apenas na presença da trissomia, mas sejam tomadas caso a caso, considerando a gravidade da cardiopatia e a presença de outras anomalias.</t>
  </si>
  <si>
    <t>Análogo médico direto da tese jurídica: avaliação pelo caso concreto, não pelo rótulo.</t>
  </si>
  <si>
    <t>Trata de cirurgia cardíaca.</t>
  </si>
  <si>
    <t>Conceitos (pedagógico) 
SEM ACESSO</t>
  </si>
  <si>
    <t>Srinivasan K et al. 2025. Updates in Trisomy 18. Neoreviews.</t>
  </si>
  <si>
    <t>Revisão (NeoReviews, dez/2025)</t>
  </si>
  <si>
    <t>However, within the last few decades there is a growing body of evidence that the long-term outcomes of newborns specifically affected by trisomy 18 are exceeding these preconceived, historical notions.</t>
  </si>
  <si>
    <t>Crianças com T18 estão superando essas noções históricas preconcebidas.</t>
  </si>
  <si>
    <t>Revisão recente sobre manifestações clínicas e desfechos atualizados; alternativa ao StatPearls.</t>
  </si>
  <si>
    <t>Acesso pago (AAP); conferir disponibilidade no EBSCO.</t>
  </si>
  <si>
    <t>Sobrevida e heterogeneidade</t>
  </si>
  <si>
    <t>Reischer T et al. 2025. Clinical course and perinatal management of fetuses and newborns affected by trisomy 13 and 18: a retrospective single-centre cohort study. Eur J Pediatr.</t>
  </si>
  <si>
    <t>Coorte retrospectiva de centro único (Áustria)</t>
  </si>
  <si>
    <t>The duration of survival in infants with T13 and T18 remains highly variable and difficult to predict.</t>
  </si>
  <si>
    <t>A duração da sobrevida em bebês com T13 e T18 continua muito variável e difícil de prever.</t>
  </si>
  <si>
    <t>Imprevisibilidade individual: a inviabilidade é questão de fato.</t>
  </si>
  <si>
    <t>Também fala em "prognóstico ruim"; citar a frase inteira.</t>
  </si>
  <si>
    <t>Usa o rótulo com ressalva</t>
  </si>
  <si>
    <t>Armour E et al. 2025. Liveborn children with trisomy 18: A retrospective review. Paediatr Child Health.</t>
  </si>
  <si>
    <t>Revisão retrospectiva (Canadá)</t>
  </si>
  <si>
    <t>Trisomy 18 is not a homogeneous clinical condition.</t>
  </si>
  <si>
    <t>A trissomia 18 não é uma condição clínica homogênea.</t>
  </si>
  <si>
    <t>Heterogeneidade em frase curta, ideal para citação direta.</t>
  </si>
  <si>
    <t>Centro único.</t>
  </si>
  <si>
    <t>Schlosser MP et al. 2024. Liveborn children with trisomy 18: A scoping review. J Neonatal Perinatal Med.</t>
  </si>
  <si>
    <t>Revisão de escopo</t>
  </si>
  <si>
    <t>This review shows the limited knowledge base guiding decision-making and care for children born alive with trisomy 18.</t>
  </si>
  <si>
    <t>Esta revisão mostra a base limitada de conhecimento que orienta as decisões e o cuidado de crianças nascidas vivas com T18.</t>
  </si>
  <si>
    <t>Reconhece a falta de dados longitudinais e a heterogeneidade clínica.</t>
  </si>
  <si>
    <t>Não traz taxa de sobrevida própria.</t>
  </si>
  <si>
    <t>Gestação e diagnóstico pré-natal</t>
  </si>
  <si>
    <t>Koshida S et al. 2026. Poorer survival in prenatally diagnosed trisomy 18 infants compared with postnatally diagnosed cases: a single-center study. PeerJ.</t>
  </si>
  <si>
    <t>Coorte de centro único (Japão)</t>
  </si>
  <si>
    <t>Overall survival was poorer among infants with trisomy 18 diagnosed prenatally than among those diagnosed postnatally, and this difference may be partly associated with differences in treatment policies.</t>
  </si>
  <si>
    <t>A sobrevida foi pior entre os bebês com diagnóstico pré-natal, e a diferença pode estar parcialmente associada às políticas de tratamento.</t>
  </si>
  <si>
    <t>Diagnóstico pré-natal e limitação de cuidado (profecia autorrealizável).</t>
  </si>
  <si>
    <t>Hipótese debatida (Morris, 2016). A linha deste estudo na aba Consenso está com erro de fórmula (referência quebrada).</t>
  </si>
  <si>
    <t>Contraponto (prática clínica)</t>
  </si>
  <si>
    <t>Türkçapar AF et al. 2025. An ethical issue in the prenatal and postnatal management of trisomy 18: a survey of obstetricians. Ann Med.</t>
  </si>
  <si>
    <t>Pesquisa de opinião com obstetras (Turquia)</t>
  </si>
  <si>
    <t>91.2% considered T18 "lethal" and 77.6% "incompatible with life." For T18, 82.8% always recommended termination.</t>
  </si>
  <si>
    <t>91,2% consideravam a T18 "letal" e 77,6% "incompatível com a vida"; para a T18, 82,8% sempre recomendavam a interrupção.</t>
  </si>
  <si>
    <t>Mostra que a prática obstétrica ainda adota o rótulo, que é o que chega aos tribunais.</t>
  </si>
  <si>
    <t>Mede opinião, não evidência sobre a T18.</t>
  </si>
  <si>
    <t>Menciona sem se posicionar sobre a T18</t>
  </si>
  <si>
    <t>Sobrevida e heterogeneidade
Sem Acesso</t>
  </si>
  <si>
    <t>Sugai S et al. 2026. Annual trends and regional variations in medical interventions and survival to discharge for trisomies 18 and 13, 2011-2022: a nationwide inpatient database study. J Perinatol.</t>
  </si>
  <si>
    <t>Coorte nacional (Japão, 2011–2022)</t>
  </si>
  <si>
    <t>Observamos aumento das intervenções e melhora correspondente da sobrevida até a alta, com variações regionais significativas.</t>
  </si>
  <si>
    <t>O prognóstico muda com o cuidado oferecido; variação regional sugere peso das práticas locais.</t>
  </si>
  <si>
    <t>Associação temporal, não causal.</t>
  </si>
  <si>
    <t>Visconti D et al. 2025. Trisomy 18 and the possibility of choice: The importance of Perinatal Hospice's support. Eur J Pediatr.</t>
  </si>
  <si>
    <t>Série de casos de hospice perinatal (Itália)</t>
  </si>
  <si>
    <t>Our study shows that trisomy 18 is not merely a lethal condition and the Perinatal Hospice plays a crucial role in supporting these families.</t>
  </si>
  <si>
    <t>Nosso estudo mostra que a trissomia 18 não é apenas uma condição letal.</t>
  </si>
  <si>
    <t>Frase direta contra o rótulo, no contexto da continuidade da gestação.</t>
  </si>
  <si>
    <t>16 casais; hospital de orientação religiosa.</t>
  </si>
  <si>
    <t>Caggiano S et al. 2026. Survival in infants with trisomy 18, palliative care and ethical reflections: a single center considerations. Ital J Pediatr.</t>
  </si>
  <si>
    <t>Coorte de centro único (Roma)</t>
  </si>
  <si>
    <t>proportional to the initial clinical conditions all treatment options, which may include both comfort care and heart surgery, should be re-evaluated to determine the approach that prioritizes the best interest of each child with trisomy 18.</t>
  </si>
  <si>
    <t>Proporcionalmente às condições clínicas iniciais, todas as opções de tratamento, que podem incluir cuidado de conforto e cirurgia cardíaca, devem ser reavaliadas para cada criança.</t>
  </si>
  <si>
    <t>Avaliação individual pelo quadro clínico, não pelo diagnóstico.</t>
  </si>
  <si>
    <t>Coorte de prevalência com viés de sobrevivência; hospital de orientação confessional.</t>
  </si>
  <si>
    <t>Uygur Külcü N et al. 2026. Trisomy 18 and Trisomy 13: A Retrospective Cohort Study at a Tertiary Hospital. Children (Basel).</t>
  </si>
  <si>
    <t>Coorte retrospectiva (Turquia)</t>
  </si>
  <si>
    <t>Although the overall prognosis remains poor, a minority of patients achieve extended survival, highlighting variable trajectories.</t>
  </si>
  <si>
    <t>Embora o prognóstico geral continue ruim, uma minoria de pacientes alcança sobrevida prolongada, o que evidencia trajetórias variáveis.</t>
  </si>
  <si>
    <t>Equilíbrio honesto: gravidade e possibilidade de sobrevida na mesma frase.</t>
  </si>
  <si>
    <t>Sobrevida de longo prazo</t>
  </si>
  <si>
    <t>Mehl JM et al. 2024. Causes of death in individuals with trisomy 18 after the first year of life. Am J Med Genet A.</t>
  </si>
  <si>
    <t>Estudo de causas de morte após o 1º ano (questionário de pais)</t>
  </si>
  <si>
    <t>These findings demonstrate that individuals with trisomy 18 and survival past the first YOL have unique medical needs, but further research is needed to develop clinical guidelines for this growing population.</t>
  </si>
  <si>
    <t>Os achados mostram que pessoas com T18 que sobrevivem ao primeiro ano têm necessidades médicas próprias.</t>
  </si>
  <si>
    <t>Existe uma população crescente de sobreviventes de longo prazo.</t>
  </si>
  <si>
    <t>Dados relatados por pais.</t>
  </si>
  <si>
    <t>Greene CL et al. 2024. Operative and nonoperative outcomes in patients with trisomy 13 and 18 with congenital heart disease. JTCVS Open.</t>
  </si>
  <si>
    <t>Coorte (EUA)</t>
  </si>
  <si>
    <t>Cardiac repair can be performed safely with low early mortality and operated patients had higher long-term survival compared with nonoperated in our cohort.</t>
  </si>
  <si>
    <t>A correção cardíaca pode ser feita com segurança, com baixa mortalidade precoce, e os operados tiveram maior sobrevida de longo prazo.</t>
  </si>
  <si>
    <t>O tratamento é viável e associado à sobrevida.</t>
  </si>
  <si>
    <t>Seleção dos pacientes operados.</t>
  </si>
  <si>
    <t>Contraponto (ônus do cuidado)</t>
  </si>
  <si>
    <t>Lee T et al. 2026. Characteristics and Outcomes of Pediatric Trisomy 13 and 18 Inpatient Admissions in Texas. J Surg Res.</t>
  </si>
  <si>
    <t>Estudo de internações (Texas)</t>
  </si>
  <si>
    <t>While T13 and T18 both have high mortality, particularly in infancy, there is survival with persistent health-care utilization and operative needs throughout childhood.</t>
  </si>
  <si>
    <t>Embora a T13 e a T18 tenham mortalidade alta, há sobrevida com uso persistente de serviços de saúde e necessidades cirúrgicas ao longo da infância.</t>
  </si>
  <si>
    <t>Reconhece o ônus do cuidado, que é parte do argumento do outro lado.</t>
  </si>
  <si>
    <t>Base de internações, não de nascimentos.</t>
  </si>
  <si>
    <t>Kosiv KA et al. 2026. Current prenatal counseling of congenital heart disease in trisomy 18, pediatric cardiologists' perspective: a Fetal Heart Society Research Collaborative Study. J Perinatol.</t>
  </si>
  <si>
    <t>Pesquisa com cardiologistas pediátricos</t>
  </si>
  <si>
    <t>Significant variability in prenatal counseling exists for trisomy 18.</t>
  </si>
  <si>
    <t>Há variabilidade significativa no aconselhamento pré-natal na T18.</t>
  </si>
  <si>
    <t>Qualidade e variação do aconselhamento e do laudo pré-natal.</t>
  </si>
  <si>
    <t>Mede opinião e prática.</t>
  </si>
  <si>
    <t>Contexto brasileiro</t>
  </si>
  <si>
    <t>Rodriguez LC et al. 2026. Congenital Heart Disease Associated With Genetic Syndromes and Extracardiac Anomalies: A Six-Year Epidemiological Study in a Brazilian Referral Center. Birth Defects Res.</t>
  </si>
  <si>
    <t>Estudo epidemiológico de 6 anos (Instituto Fernandes Figueira, Rio de Janeiro)</t>
  </si>
  <si>
    <t>The presence of associated anomalies and syndromes negatively impacted neonatal prognosis, reinforcing the importance of prenatal diagnosis and specialized multidisciplinary care in the management of these conditions.</t>
  </si>
  <si>
    <t>A presença de anomalias associadas e síndromes impactou negativamente o prognóstico neonatal.</t>
  </si>
  <si>
    <t>Único estudo brasileiro no recorte; dado nacional.</t>
  </si>
  <si>
    <t>Verificar no texto completo se há dados específicos da T18.</t>
  </si>
  <si>
    <t>Os 13 textos do recorte que ficaram fora dos 20, e por quê</t>
  </si>
  <si>
    <t>Kim AJH et al. 2024. Structured Framework for Multidisciplinary Parent Counseling and Medical Interventions for Fetuses and Infants with Trisomy 13 or Trisomy 18.</t>
  </si>
  <si>
    <t>Protocolo institucional de aconselhamento; sem dados de desfecho.</t>
  </si>
  <si>
    <t>Kutsukake M et al. 2024. Treatment courses and outcomes of oesophageal atresia in patients with trisomy 18: a case series of 271 patients from a nationwide database in Japan.</t>
  </si>
  <si>
    <t>Série cirúrgica de atresia de esôfago; tema específico.</t>
  </si>
  <si>
    <t>Greenberg JW et al. 2024. Contemporary Trends in Cardiac Surgical Care for Trisomy 13 and 18 Patients Admitted to Hospitals in the United States.</t>
  </si>
  <si>
    <t>Tendências de cirurgia cardíaca nos EUA; coberto por Bastos (2025) e Greene (2024).</t>
  </si>
  <si>
    <t>Tamaki S et al. 2024. Impact of definitive surgery for esophageal atresia on long-term outcomes in patients with trisomy 18.</t>
  </si>
  <si>
    <t>Atresia de esôfago; tema específico.</t>
  </si>
  <si>
    <t>Ziogas IA et al. 2024. Management and Outcomes of Hepatoblastoma in Patients With Trisomy 18: A Systematic Review and Pooled Analysis of 70 Patients.</t>
  </si>
  <si>
    <t>Hepatoblastoma; tema específico.</t>
  </si>
  <si>
    <t>Bierer R et al. 2024. Parent Narratives Provide Perspectives on the Experience of Care in Trisomy 18.</t>
  </si>
  <si>
    <t>Narrativas de pais; útil para qualidade de vida, mas não para o argumento central.</t>
  </si>
  <si>
    <t>Nemoto S et al. 2025. Closure of ventricular septal defect in children with trisomy 18: perioperative events and long-term survival.</t>
  </si>
  <si>
    <t>Fechamento de comunicação interventricular; coberto por Nagao (2026) e Greene (2024).</t>
  </si>
  <si>
    <t>Zanin A et al. 2025. Early assessment of clinical complexity and home care in patients affected by trisomy 13 and 18.</t>
  </si>
  <si>
    <t>Complexidade clínica e cuidado domiciliar.</t>
  </si>
  <si>
    <t>Armour E et al. 2025. Parental perspectives of trisomy 18: common threads of a life-limiting diagnosis.</t>
  </si>
  <si>
    <t>Perspectivas parentais (humanidades médicas).</t>
  </si>
  <si>
    <t>Mannava SV et al. 2025. Gastrostomy Tube Placement in Patients With Trisomy 13 and 18: Surgical Decision Making and Outcomes.</t>
  </si>
  <si>
    <t>Gastrostomia; já analisado, com viés de seleção admitido pelos autores.</t>
  </si>
  <si>
    <t>Nemoto S et al. 2026. Current Nationwide Landscape of Cardiac Surgery for Children With Trisomy 18 in Japan.</t>
  </si>
  <si>
    <t>Cirurgia cardíaca no Japão; coberto por Sugai (2026).</t>
  </si>
  <si>
    <t>Nagao H et al. 2026. Survival Benefit and Persistent Hospitalization Burden After Ventricular Septal Defect Closure in Infants with Trisomy 18 Headings: Hospitalization After VSD Closure in Trisomy 18.</t>
  </si>
  <si>
    <t>Fechamento de comunicação interventricular (2026); alternativa a Greene (2024).</t>
  </si>
  <si>
    <t>Matsushima A et al. 2026. Acute Healthcare Utilization During the First Year After Hospital Discharge in Children With Trisomy 18.</t>
  </si>
  <si>
    <t>Utilização de serviços após a alta.</t>
  </si>
  <si>
    <t>Evolução da posição da literatura sobre o rótulo "letal" ou "incompatível com a vida"</t>
  </si>
  <si>
    <t>Base: 57 dos 450 textos extraídos mencionam o rótulo no título ou no resumo. Categorias definidas antes da codificação; codificação conservadora nos casos ambíguos (método no Leia-me e na aba de dados abaixo).</t>
  </si>
  <si>
    <t>Endossa o rótulo</t>
  </si>
  <si>
    <t>Usa a terminologia alternativa ou afirma compatibilidade</t>
  </si>
  <si>
    <t>Total que menciona</t>
  </si>
  <si>
    <t>Total de textos extraídos no ano</t>
  </si>
  <si>
    <t>Total</t>
  </si>
  <si>
    <t>Período</t>
  </si>
  <si>
    <t>2000–2023</t>
  </si>
  <si>
    <t>2024–2026</t>
  </si>
  <si>
    <t>Período (%)</t>
  </si>
  <si>
    <t>Notas para o texto:</t>
  </si>
  <si>
    <t>1. O recorte de 2024 é analítico: coincide com o período posterior ao HC 932.495/SC (STJ, ago/2024). A literatura médica internacional não responde à jurisprudência brasileira; a comparação mostra como a literatura falava antes e depois desse marco, não um efeito da decisão.</t>
  </si>
  <si>
    <t>2. Os números absolutos são pequenos (44 e 13 textos); proporções devem ser lidas como tendência descritiva, não como resultado estatístico.</t>
  </si>
  <si>
    <t>3. O único texto de 2024 em diante que endossa o rótulo é um estudo de biologia molecular (PMID 41257854), excluído na triagem, em que a frase aparece só como contextualização.</t>
  </si>
  <si>
    <t>4. O pico de 2025 coincide com o aumento geral de publicações sobre T18 no ano (coluna "Total de textos extraídos no ano").</t>
  </si>
  <si>
    <t>Dados da codificação (57 textos)</t>
  </si>
  <si>
    <t>Categoria</t>
  </si>
  <si>
    <t>Trecho do resumo (evidência)</t>
  </si>
  <si>
    <t>Observação</t>
  </si>
  <si>
    <t>OBJECTIVE: Although trisomy 13 and trisomy 18 are generally considered to be lethal, long-term survival of patients has been reported.</t>
  </si>
  <si>
    <t>The results emphasize the importance of identifying both those fetuses with a potentially good prognosis and favorable outcome and those which are likely to have a fatal outcome.</t>
  </si>
  <si>
    <t>The prognosis of trisomy 18 is lethal, but recently some long-term survival cases have been recognized.</t>
  </si>
  <si>
    <t>Oesophageal atresia with cleft lip and palate: a marker for associated lethal anomalies? .</t>
  </si>
  <si>
    <t>Estudo sobre fenda labiopalatina (excluído na triagem); chama T13/T18 de "aneuploidias letais".</t>
  </si>
  <si>
    <t>Low birth weight and gestational age, multiple malformations and high lethality of anomalies involved were the major contributors to the high risk of mortality among children with selected major birth defects compared to those without birth defects.</t>
  </si>
  <si>
    <t>Trisomy 13, trisomy 18, and triploidy belong to the chromosomal abnormalities which are compatible with life, but which are also associated with a high rate of spontaneous abortion, intrauterine death, and a short life span.</t>
  </si>
  <si>
    <t>For several types of defects, prenatal diagnosis is predictive of higher odds of CS; for others, especially fatal defects, PND predicts lower CS likelihood.</t>
  </si>
  <si>
    <t>BACKGROUND AND OBJECTIVE: Trisomy 13 and trisomy 18 are generally considered fatal anomalies, with a majority of infants dying in the first year after birth.</t>
  </si>
  <si>
    <t>Parents reported being told that their child was incompatible with life (87%), would live a life of suffering (57%), would be a vegetable (50%), or would ruin their family (23%).</t>
  </si>
  <si>
    <t>Relata que 87% dos pais ouviram que o filho era "incompatível com a vida".</t>
  </si>
  <si>
    <t>Trisomy 10 is a rare lethal chromosomal abnormality, most frequently found in abortion products.</t>
  </si>
  <si>
    <t>Only four studies have reported outcomes for pregnant women referred to perinatal palliative care services for potentially lethal prenatal diagnoses.</t>
  </si>
  <si>
    <t>Eighty-five per cent believed that T18 was a 'lethal malformation', although 38% expected at least half of liveborn infants to survive for more than 1 week.</t>
  </si>
  <si>
    <t>Pesquisa de opinião: 85% dos obstetras consideravam a T18 uma "malformação letal".</t>
  </si>
  <si>
    <t>Although esophageal atresia (EA) with tracheoesophageal fistula (TEF) is a potentially fatal complication that can only be rescued through surgical correction, no reports have addressed the efficacy of surgical intervention for EA in patients with trisomy 18.</t>
  </si>
  <si>
    <t>Trisomy 18 and trisomy 13 are conditions often referred to as "incompatible with life" or "lethal anomalies.</t>
  </si>
  <si>
    <t>Given the high mortality rate (5-10% one-year survival), trisomy 18 and 13 were historically characterized as uniformly lethal and palliation was the predominant management approach.</t>
  </si>
  <si>
    <t>The survival rate for babies diagnosed with non-lethal neural tubes defects is high when multidisciplinary care is initiated early.</t>
  </si>
  <si>
    <t>The data on survival support that T18, even when antenatally diagnosed, cannot be considered as a uniformly lethal syndrome.</t>
  </si>
  <si>
    <t>T13 or 18 were previously referred to as "lethal" conditions due to high mortality rates and severe disability among survivors.</t>
  </si>
  <si>
    <t>Intra- uterine lethality of aneuploid fetuses is high.</t>
  </si>
  <si>
    <t>INTRODUCTION: The Genetic Branch of the Chilean Society of Paediatrics, given the draft Law governing the decriminalisation of abortion on three grounds, focusing on the second ground, which considers the "embryo or foetus suffering from a congenital structural anomaly or a genetic disorder incompatible with life outside the womb", met to discuss t</t>
  </si>
  <si>
    <t>Rejeita o termo, mas mantém a T18 não mosaico entre as "anomalias de prognóstico reservado" da lei chilena de aborto.</t>
  </si>
  <si>
    <t>Eighty-three percent (83%) of respondents thought that trisomy 18 is a lethal condition and 60% thought that treatment is futile.</t>
  </si>
  <si>
    <t>Pesquisa de opinião: 83% dos neonatologistas consideravam a T18 letal e 60%, o tratamento fútil.</t>
  </si>
  <si>
    <t>Trisomy 13 and 18 are life-limiting conditions for which a palliative approach is frequently recommended.</t>
  </si>
  <si>
    <t>Objectives Trisomy 18 is presumed to be a lethal chromosomal abnormality; medical management of infants with this aneuploidy is controversial.</t>
  </si>
  <si>
    <t>Codificado de forma conservadora: "presumida letal"; a conclusão relata proporção significativa de altas.</t>
  </si>
  <si>
    <t>A favorable pregnancy outcome at term was achieved in 40 cases (56% from total, 72% from euploid pregnancies); kidney anomalies or nonlethal cardiac conditions were observed in 12 cases (17%), 6 of which involved complications associated with premature onset of labor, and miscarriages occurred in 6 cases.</t>
  </si>
  <si>
    <t>In the case of trisomy 18, however, many families are told the disease is "incompatible with life" even though some children with the condition live for several years.</t>
  </si>
  <si>
    <t>BACKGROUND: Fetal specialists support standardizing the practice of offering women palliative care for life limiting fetal diagnoses.</t>
  </si>
  <si>
    <t>Usa "malformações letais" como categoria, mas encontra sobrevida maior e mudança de práticas.</t>
  </si>
  <si>
    <t>Trisomy 18 not being uniformly lethal and expressed parental wishes were the most agreed upon justifications for offering surgery.</t>
  </si>
  <si>
    <t>Pesquisa de opinião: "não ser uniformemente letal" aparece como justificativa dos clínicos para oferecer cirurgia.</t>
  </si>
  <si>
    <t>BACKGROUND: Despite Trisomy 13 and 18 being among the most fatal congenital anomalies, limited information exists about resource utilization and factors associated with length of stay (LOS) and total hospital charges (THC) for these anomalies.</t>
  </si>
  <si>
    <t>The presence of an associated genetic defect was invariably lethal, while those with a structural defect, in the absence of a confirmed genetic abnormality, survived into infancy in over 90% of cases, with an overall one in three chance of perinatal survival.</t>
  </si>
  <si>
    <t>Contexto específico: restrição de crescimento fetal periviável com defeito genético.</t>
  </si>
  <si>
    <t>Until recently, trisomy 18 was considered a disease incompatible with life, with a high percentage of electively terminated pregnancies.</t>
  </si>
  <si>
    <t>BACKGROUND: Trisomy 18 is associated with a wide range of potentially fatal congenital conditions.</t>
  </si>
  <si>
    <t>Codificado de forma conservadora: a conclusão do estudo é favorável (bons desfechos cirúrgicos).</t>
  </si>
  <si>
    <t>Although T18/T13 were considered to be fatal in the past, with proper epidemiological information, discussions with affected families, and compassionate patient care, the mortality rate of T18/T13 can be improved.</t>
  </si>
  <si>
    <t>Usa "fatal fetal abnormality" como categoria legal irlandesa, mas mede a sobrevida dos nascidos vivos.</t>
  </si>
  <si>
    <t>Until recently medical professionals were taught that T13 and 18 were "lethal conditions" that were "incompatible with life" for which measures to prolong life are therefore ethically questionable and likely futile.</t>
  </si>
  <si>
    <t>CONCLUSION: Approximately, one-third of T18 and T13 neonates, who had surgery, died, underscoring the lethality of these trisomies and the need for a comprehensive preoperative ethical discussion with families of these children.</t>
  </si>
  <si>
    <t>Aggressive surgical treatments for the respiratory, cardiac, or digestive systems of patients with T18 were previously futile, while the results of recent studies are controversial.</t>
  </si>
  <si>
    <t>Trata da futilidade de tratamentos no passado, não do rótulo da condição.</t>
  </si>
  <si>
    <t>ASD and ventricular septal defect were the most common anomalies, and trisomy 18 and hypoplastic left heart syndrome were the most fatal anomalies.</t>
  </si>
  <si>
    <t>The syndrome has historically been considered lethal owing to its poor prognosis, and palliative care was primarily indicated for trisomy 18 neonates.</t>
  </si>
  <si>
    <t>Both diagnoses are characterized by multisystem involvement and were previously thought to be incompatible with life.</t>
  </si>
  <si>
    <t>We examined the voice and the perspectives of the parents in their challenges in caring for their children with this life-limiting condition.</t>
  </si>
  <si>
    <t>BACKGROUND: Historically, children born alive with trisomy 18 were considered to have a lethal genetic condition such that no medical interventions were provided.</t>
  </si>
  <si>
    <t>CONCLUSIONS AND RELEVANCE: The findings of this cohort study of infants with T13 and T18 support differences in long-term survival based on cytogenetic status and emphasize the need to potentially reassess the context of these conditions generally being considered incompatible with life, particularly for those with mosaic trisomies.</t>
  </si>
  <si>
    <t>BACKGROUND: Trisomy 18 (T18, Edwards syndrome) is a lethal chromosomal disorder characterized by multiple congenital anomalies and high perinatal mortality.</t>
  </si>
  <si>
    <t>Estudo de biologia molecular (excluído na triagem); a frase é de contextualização.</t>
  </si>
  <si>
    <t>Unlike trisomy 21, trisomies 13 and 18 have historically been regarded as having significant morbidity and mortality leading to being labeled "lethal" conditions.</t>
  </si>
  <si>
    <t>2% defined "lethal congenital malformation" as anomalies inevitably causing intrauterine death; 91.</t>
  </si>
  <si>
    <t>Pesquisa de opinião (Turquia): 91,2% dos obstetras consideravam a T18 "letal", 77,6% "incompatível com a vida"; 82,8% sempre recomendavam a interrupção.</t>
  </si>
  <si>
    <t>Objectives Trisomy 13 (T13) and 18 (T18) are lethal chromosomal abnormalities.</t>
  </si>
  <si>
    <t>BACKGROUND: Trisomy 18 was once considered a fatal diagnosis due to the presence of cardiac and extracardiac lesions.</t>
  </si>
  <si>
    <t>Historically, T13 and T18 were deemed incompatible with life.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</si>
</sst>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
    <numFmt numFmtId="165" formatCode="dddd\ dd/mm/yyyy\ hh:mm"/>
    <numFmt numFmtId="166" formatCode="0.0%"/>
  </numFmts>
  <fonts count="13">
    <font>
      <sz val="11.0"/>
      <color theme="1"/>
      <name val="Calibri"/>
      <scheme val="minor"/>
    </font>
    <font>
      <b/>
      <sz val="12.0"/>
      <color theme="1"/>
      <name val="Arial"/>
    </font>
    <font>
      <sz val="10.0"/>
      <color theme="1"/>
      <name val="Arial"/>
    </font>
    <font>
      <b/>
      <sz val="10.0"/>
      <color theme="1"/>
      <name val="Arial"/>
    </font>
    <font>
      <sz val="11.0"/>
      <color theme="1"/>
      <name val="Calibri"/>
    </font>
    <font>
      <b/>
      <sz val="10.0"/>
      <color rgb="FFFFFFFF"/>
      <name val="Arial"/>
    </font>
    <font>
      <u/>
      <sz val="10.0"/>
      <color rgb="FF0563C1"/>
      <name val="Arial"/>
    </font>
    <font>
      <sz val="11.0"/>
      <color theme="1"/>
      <name val="Arial"/>
    </font>
    <font>
      <u/>
      <sz val="10.0"/>
      <color theme="1"/>
      <name val="Arial"/>
    </font>
    <font>
      <sz val="10.0"/>
      <color rgb="FFF1C232"/>
      <name val="Arial"/>
    </font>
    <font>
      <u/>
      <sz val="10.0"/>
      <color rgb="FF0563C1"/>
      <name val="Arial"/>
    </font>
    <font>
      <b/>
      <sz val="10.0"/>
      <color rgb="FF000000"/>
      <name val="Arial"/>
    </font>
    <font>
      <u/>
      <sz val="10.0"/>
      <color rgb="FF0000FF"/>
      <name val="Arial"/>
    </font>
  </fonts>
  <fills count="14">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rgb="FFDDEBF7"/>
        <bgColor rgb="FFDDEBF7"/>
      </patternFill>
    </fill>
    <fill>
      <patternFill patternType="solid">
        <fgColor rgb="FFF2F2F2"/>
        <bgColor rgb="FFF2F2F2"/>
      </patternFill>
    </fill>
    <fill>
      <patternFill patternType="solid">
        <fgColor rgb="FFFFF2CC"/>
        <bgColor rgb="FFFFF2CC"/>
      </patternFill>
    </fill>
    <fill>
      <patternFill patternType="solid">
        <fgColor rgb="FF00FF00"/>
        <bgColor rgb="FF00FF00"/>
      </patternFill>
    </fill>
    <fill>
      <patternFill patternType="solid">
        <fgColor rgb="FFFF0000"/>
        <bgColor rgb="FFFF0000"/>
      </patternFill>
    </fill>
    <fill>
      <patternFill patternType="solid">
        <fgColor rgb="FFD7301F"/>
        <bgColor rgb="FFD7301F"/>
      </patternFill>
    </fill>
    <fill>
      <patternFill patternType="solid">
        <fgColor rgb="FFF4A6B7"/>
        <bgColor rgb="FFF4A6B7"/>
      </patternFill>
    </fill>
    <fill>
      <patternFill patternType="solid">
        <fgColor rgb="FF9ECAE1"/>
        <bgColor rgb="FF9ECAE1"/>
      </patternFill>
    </fill>
    <fill>
      <patternFill patternType="solid">
        <fgColor rgb="FF66C2A5"/>
        <bgColor rgb="FF66C2A5"/>
      </patternFill>
    </fill>
    <fill>
      <patternFill patternType="solid">
        <fgColor rgb="FF1A9641"/>
        <bgColor rgb="FF1A9641"/>
      </patternFill>
    </fill>
  </fills>
  <borders count="2">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bottom" wrapText="0"/>
    </xf>
    <xf borderId="0" fillId="0" fontId="3" numFmtId="0" xfId="0" applyAlignment="1" applyFont="1">
      <alignment shrinkToFit="0" vertical="bottom" wrapText="0"/>
    </xf>
    <xf borderId="1" fillId="2" fontId="5" numFmtId="0" xfId="0" applyAlignment="1" applyBorder="1" applyFill="1" applyFont="1">
      <alignment shrinkToFit="0" vertical="center" wrapText="1"/>
    </xf>
    <xf borderId="1" fillId="3" fontId="2" numFmtId="0" xfId="0" applyAlignment="1" applyBorder="1" applyFill="1" applyFont="1">
      <alignment shrinkToFit="0" vertical="top" wrapText="1"/>
    </xf>
    <xf borderId="1" fillId="3" fontId="2" numFmtId="164" xfId="0" applyAlignment="1" applyBorder="1" applyFill="1" applyFont="1" applyNumberFormat="1">
      <alignment shrinkToFit="0" vertical="top" wrapText="1"/>
    </xf>
    <xf borderId="0" fillId="0" fontId="6" numFmtId="0" xfId="0" applyAlignment="1" applyFont="1">
      <alignment shrinkToFit="0" vertical="top" wrapText="1"/>
    </xf>
    <xf borderId="0" fillId="0" fontId="4" numFmtId="0" xfId="0" applyAlignment="1" applyFont="1">
      <alignment horizontal="center" shrinkToFit="0" vertical="center" wrapText="0"/>
    </xf>
    <xf borderId="1" fillId="4" fontId="2" numFmtId="0" xfId="0" applyAlignment="1" applyBorder="1" applyFill="1" applyFont="1">
      <alignment shrinkToFit="0" vertical="top" wrapText="1"/>
    </xf>
    <xf borderId="1" fillId="4" fontId="2" numFmtId="164" xfId="0" applyAlignment="1" applyBorder="1" applyFill="1" applyFont="1" applyNumberFormat="1">
      <alignment shrinkToFit="0" vertical="top" wrapText="1"/>
    </xf>
    <xf borderId="1" fillId="5" fontId="2" numFmtId="0" xfId="0" applyAlignment="1" applyBorder="1" applyFill="1" applyFont="1">
      <alignment shrinkToFit="0" vertical="top" wrapText="1"/>
    </xf>
    <xf borderId="1" fillId="5" fontId="2" numFmtId="164" xfId="0" applyAlignment="1" applyBorder="1" applyFill="1" applyFont="1" applyNumberFormat="1">
      <alignment shrinkToFit="0" vertical="top" wrapText="1"/>
    </xf>
    <xf borderId="0" fillId="0" fontId="2" numFmtId="0" xfId="0" applyAlignment="1" applyFont="1">
      <alignment shrinkToFit="0" vertical="bottom" wrapText="0"/>
    </xf>
    <xf borderId="0" fillId="0" fontId="7" numFmtId="0" xfId="0" applyAlignment="1" applyFont="1">
      <alignment horizontal="right" shrinkToFit="0" vertical="bottom" wrapText="0"/>
    </xf>
    <xf borderId="0" fillId="0" fontId="7" numFmtId="165" xfId="0" applyAlignment="1" applyFont="1" applyNumberFormat="1">
      <alignment horizontal="right" shrinkToFit="0" vertical="bottom" wrapText="0"/>
    </xf>
    <xf borderId="0" fillId="0" fontId="7" numFmtId="0" xfId="0" applyAlignment="1" applyFont="1">
      <alignment shrinkToFit="0" vertical="bottom" wrapText="0"/>
    </xf>
    <xf borderId="0" fillId="0" fontId="8" numFmtId="0" xfId="0" applyAlignment="1" applyFont="1">
      <alignment shrinkToFit="0" vertical="top" wrapText="1"/>
    </xf>
    <xf borderId="0" fillId="0" fontId="2" numFmtId="164" xfId="0" applyAlignment="1" applyFont="1" applyNumberFormat="1">
      <alignment shrinkToFit="0" vertical="top" wrapText="1"/>
    </xf>
    <xf borderId="1" fillId="6" fontId="2" numFmtId="0" xfId="0" applyAlignment="1" applyBorder="1" applyFill="1" applyFont="1">
      <alignment shrinkToFit="0" vertical="top" wrapText="1"/>
    </xf>
    <xf borderId="1" fillId="6" fontId="9" numFmtId="0" xfId="0" applyAlignment="1" applyBorder="1" applyFill="1" applyFont="1">
      <alignment shrinkToFit="0" vertical="center" wrapText="1"/>
    </xf>
    <xf borderId="1" fillId="7" fontId="2" numFmtId="0" xfId="0" applyAlignment="1" applyBorder="1" applyFill="1" applyFont="1">
      <alignment shrinkToFit="0" vertical="top" wrapText="1"/>
    </xf>
    <xf borderId="1" fillId="6" fontId="7" numFmtId="0" xfId="0" applyAlignment="1" applyBorder="1" applyFill="1" applyFont="1">
      <alignment shrinkToFit="0" vertical="top" wrapText="1"/>
    </xf>
    <xf borderId="0" fillId="0" fontId="2" numFmtId="166" xfId="0" applyAlignment="1" applyFont="1" applyNumberFormat="1">
      <alignment shrinkToFit="0" vertical="bottom" wrapText="0"/>
    </xf>
    <xf borderId="0" fillId="0" fontId="1" numFmtId="0" xfId="0" applyAlignment="1" applyFont="1">
      <alignment shrinkToFit="0" vertical="bottom" wrapText="0"/>
    </xf>
    <xf borderId="1" fillId="2" fontId="5" numFmtId="0" xfId="0" applyAlignment="1" applyBorder="1" applyFill="1" applyFont="1">
      <alignment shrinkToFit="0" vertical="top" wrapText="1"/>
    </xf>
    <xf borderId="0" fillId="0" fontId="2" numFmtId="0" xfId="0" applyAlignment="1" applyFont="1">
      <alignment readingOrder="0" shrinkToFit="0" vertical="top" wrapText="1"/>
    </xf>
    <xf borderId="0" fillId="0" fontId="10" numFmtId="0" xfId="0" applyAlignment="1" applyFont="1">
      <alignment shrinkToFit="0" vertical="bottom" wrapText="0"/>
    </xf>
    <xf borderId="0" fillId="8" fontId="2" numFmtId="0" xfId="0" applyAlignment="1" applyFill="1" applyFont="1">
      <alignment shrinkToFit="0" vertical="top" wrapText="1"/>
    </xf>
    <xf borderId="1" fillId="9" fontId="11" numFmtId="0" xfId="0" applyAlignment="1" applyBorder="1" applyFill="1" applyFont="1">
      <alignment shrinkToFit="0" vertical="top" wrapText="1"/>
    </xf>
    <xf borderId="1" fillId="10" fontId="11" numFmtId="0" xfId="0" applyAlignment="1" applyBorder="1" applyFill="1" applyFont="1">
      <alignment shrinkToFit="0" vertical="top" wrapText="1"/>
    </xf>
    <xf borderId="1" fillId="11" fontId="11" numFmtId="0" xfId="0" applyAlignment="1" applyBorder="1" applyFill="1" applyFont="1">
      <alignment shrinkToFit="0" vertical="top" wrapText="1"/>
    </xf>
    <xf borderId="1" fillId="12" fontId="11" numFmtId="0" xfId="0" applyAlignment="1" applyBorder="1" applyFill="1" applyFont="1">
      <alignment shrinkToFit="0" vertical="top" wrapText="1"/>
    </xf>
    <xf borderId="1" fillId="13" fontId="11" numFmtId="0" xfId="0" applyAlignment="1" applyBorder="1" applyFill="1" applyFont="1">
      <alignment shrinkToFit="0" vertical="top" wrapText="1"/>
    </xf>
    <xf borderId="0" fillId="0" fontId="2" numFmtId="9" xfId="0" applyAlignment="1" applyFont="1" applyNumberFormat="1">
      <alignment shrinkToFit="0" vertical="bottom" wrapText="0"/>
    </xf>
    <xf borderId="0" fillId="0" fontId="12" numFmtId="0" xfId="0" applyAlignment="1" applyFont="1">
      <alignment shrinkToFit="0" vertical="top" wrapText="1"/>
    </xf>
    <xf borderId="1" fillId="13" fontId="2" numFmtId="0" xfId="0" applyAlignment="1" applyBorder="1" applyFill="1" applyFont="1">
      <alignment shrinkToFit="0" vertical="top" wrapText="1"/>
    </xf>
    <xf borderId="1" fillId="11" fontId="2" numFmtId="0" xfId="0" applyAlignment="1" applyBorder="1" applyFill="1" applyFont="1">
      <alignment shrinkToFit="0" vertical="top" wrapText="1"/>
    </xf>
    <xf borderId="1" fillId="10" fontId="2" numFmtId="0" xfId="0" applyAlignment="1" applyBorder="1" applyFill="1" applyFont="1">
      <alignment shrinkToFit="0" vertical="top" wrapText="1"/>
    </xf>
    <xf borderId="1" fillId="9" fontId="2" numFmtId="0" xfId="0" applyAlignment="1" applyBorder="1" applyFill="1" applyFont="1">
      <alignment shrinkToFit="0" vertical="top" wrapText="1"/>
    </xf>
    <xf borderId="1" fillId="12"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xdr:row>
      <xdr:rowOff>0</xdr:rowOff>
    </xdr:from>
    <xdr:ext cx="8715375" cy="4229100"/>
    <xdr:pic>
      <xdr:nvPicPr>
        <xdr:cNvPr descr="Picture"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27</xdr:row>
      <xdr:rowOff>123825</xdr:rowOff>
    </xdr:from>
    <xdr:ext cx="8143875" cy="2514600"/>
    <xdr:pic>
      <xdr:nvPicPr>
        <xdr:cNvPr descr="Picture"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6" width="14.43"/>
  </cols>
  <sheetData>
    <row r="1" ht="15.0" customHeight="1">
      <c r="A1" s="1" t="s">
        <v>0</v>
      </c>
    </row>
    <row r="2" ht="15.0" customHeight="1">
      <c r="A2" s="2"/>
    </row>
    <row r="3" ht="15.0" customHeight="1">
      <c r="A3" s="3" t="s">
        <v>1</v>
      </c>
    </row>
    <row r="4" ht="15.0" customHeight="1">
      <c r="A4" s="2" t="s">
        <v>2</v>
      </c>
    </row>
    <row r="5" ht="15.0" customHeight="1">
      <c r="A5" s="2" t="s">
        <v>3</v>
      </c>
    </row>
    <row r="6" ht="15.0" customHeight="1">
      <c r="A6" s="2" t="s">
        <v>4</v>
      </c>
    </row>
    <row r="7" ht="15.0" customHeight="1">
      <c r="A7" s="2" t="s">
        <v>5</v>
      </c>
    </row>
    <row r="8" ht="15.0" customHeight="1">
      <c r="A8" s="2" t="s">
        <v>6</v>
      </c>
    </row>
    <row r="9">
      <c r="A9" s="2" t="s">
        <v>7</v>
      </c>
    </row>
    <row r="10" ht="15.0" customHeight="1">
      <c r="A10" s="2"/>
    </row>
    <row r="11" ht="15.0" customHeight="1">
      <c r="A11" s="3" t="s">
        <v>8</v>
      </c>
    </row>
    <row r="12" ht="15.0" customHeight="1">
      <c r="A12" s="2" t="s">
        <v>9</v>
      </c>
    </row>
    <row r="13" ht="15.0" customHeight="1">
      <c r="A13" s="2" t="s">
        <v>10</v>
      </c>
    </row>
    <row r="14" ht="15.0" customHeight="1">
      <c r="A14" s="2" t="s">
        <v>11</v>
      </c>
    </row>
    <row r="15">
      <c r="A15" s="2" t="s">
        <v>12</v>
      </c>
    </row>
    <row r="16" ht="23.25" customHeight="1">
      <c r="A16" s="3" t="s">
        <v>13</v>
      </c>
    </row>
    <row r="17" ht="15.0" customHeight="1">
      <c r="A17" s="2"/>
    </row>
    <row r="18" ht="15.0" customHeight="1">
      <c r="A18" s="3" t="s">
        <v>14</v>
      </c>
    </row>
    <row r="19" ht="23.25" customHeight="1">
      <c r="A19" s="2" t="s">
        <v>15</v>
      </c>
    </row>
    <row r="20" ht="15.0" customHeight="1">
      <c r="A20" s="2" t="s">
        <v>16</v>
      </c>
    </row>
    <row r="21" ht="15.75" customHeight="1">
      <c r="A21" s="2" t="s">
        <v>17</v>
      </c>
    </row>
    <row r="22" ht="15.75" customHeight="1">
      <c r="A22" s="2" t="s">
        <v>18</v>
      </c>
    </row>
    <row r="23" ht="15.75" customHeight="1">
      <c r="A23" s="2" t="s">
        <v>19</v>
      </c>
    </row>
    <row r="24" ht="15.75" customHeight="1">
      <c r="A24" s="2" t="s">
        <v>20</v>
      </c>
    </row>
    <row r="25" ht="15.75" customHeight="1">
      <c r="A25" s="2" t="s">
        <v>21</v>
      </c>
    </row>
    <row r="26" ht="15.75" customHeight="1">
      <c r="A26" s="2"/>
    </row>
    <row r="27" ht="15.75" customHeight="1">
      <c r="A27" s="3" t="s">
        <v>22</v>
      </c>
    </row>
    <row r="28" ht="15.75" customHeight="1">
      <c r="A28" s="2" t="s">
        <v>23</v>
      </c>
    </row>
    <row r="29" ht="15.75" customHeight="1">
      <c r="A29" s="2" t="s">
        <v>24</v>
      </c>
    </row>
    <row r="30" ht="15.75" customHeight="1">
      <c r="A30" s="2"/>
    </row>
    <row r="31" ht="15.75" customHeight="1">
      <c r="A31" s="3" t="s">
        <v>25</v>
      </c>
    </row>
    <row r="32" ht="15.75" customHeight="1">
      <c r="A32" s="2" t="s">
        <v>26</v>
      </c>
    </row>
    <row r="33" ht="15.75" customHeight="1">
      <c r="A33" s="2"/>
    </row>
    <row r="34" ht="15.75" customHeight="1">
      <c r="A34" s="3" t="s">
        <v>27</v>
      </c>
    </row>
    <row r="35" ht="15.75" customHeight="1">
      <c r="A35" s="2" t="s">
        <v>28</v>
      </c>
    </row>
    <row r="36" ht="15.75" customHeight="1">
      <c r="A36" s="2" t="s">
        <v>29</v>
      </c>
    </row>
    <row r="37" ht="15.75" customHeight="1">
      <c r="A37" s="2" t="s">
        <v>30</v>
      </c>
    </row>
    <row r="38" ht="15.75" customHeight="1">
      <c r="A38" s="2" t="s">
        <v>31</v>
      </c>
    </row>
    <row r="39" ht="15.75" customHeight="1">
      <c r="A39" s="2" t="s">
        <v>32</v>
      </c>
    </row>
    <row r="40" ht="15.75" customHeight="1">
      <c r="A40" s="2" t="s">
        <v>33</v>
      </c>
    </row>
    <row r="41" ht="15.75" customHeight="1">
      <c r="A41" s="2" t="s">
        <v>34</v>
      </c>
    </row>
    <row r="42" ht="15.75" customHeight="1">
      <c r="A42" s="2" t="s">
        <v>35</v>
      </c>
    </row>
    <row r="43" ht="15.75" customHeight="1">
      <c r="A43" s="2" t="s">
        <v>36</v>
      </c>
    </row>
    <row r="44" ht="15.75" customHeight="1">
      <c r="A44" s="2" t="s">
        <v>37</v>
      </c>
    </row>
    <row r="45" ht="15.75" customHeight="1">
      <c r="A45" s="2"/>
    </row>
    <row r="46" ht="15.75" customHeight="1">
      <c r="A46" s="2" t="s">
        <v>38</v>
      </c>
    </row>
    <row r="47" ht="15.75" customHeight="1">
      <c r="A47" s="2"/>
    </row>
    <row r="48" ht="15.75" customHeight="1">
      <c r="A48" s="3" t="s">
        <v>39</v>
      </c>
    </row>
    <row r="49" ht="15.75" customHeight="1">
      <c r="A49" s="2" t="s">
        <v>40</v>
      </c>
    </row>
    <row r="50" ht="15.75" customHeight="1">
      <c r="A50" s="3" t="s">
        <v>41</v>
      </c>
    </row>
    <row r="51" ht="15.75" customHeight="1">
      <c r="A51" s="2" t="s">
        <v>42</v>
      </c>
    </row>
    <row r="52" ht="15.75" customHeight="1">
      <c r="A52" s="4"/>
    </row>
    <row r="53" ht="15.75" customHeight="1">
      <c r="A53" s="3" t="s">
        <v>43</v>
      </c>
    </row>
    <row r="54" ht="15.75" customHeight="1">
      <c r="A54" s="2" t="s">
        <v>44</v>
      </c>
    </row>
    <row r="55" ht="15.75" customHeight="1">
      <c r="A55" s="2" t="s">
        <v>45</v>
      </c>
    </row>
    <row r="56" ht="15.75" customHeight="1">
      <c r="A56" s="2" t="s">
        <v>46</v>
      </c>
    </row>
    <row r="57" ht="15.75" customHeight="1">
      <c r="A57" s="2" t="s">
        <v>47</v>
      </c>
    </row>
    <row r="58" ht="15.75" customHeight="1">
      <c r="A58" s="2" t="s">
        <v>48</v>
      </c>
    </row>
    <row r="59" ht="15.75" customHeight="1">
      <c r="A59" s="2" t="s">
        <v>49</v>
      </c>
    </row>
    <row r="60" ht="15.75" customHeight="1">
      <c r="A60" s="2" t="s">
        <v>50</v>
      </c>
    </row>
    <row r="61" ht="15.75" customHeight="1">
      <c r="A61" s="2" t="s">
        <v>51</v>
      </c>
    </row>
    <row r="62" ht="15.75" customHeight="1">
      <c r="A62" s="2"/>
    </row>
    <row r="63" ht="15.75" customHeight="1">
      <c r="A63" s="3" t="s">
        <v>52</v>
      </c>
    </row>
    <row r="64" ht="15.75" customHeight="1">
      <c r="A64" s="2" t="s">
        <v>53</v>
      </c>
    </row>
    <row r="65" ht="15.75" customHeight="1">
      <c r="A65" s="2" t="s">
        <v>54</v>
      </c>
    </row>
    <row r="66" ht="15.75" customHeight="1">
      <c r="A66" s="2" t="s">
        <v>55</v>
      </c>
    </row>
    <row r="67" ht="15.75" customHeight="1"/>
    <row r="68" ht="15.75" customHeight="1">
      <c r="A68" s="3" t="s">
        <v>56</v>
      </c>
    </row>
    <row r="69" ht="15.75" customHeight="1">
      <c r="A69" s="2" t="s">
        <v>57</v>
      </c>
    </row>
    <row r="70" ht="15.75" customHeight="1">
      <c r="A70" s="2" t="s">
        <v>58</v>
      </c>
    </row>
    <row r="71" ht="15.75" customHeight="1">
      <c r="A71" s="2" t="s">
        <v>59</v>
      </c>
    </row>
    <row r="72" ht="15.75" customHeight="1">
      <c r="A72" s="2"/>
    </row>
    <row r="73" ht="15.75" customHeight="1">
      <c r="A73" s="3" t="s">
        <v>60</v>
      </c>
    </row>
    <row r="74" ht="15.75" customHeight="1">
      <c r="A74" s="2" t="s">
        <v>61</v>
      </c>
    </row>
    <row r="75" ht="15.75" customHeight="1">
      <c r="A75" s="2"/>
    </row>
    <row r="76" ht="15.75" customHeight="1">
      <c r="A76" s="3" t="s">
        <v>62</v>
      </c>
    </row>
    <row r="77" ht="15.75" customHeight="1">
      <c r="A77" s="2" t="s">
        <v>63</v>
      </c>
    </row>
    <row r="78" ht="15.75" customHeight="1">
      <c r="A78" s="2" t="s">
        <v>64</v>
      </c>
    </row>
    <row r="79" ht="15.75" customHeight="1">
      <c r="A79" s="2" t="s">
        <v>65</v>
      </c>
    </row>
    <row r="80" ht="15.75" customHeight="1">
      <c r="A80" s="2" t="s">
        <v>66</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6" width="14.43"/>
  </cols>
  <sheetData>
    <row r="1" ht="15.0" customHeight="1">
      <c r="A1" s="5" t="s">
        <v>67</v>
      </c>
    </row>
    <row r="2">
      <c r="A2" s="4"/>
    </row>
    <row r="3" ht="15.0" customHeight="1">
      <c r="A3" s="2" t="s">
        <v>68</v>
      </c>
    </row>
    <row r="4" ht="15.0" customHeight="1">
      <c r="A4" s="2" t="s">
        <v>69</v>
      </c>
    </row>
    <row r="5" ht="15.0" customHeight="1">
      <c r="A5" s="2" t="s">
        <v>70</v>
      </c>
    </row>
    <row r="6" ht="23.25" customHeight="1">
      <c r="A6" s="2" t="s">
        <v>71</v>
      </c>
    </row>
    <row r="7" ht="15.0" customHeight="1">
      <c r="A7" s="2" t="s">
        <v>72</v>
      </c>
    </row>
    <row r="8" ht="34.5" customHeight="1">
      <c r="A8" s="2" t="s">
        <v>73</v>
      </c>
    </row>
    <row r="9" ht="34.5" customHeight="1">
      <c r="A9" s="2" t="s">
        <v>74</v>
      </c>
    </row>
    <row r="10" ht="23.25" customHeight="1">
      <c r="A10" s="2" t="s">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0.0"/>
    <col customWidth="1" min="2" max="2" width="6.0"/>
    <col customWidth="1" min="3" max="3" width="16.0"/>
    <col customWidth="1" min="4" max="4" width="55.0"/>
    <col customWidth="1" min="5" max="5" width="70.0"/>
    <col customWidth="1" min="6" max="7" width="18.0"/>
    <col customWidth="1" min="8" max="8" width="11.0"/>
    <col customWidth="1" min="9" max="9" width="12.0"/>
    <col customWidth="1" min="10" max="10" width="10.0"/>
    <col customWidth="1" min="11" max="11" width="8.0"/>
    <col customWidth="1" min="12" max="12" width="40.0"/>
    <col customWidth="1" min="13" max="13" width="38.0"/>
    <col customWidth="1" min="14" max="14" width="8.0"/>
    <col customWidth="1" min="15" max="15" width="7.0"/>
  </cols>
  <sheetData>
    <row r="1" ht="45.75" customHeight="1">
      <c r="A1" s="6" t="s">
        <v>76</v>
      </c>
      <c r="B1" s="6" t="s">
        <v>77</v>
      </c>
      <c r="C1" s="6" t="s">
        <v>78</v>
      </c>
      <c r="D1" s="6" t="s">
        <v>79</v>
      </c>
      <c r="E1" s="6" t="s">
        <v>80</v>
      </c>
      <c r="F1" s="6" t="s">
        <v>81</v>
      </c>
      <c r="G1" s="6" t="s">
        <v>82</v>
      </c>
      <c r="H1" s="6" t="s">
        <v>83</v>
      </c>
      <c r="I1" s="6" t="s">
        <v>84</v>
      </c>
      <c r="J1" s="6" t="s">
        <v>85</v>
      </c>
      <c r="K1" s="6" t="s">
        <v>86</v>
      </c>
      <c r="L1" s="6" t="s">
        <v>87</v>
      </c>
      <c r="M1" s="6" t="s">
        <v>88</v>
      </c>
      <c r="N1" s="6" t="s">
        <v>89</v>
      </c>
      <c r="O1" s="6" t="s">
        <v>90</v>
      </c>
    </row>
    <row r="2" ht="60.0" customHeight="1">
      <c r="A2" s="7" t="s">
        <v>91</v>
      </c>
      <c r="B2" s="8">
        <v>2026.0</v>
      </c>
      <c r="C2" s="7" t="s">
        <v>92</v>
      </c>
      <c r="D2" s="7" t="s">
        <v>93</v>
      </c>
      <c r="E2" s="7" t="s">
        <v>94</v>
      </c>
      <c r="F2" s="7" t="s">
        <v>95</v>
      </c>
      <c r="G2" s="7" t="s">
        <v>96</v>
      </c>
      <c r="H2" s="7" t="s">
        <v>97</v>
      </c>
      <c r="I2" s="7" t="s">
        <v>98</v>
      </c>
      <c r="J2" s="7" t="s">
        <v>97</v>
      </c>
      <c r="K2" s="7"/>
      <c r="L2" s="7"/>
      <c r="M2" s="7"/>
      <c r="N2" s="9" t="str">
        <f>HYPERLINK("https://pubmed.ncbi.nlm.nih.gov/40831321/","abrir")</f>
        <v>abrir</v>
      </c>
      <c r="O2" s="10" t="b">
        <f t="shared" ref="O2:O451" si="1">IF(B2 &lt; 2024, FALSE() , TRUE())</f>
        <v>1</v>
      </c>
    </row>
    <row r="3" ht="60.0" customHeight="1">
      <c r="A3" s="7" t="s">
        <v>99</v>
      </c>
      <c r="B3" s="8">
        <v>2026.0</v>
      </c>
      <c r="C3" s="7" t="s">
        <v>100</v>
      </c>
      <c r="D3" s="7" t="s">
        <v>101</v>
      </c>
      <c r="E3" s="7" t="s">
        <v>102</v>
      </c>
      <c r="F3" s="7" t="s">
        <v>103</v>
      </c>
      <c r="G3" s="7" t="s">
        <v>96</v>
      </c>
      <c r="H3" s="7" t="s">
        <v>97</v>
      </c>
      <c r="I3" s="7" t="s">
        <v>98</v>
      </c>
      <c r="J3" s="7" t="s">
        <v>97</v>
      </c>
      <c r="K3" s="7"/>
      <c r="L3" s="7"/>
      <c r="M3" s="7"/>
      <c r="N3" s="9" t="str">
        <f>HYPERLINK("https://pubmed.ncbi.nlm.nih.gov/41485045/","abrir")</f>
        <v>abrir</v>
      </c>
      <c r="O3" s="10" t="b">
        <f t="shared" si="1"/>
        <v>1</v>
      </c>
    </row>
    <row r="4" ht="60.0" customHeight="1">
      <c r="A4" s="7" t="s">
        <v>104</v>
      </c>
      <c r="B4" s="8">
        <v>2026.0</v>
      </c>
      <c r="C4" s="7" t="s">
        <v>105</v>
      </c>
      <c r="D4" s="7" t="s">
        <v>106</v>
      </c>
      <c r="E4" s="7" t="s">
        <v>107</v>
      </c>
      <c r="F4" s="7" t="s">
        <v>108</v>
      </c>
      <c r="G4" s="7" t="s">
        <v>96</v>
      </c>
      <c r="H4" s="7" t="s">
        <v>97</v>
      </c>
      <c r="I4" s="7" t="s">
        <v>98</v>
      </c>
      <c r="J4" s="7" t="s">
        <v>97</v>
      </c>
      <c r="K4" s="7"/>
      <c r="L4" s="7"/>
      <c r="M4" s="7"/>
      <c r="N4" s="9" t="str">
        <f>HYPERLINK("https://pubmed.ncbi.nlm.nih.gov/41749627/","abrir")</f>
        <v>abrir</v>
      </c>
      <c r="O4" s="10" t="b">
        <f t="shared" si="1"/>
        <v>1</v>
      </c>
    </row>
    <row r="5" ht="60.0" customHeight="1">
      <c r="A5" s="7" t="s">
        <v>109</v>
      </c>
      <c r="B5" s="8">
        <v>2026.0</v>
      </c>
      <c r="C5" s="7" t="s">
        <v>110</v>
      </c>
      <c r="D5" s="7" t="s">
        <v>111</v>
      </c>
      <c r="E5" s="7" t="s">
        <v>112</v>
      </c>
      <c r="F5" s="7" t="s">
        <v>113</v>
      </c>
      <c r="G5" s="7" t="s">
        <v>96</v>
      </c>
      <c r="H5" s="7" t="s">
        <v>97</v>
      </c>
      <c r="I5" s="7" t="s">
        <v>98</v>
      </c>
      <c r="J5" s="7" t="s">
        <v>97</v>
      </c>
      <c r="K5" s="7"/>
      <c r="L5" s="7"/>
      <c r="M5" s="7" t="s">
        <v>114</v>
      </c>
      <c r="N5" s="9" t="str">
        <f>HYPERLINK("https://pubmed.ncbi.nlm.nih.gov/41840151/","abrir")</f>
        <v>abrir</v>
      </c>
      <c r="O5" s="10" t="b">
        <f t="shared" si="1"/>
        <v>1</v>
      </c>
    </row>
    <row r="6" ht="60.0" customHeight="1">
      <c r="A6" s="7" t="s">
        <v>115</v>
      </c>
      <c r="B6" s="8">
        <v>2026.0</v>
      </c>
      <c r="C6" s="7" t="s">
        <v>116</v>
      </c>
      <c r="D6" s="7" t="s">
        <v>117</v>
      </c>
      <c r="E6" s="7" t="s">
        <v>118</v>
      </c>
      <c r="F6" s="7" t="s">
        <v>119</v>
      </c>
      <c r="G6" s="7" t="s">
        <v>96</v>
      </c>
      <c r="H6" s="7" t="s">
        <v>97</v>
      </c>
      <c r="I6" s="7" t="s">
        <v>98</v>
      </c>
      <c r="J6" s="7" t="s">
        <v>97</v>
      </c>
      <c r="K6" s="7"/>
      <c r="L6" s="7"/>
      <c r="M6" s="7"/>
      <c r="N6" s="9" t="str">
        <f>HYPERLINK("https://pubmed.ncbi.nlm.nih.gov/42302673/","abrir")</f>
        <v>abrir</v>
      </c>
      <c r="O6" s="10" t="b">
        <f t="shared" si="1"/>
        <v>1</v>
      </c>
    </row>
    <row r="7" ht="60.0" customHeight="1">
      <c r="A7" s="7" t="s">
        <v>120</v>
      </c>
      <c r="B7" s="8">
        <v>2026.0</v>
      </c>
      <c r="C7" s="7" t="s">
        <v>121</v>
      </c>
      <c r="D7" s="7" t="s">
        <v>122</v>
      </c>
      <c r="E7" s="7" t="s">
        <v>123</v>
      </c>
      <c r="F7" s="7" t="s">
        <v>124</v>
      </c>
      <c r="G7" s="7" t="s">
        <v>125</v>
      </c>
      <c r="H7" s="7" t="s">
        <v>126</v>
      </c>
      <c r="I7" s="7" t="s">
        <v>98</v>
      </c>
      <c r="J7" s="7" t="s">
        <v>97</v>
      </c>
      <c r="K7" s="7"/>
      <c r="L7" s="7"/>
      <c r="M7" s="7" t="s">
        <v>127</v>
      </c>
      <c r="N7" s="9" t="str">
        <f>HYPERLINK("https://pubmed.ncbi.nlm.nih.gov/42437037/","abrir")</f>
        <v>abrir</v>
      </c>
      <c r="O7" s="10" t="b">
        <f t="shared" si="1"/>
        <v>1</v>
      </c>
    </row>
    <row r="8" ht="60.0" customHeight="1">
      <c r="A8" s="7" t="s">
        <v>128</v>
      </c>
      <c r="B8" s="8">
        <v>2026.0</v>
      </c>
      <c r="C8" s="7" t="s">
        <v>129</v>
      </c>
      <c r="D8" s="7" t="s">
        <v>130</v>
      </c>
      <c r="E8" s="7" t="s">
        <v>131</v>
      </c>
      <c r="F8" s="7" t="s">
        <v>132</v>
      </c>
      <c r="G8" s="7" t="s">
        <v>96</v>
      </c>
      <c r="H8" s="7" t="s">
        <v>97</v>
      </c>
      <c r="I8" s="7" t="s">
        <v>98</v>
      </c>
      <c r="J8" s="7" t="s">
        <v>97</v>
      </c>
      <c r="K8" s="7"/>
      <c r="L8" s="7"/>
      <c r="M8" s="7"/>
      <c r="N8" s="9" t="str">
        <f>HYPERLINK("https://pubmed.ncbi.nlm.nih.gov/42599515/","abrir")</f>
        <v>abrir</v>
      </c>
      <c r="O8" s="10" t="b">
        <f t="shared" si="1"/>
        <v>1</v>
      </c>
    </row>
    <row r="9" ht="60.0" customHeight="1">
      <c r="A9" s="7" t="s">
        <v>133</v>
      </c>
      <c r="B9" s="8">
        <v>2026.0</v>
      </c>
      <c r="C9" s="7" t="s">
        <v>134</v>
      </c>
      <c r="D9" s="7" t="s">
        <v>135</v>
      </c>
      <c r="E9" s="7" t="s">
        <v>136</v>
      </c>
      <c r="F9" s="7" t="s">
        <v>137</v>
      </c>
      <c r="G9" s="7" t="s">
        <v>96</v>
      </c>
      <c r="H9" s="7" t="s">
        <v>97</v>
      </c>
      <c r="I9" s="7" t="s">
        <v>98</v>
      </c>
      <c r="J9" s="7" t="s">
        <v>97</v>
      </c>
      <c r="K9" s="7"/>
      <c r="L9" s="7"/>
      <c r="M9" s="7" t="s">
        <v>138</v>
      </c>
      <c r="N9" s="9" t="str">
        <f>HYPERLINK("https://pubmed.ncbi.nlm.nih.gov/42634104/","abrir")</f>
        <v>abrir</v>
      </c>
      <c r="O9" s="10" t="b">
        <f t="shared" si="1"/>
        <v>1</v>
      </c>
    </row>
    <row r="10" ht="60.0" customHeight="1">
      <c r="A10" s="7" t="s">
        <v>139</v>
      </c>
      <c r="B10" s="8">
        <v>2026.0</v>
      </c>
      <c r="C10" s="7" t="s">
        <v>140</v>
      </c>
      <c r="D10" s="7" t="s">
        <v>141</v>
      </c>
      <c r="E10" s="7" t="s">
        <v>142</v>
      </c>
      <c r="F10" s="7" t="s">
        <v>143</v>
      </c>
      <c r="G10" s="7" t="s">
        <v>144</v>
      </c>
      <c r="H10" s="7" t="s">
        <v>97</v>
      </c>
      <c r="I10" s="7" t="s">
        <v>98</v>
      </c>
      <c r="J10" s="7" t="s">
        <v>97</v>
      </c>
      <c r="K10" s="7"/>
      <c r="L10" s="7"/>
      <c r="M10" s="7" t="s">
        <v>145</v>
      </c>
      <c r="N10" s="9" t="str">
        <f>HYPERLINK("https://pubmed.ncbi.nlm.nih.gov/42746679/","abrir")</f>
        <v>abrir</v>
      </c>
      <c r="O10" s="10" t="b">
        <f t="shared" si="1"/>
        <v>1</v>
      </c>
    </row>
    <row r="11" ht="60.0" customHeight="1">
      <c r="A11" s="7" t="s">
        <v>146</v>
      </c>
      <c r="B11" s="8">
        <v>2026.0</v>
      </c>
      <c r="C11" s="7" t="s">
        <v>147</v>
      </c>
      <c r="D11" s="7" t="s">
        <v>148</v>
      </c>
      <c r="E11" s="7" t="s">
        <v>149</v>
      </c>
      <c r="F11" s="7" t="s">
        <v>95</v>
      </c>
      <c r="G11" s="7" t="s">
        <v>96</v>
      </c>
      <c r="H11" s="7" t="s">
        <v>97</v>
      </c>
      <c r="I11" s="7" t="s">
        <v>98</v>
      </c>
      <c r="J11" s="7" t="s">
        <v>97</v>
      </c>
      <c r="K11" s="7"/>
      <c r="L11" s="7"/>
      <c r="M11" s="7"/>
      <c r="N11" s="9" t="str">
        <f>HYPERLINK("https://pubmed.ncbi.nlm.nih.gov/42764676/","abrir")</f>
        <v>abrir</v>
      </c>
      <c r="O11" s="10" t="b">
        <f t="shared" si="1"/>
        <v>1</v>
      </c>
    </row>
    <row r="12" ht="60.0" customHeight="1">
      <c r="A12" s="7" t="s">
        <v>150</v>
      </c>
      <c r="B12" s="8">
        <v>2025.0</v>
      </c>
      <c r="C12" s="7" t="s">
        <v>151</v>
      </c>
      <c r="D12" s="7" t="s">
        <v>152</v>
      </c>
      <c r="E12" s="7" t="s">
        <v>153</v>
      </c>
      <c r="F12" s="7" t="s">
        <v>154</v>
      </c>
      <c r="G12" s="7" t="s">
        <v>96</v>
      </c>
      <c r="H12" s="7" t="s">
        <v>126</v>
      </c>
      <c r="I12" s="7" t="s">
        <v>98</v>
      </c>
      <c r="J12" s="7" t="s">
        <v>126</v>
      </c>
      <c r="K12" s="7"/>
      <c r="L12" s="7"/>
      <c r="M12" s="7"/>
      <c r="N12" s="9" t="str">
        <f>HYPERLINK("https://pubmed.ncbi.nlm.nih.gov/39821650/","abrir")</f>
        <v>abrir</v>
      </c>
      <c r="O12" s="10" t="b">
        <f t="shared" si="1"/>
        <v>1</v>
      </c>
    </row>
    <row r="13" ht="60.0" customHeight="1">
      <c r="A13" s="7" t="s">
        <v>155</v>
      </c>
      <c r="B13" s="8">
        <v>2025.0</v>
      </c>
      <c r="C13" s="7" t="s">
        <v>92</v>
      </c>
      <c r="D13" s="7" t="s">
        <v>156</v>
      </c>
      <c r="E13" s="7" t="s">
        <v>157</v>
      </c>
      <c r="F13" s="7" t="s">
        <v>158</v>
      </c>
      <c r="G13" s="7" t="s">
        <v>96</v>
      </c>
      <c r="H13" s="7" t="s">
        <v>97</v>
      </c>
      <c r="I13" s="7" t="s">
        <v>98</v>
      </c>
      <c r="J13" s="7" t="s">
        <v>97</v>
      </c>
      <c r="K13" s="7"/>
      <c r="L13" s="7"/>
      <c r="M13" s="7"/>
      <c r="N13" s="9" t="str">
        <f>HYPERLINK("https://pubmed.ncbi.nlm.nih.gov/39854275/","abrir")</f>
        <v>abrir</v>
      </c>
      <c r="O13" s="10" t="b">
        <f t="shared" si="1"/>
        <v>1</v>
      </c>
    </row>
    <row r="14" ht="60.0" customHeight="1">
      <c r="A14" s="7" t="s">
        <v>159</v>
      </c>
      <c r="B14" s="8">
        <v>2025.0</v>
      </c>
      <c r="C14" s="7" t="s">
        <v>160</v>
      </c>
      <c r="D14" s="7" t="s">
        <v>161</v>
      </c>
      <c r="E14" s="7" t="s">
        <v>162</v>
      </c>
      <c r="F14" s="7" t="s">
        <v>154</v>
      </c>
      <c r="G14" s="7" t="s">
        <v>163</v>
      </c>
      <c r="H14" s="7" t="s">
        <v>97</v>
      </c>
      <c r="I14" s="7" t="s">
        <v>98</v>
      </c>
      <c r="J14" s="7" t="s">
        <v>97</v>
      </c>
      <c r="K14" s="7"/>
      <c r="L14" s="7"/>
      <c r="M14" s="7"/>
      <c r="N14" s="9" t="str">
        <f>HYPERLINK("https://pubmed.ncbi.nlm.nih.gov/39937286/","abrir")</f>
        <v>abrir</v>
      </c>
      <c r="O14" s="10" t="b">
        <f t="shared" si="1"/>
        <v>1</v>
      </c>
    </row>
    <row r="15" ht="60.0" customHeight="1">
      <c r="A15" s="7" t="s">
        <v>164</v>
      </c>
      <c r="B15" s="8">
        <v>2025.0</v>
      </c>
      <c r="C15" s="7" t="s">
        <v>165</v>
      </c>
      <c r="D15" s="7" t="s">
        <v>166</v>
      </c>
      <c r="E15" s="7" t="s">
        <v>167</v>
      </c>
      <c r="F15" s="7" t="s">
        <v>168</v>
      </c>
      <c r="G15" s="7" t="s">
        <v>96</v>
      </c>
      <c r="H15" s="7" t="s">
        <v>97</v>
      </c>
      <c r="I15" s="7" t="s">
        <v>98</v>
      </c>
      <c r="J15" s="7" t="s">
        <v>97</v>
      </c>
      <c r="K15" s="7"/>
      <c r="L15" s="7"/>
      <c r="M15" s="7"/>
      <c r="N15" s="9" t="str">
        <f>HYPERLINK("https://pubmed.ncbi.nlm.nih.gov/40010013/","abrir")</f>
        <v>abrir</v>
      </c>
      <c r="O15" s="10" t="b">
        <f t="shared" si="1"/>
        <v>1</v>
      </c>
    </row>
    <row r="16" ht="60.0" customHeight="1">
      <c r="A16" s="7" t="s">
        <v>169</v>
      </c>
      <c r="B16" s="8">
        <v>2025.0</v>
      </c>
      <c r="C16" s="7" t="s">
        <v>170</v>
      </c>
      <c r="D16" s="7" t="s">
        <v>171</v>
      </c>
      <c r="E16" s="7" t="s">
        <v>172</v>
      </c>
      <c r="F16" s="7" t="s">
        <v>154</v>
      </c>
      <c r="G16" s="7" t="s">
        <v>173</v>
      </c>
      <c r="H16" s="7" t="s">
        <v>97</v>
      </c>
      <c r="I16" s="7" t="s">
        <v>98</v>
      </c>
      <c r="J16" s="7" t="s">
        <v>97</v>
      </c>
      <c r="K16" s="7"/>
      <c r="L16" s="7"/>
      <c r="M16" s="7"/>
      <c r="N16" s="9" t="str">
        <f>HYPERLINK("https://pubmed.ncbi.nlm.nih.gov/40537699/","abrir")</f>
        <v>abrir</v>
      </c>
      <c r="O16" s="10" t="b">
        <f t="shared" si="1"/>
        <v>1</v>
      </c>
    </row>
    <row r="17" ht="60.0" customHeight="1">
      <c r="A17" s="7" t="s">
        <v>174</v>
      </c>
      <c r="B17" s="8">
        <v>2025.0</v>
      </c>
      <c r="C17" s="7" t="s">
        <v>175</v>
      </c>
      <c r="D17" s="7" t="s">
        <v>176</v>
      </c>
      <c r="E17" s="7" t="s">
        <v>177</v>
      </c>
      <c r="F17" s="7" t="s">
        <v>178</v>
      </c>
      <c r="G17" s="7" t="s">
        <v>96</v>
      </c>
      <c r="H17" s="7" t="s">
        <v>97</v>
      </c>
      <c r="I17" s="7" t="s">
        <v>98</v>
      </c>
      <c r="J17" s="7" t="s">
        <v>97</v>
      </c>
      <c r="K17" s="7"/>
      <c r="L17" s="7"/>
      <c r="M17" s="7"/>
      <c r="N17" s="9" t="str">
        <f>HYPERLINK("https://pubmed.ncbi.nlm.nih.gov/40599664/","abrir")</f>
        <v>abrir</v>
      </c>
      <c r="O17" s="10" t="b">
        <f t="shared" si="1"/>
        <v>1</v>
      </c>
    </row>
    <row r="18" ht="60.0" customHeight="1">
      <c r="A18" s="7" t="s">
        <v>179</v>
      </c>
      <c r="B18" s="8">
        <v>2025.0</v>
      </c>
      <c r="C18" s="7" t="s">
        <v>180</v>
      </c>
      <c r="D18" s="7" t="s">
        <v>181</v>
      </c>
      <c r="E18" s="7" t="s">
        <v>182</v>
      </c>
      <c r="F18" s="7" t="s">
        <v>183</v>
      </c>
      <c r="G18" s="7" t="s">
        <v>184</v>
      </c>
      <c r="H18" s="7" t="s">
        <v>97</v>
      </c>
      <c r="I18" s="7" t="s">
        <v>98</v>
      </c>
      <c r="J18" s="7" t="s">
        <v>97</v>
      </c>
      <c r="K18" s="7"/>
      <c r="L18" s="7"/>
      <c r="M18" s="7" t="s">
        <v>185</v>
      </c>
      <c r="N18" s="9" t="str">
        <f>HYPERLINK("https://pubmed.ncbi.nlm.nih.gov/40920381/","abrir")</f>
        <v>abrir</v>
      </c>
      <c r="O18" s="10" t="b">
        <f t="shared" si="1"/>
        <v>1</v>
      </c>
    </row>
    <row r="19" ht="60.0" customHeight="1">
      <c r="A19" s="7" t="s">
        <v>186</v>
      </c>
      <c r="B19" s="8">
        <v>2025.0</v>
      </c>
      <c r="C19" s="7" t="s">
        <v>187</v>
      </c>
      <c r="D19" s="7" t="s">
        <v>188</v>
      </c>
      <c r="E19" s="7" t="s">
        <v>189</v>
      </c>
      <c r="F19" s="7" t="s">
        <v>154</v>
      </c>
      <c r="G19" s="7" t="s">
        <v>96</v>
      </c>
      <c r="H19" s="7" t="s">
        <v>97</v>
      </c>
      <c r="I19" s="7" t="s">
        <v>98</v>
      </c>
      <c r="J19" s="7" t="s">
        <v>126</v>
      </c>
      <c r="K19" s="7"/>
      <c r="L19" s="7"/>
      <c r="M19" s="7"/>
      <c r="N19" s="9" t="str">
        <f>HYPERLINK("https://pubmed.ncbi.nlm.nih.gov/41420650/","abrir")</f>
        <v>abrir</v>
      </c>
      <c r="O19" s="10" t="b">
        <f t="shared" si="1"/>
        <v>1</v>
      </c>
    </row>
    <row r="20" ht="60.0" customHeight="1">
      <c r="A20" s="7" t="s">
        <v>190</v>
      </c>
      <c r="B20" s="8">
        <v>2024.0</v>
      </c>
      <c r="C20" s="7" t="s">
        <v>191</v>
      </c>
      <c r="D20" s="7" t="s">
        <v>192</v>
      </c>
      <c r="E20" s="7" t="s">
        <v>193</v>
      </c>
      <c r="F20" s="7" t="s">
        <v>95</v>
      </c>
      <c r="G20" s="7" t="s">
        <v>96</v>
      </c>
      <c r="H20" s="7" t="s">
        <v>126</v>
      </c>
      <c r="I20" s="7" t="s">
        <v>98</v>
      </c>
      <c r="J20" s="7" t="s">
        <v>97</v>
      </c>
      <c r="K20" s="7"/>
      <c r="L20" s="7"/>
      <c r="M20" s="7" t="s">
        <v>194</v>
      </c>
      <c r="N20" s="9" t="str">
        <f>HYPERLINK("https://pubmed.ncbi.nlm.nih.gov/37822198/","abrir")</f>
        <v>abrir</v>
      </c>
      <c r="O20" s="10" t="b">
        <f t="shared" si="1"/>
        <v>1</v>
      </c>
    </row>
    <row r="21" ht="60.0" customHeight="1">
      <c r="A21" s="7" t="s">
        <v>195</v>
      </c>
      <c r="B21" s="8">
        <v>2024.0</v>
      </c>
      <c r="C21" s="7" t="s">
        <v>196</v>
      </c>
      <c r="D21" s="7" t="s">
        <v>197</v>
      </c>
      <c r="E21" s="7" t="s">
        <v>198</v>
      </c>
      <c r="F21" s="7" t="s">
        <v>199</v>
      </c>
      <c r="G21" s="7" t="s">
        <v>96</v>
      </c>
      <c r="H21" s="7" t="s">
        <v>97</v>
      </c>
      <c r="I21" s="7" t="s">
        <v>98</v>
      </c>
      <c r="J21" s="7" t="s">
        <v>97</v>
      </c>
      <c r="K21" s="7"/>
      <c r="L21" s="7"/>
      <c r="M21" s="7"/>
      <c r="N21" s="9" t="str">
        <f>HYPERLINK("https://pubmed.ncbi.nlm.nih.gov/38071520/","abrir")</f>
        <v>abrir</v>
      </c>
      <c r="O21" s="10" t="b">
        <f t="shared" si="1"/>
        <v>1</v>
      </c>
    </row>
    <row r="22" ht="60.0" customHeight="1">
      <c r="A22" s="7" t="s">
        <v>200</v>
      </c>
      <c r="B22" s="8">
        <v>2024.0</v>
      </c>
      <c r="C22" s="7" t="s">
        <v>201</v>
      </c>
      <c r="D22" s="7" t="s">
        <v>202</v>
      </c>
      <c r="E22" s="7" t="s">
        <v>203</v>
      </c>
      <c r="F22" s="7" t="s">
        <v>204</v>
      </c>
      <c r="G22" s="7" t="s">
        <v>96</v>
      </c>
      <c r="H22" s="7" t="s">
        <v>97</v>
      </c>
      <c r="I22" s="7" t="s">
        <v>98</v>
      </c>
      <c r="J22" s="7" t="s">
        <v>97</v>
      </c>
      <c r="K22" s="7"/>
      <c r="L22" s="7"/>
      <c r="M22" s="7"/>
      <c r="N22" s="9" t="str">
        <f>HYPERLINK("https://pubmed.ncbi.nlm.nih.gov/38340889/","abrir")</f>
        <v>abrir</v>
      </c>
      <c r="O22" s="10" t="b">
        <f t="shared" si="1"/>
        <v>1</v>
      </c>
    </row>
    <row r="23" ht="60.0" customHeight="1">
      <c r="A23" s="7" t="s">
        <v>205</v>
      </c>
      <c r="B23" s="8">
        <v>2024.0</v>
      </c>
      <c r="C23" s="7" t="s">
        <v>206</v>
      </c>
      <c r="D23" s="7" t="s">
        <v>207</v>
      </c>
      <c r="E23" s="7" t="s">
        <v>208</v>
      </c>
      <c r="F23" s="7" t="s">
        <v>95</v>
      </c>
      <c r="G23" s="7" t="s">
        <v>96</v>
      </c>
      <c r="H23" s="7" t="s">
        <v>97</v>
      </c>
      <c r="I23" s="7" t="s">
        <v>98</v>
      </c>
      <c r="J23" s="7" t="s">
        <v>97</v>
      </c>
      <c r="K23" s="7"/>
      <c r="L23" s="7"/>
      <c r="M23" s="7"/>
      <c r="N23" s="9" t="str">
        <f>HYPERLINK("https://pubmed.ncbi.nlm.nih.gov/38884184/","abrir")</f>
        <v>abrir</v>
      </c>
      <c r="O23" s="10" t="b">
        <f t="shared" si="1"/>
        <v>1</v>
      </c>
    </row>
    <row r="24" ht="60.0" customHeight="1">
      <c r="A24" s="7" t="s">
        <v>209</v>
      </c>
      <c r="B24" s="8">
        <v>2024.0</v>
      </c>
      <c r="C24" s="7" t="s">
        <v>210</v>
      </c>
      <c r="D24" s="7" t="s">
        <v>211</v>
      </c>
      <c r="E24" s="7" t="s">
        <v>212</v>
      </c>
      <c r="F24" s="7" t="s">
        <v>213</v>
      </c>
      <c r="G24" s="7" t="s">
        <v>96</v>
      </c>
      <c r="H24" s="7" t="s">
        <v>97</v>
      </c>
      <c r="I24" s="7" t="s">
        <v>98</v>
      </c>
      <c r="J24" s="7" t="s">
        <v>97</v>
      </c>
      <c r="K24" s="7"/>
      <c r="L24" s="7"/>
      <c r="M24" s="7"/>
      <c r="N24" s="9" t="str">
        <f>HYPERLINK("https://pubmed.ncbi.nlm.nih.gov/39296445/","abrir")</f>
        <v>abrir</v>
      </c>
      <c r="O24" s="10" t="b">
        <f t="shared" si="1"/>
        <v>1</v>
      </c>
    </row>
    <row r="25" ht="60.0" customHeight="1">
      <c r="A25" s="7" t="s">
        <v>214</v>
      </c>
      <c r="B25" s="8">
        <v>2024.0</v>
      </c>
      <c r="C25" s="7" t="s">
        <v>215</v>
      </c>
      <c r="D25" s="7" t="s">
        <v>216</v>
      </c>
      <c r="E25" s="7" t="s">
        <v>217</v>
      </c>
      <c r="F25" s="7" t="s">
        <v>143</v>
      </c>
      <c r="G25" s="7" t="s">
        <v>218</v>
      </c>
      <c r="H25" s="7" t="s">
        <v>97</v>
      </c>
      <c r="I25" s="7" t="s">
        <v>98</v>
      </c>
      <c r="J25" s="7" t="s">
        <v>97</v>
      </c>
      <c r="K25" s="7"/>
      <c r="L25" s="7"/>
      <c r="M25" s="7" t="s">
        <v>219</v>
      </c>
      <c r="N25" s="9" t="str">
        <f>HYPERLINK("https://pubmed.ncbi.nlm.nih.gov/40016985/","abrir")</f>
        <v>abrir</v>
      </c>
      <c r="O25" s="10" t="b">
        <f t="shared" si="1"/>
        <v>1</v>
      </c>
    </row>
    <row r="26" ht="60.0" customHeight="1">
      <c r="A26" s="7" t="s">
        <v>220</v>
      </c>
      <c r="B26" s="8">
        <v>2023.0</v>
      </c>
      <c r="C26" s="7" t="s">
        <v>221</v>
      </c>
      <c r="D26" s="7" t="s">
        <v>222</v>
      </c>
      <c r="E26" s="7" t="s">
        <v>223</v>
      </c>
      <c r="F26" s="7" t="s">
        <v>168</v>
      </c>
      <c r="G26" s="7" t="s">
        <v>96</v>
      </c>
      <c r="H26" s="7" t="s">
        <v>97</v>
      </c>
      <c r="I26" s="7" t="s">
        <v>98</v>
      </c>
      <c r="J26" s="7" t="s">
        <v>97</v>
      </c>
      <c r="K26" s="7"/>
      <c r="L26" s="7"/>
      <c r="M26" s="7"/>
      <c r="N26" s="9" t="str">
        <f>HYPERLINK("https://pubmed.ncbi.nlm.nih.gov/36402594/","abrir")</f>
        <v>abrir</v>
      </c>
      <c r="O26" s="10" t="b">
        <f t="shared" si="1"/>
        <v>0</v>
      </c>
    </row>
    <row r="27" ht="60.0" customHeight="1">
      <c r="A27" s="7" t="s">
        <v>224</v>
      </c>
      <c r="B27" s="8">
        <v>2023.0</v>
      </c>
      <c r="C27" s="7" t="s">
        <v>225</v>
      </c>
      <c r="D27" s="7" t="s">
        <v>226</v>
      </c>
      <c r="E27" s="7" t="s">
        <v>227</v>
      </c>
      <c r="F27" s="7" t="s">
        <v>228</v>
      </c>
      <c r="G27" s="7" t="s">
        <v>96</v>
      </c>
      <c r="H27" s="7" t="s">
        <v>97</v>
      </c>
      <c r="I27" s="7" t="s">
        <v>98</v>
      </c>
      <c r="J27" s="7" t="s">
        <v>97</v>
      </c>
      <c r="K27" s="7"/>
      <c r="L27" s="7"/>
      <c r="M27" s="7"/>
      <c r="N27" s="9" t="str">
        <f>HYPERLINK("https://pubmed.ncbi.nlm.nih.gov/36776116/","abrir")</f>
        <v>abrir</v>
      </c>
      <c r="O27" s="10" t="b">
        <f t="shared" si="1"/>
        <v>0</v>
      </c>
    </row>
    <row r="28" ht="60.0" customHeight="1">
      <c r="A28" s="7" t="s">
        <v>229</v>
      </c>
      <c r="B28" s="8">
        <v>2023.0</v>
      </c>
      <c r="C28" s="7" t="s">
        <v>230</v>
      </c>
      <c r="D28" s="7" t="s">
        <v>231</v>
      </c>
      <c r="E28" s="7" t="s">
        <v>232</v>
      </c>
      <c r="F28" s="7" t="s">
        <v>233</v>
      </c>
      <c r="G28" s="7" t="s">
        <v>96</v>
      </c>
      <c r="H28" s="7" t="s">
        <v>126</v>
      </c>
      <c r="I28" s="7" t="s">
        <v>98</v>
      </c>
      <c r="J28" s="7" t="s">
        <v>126</v>
      </c>
      <c r="K28" s="7"/>
      <c r="L28" s="7"/>
      <c r="M28" s="7"/>
      <c r="N28" s="9" t="str">
        <f>HYPERLINK("https://pubmed.ncbi.nlm.nih.gov/36863687/","abrir")</f>
        <v>abrir</v>
      </c>
      <c r="O28" s="10" t="b">
        <f t="shared" si="1"/>
        <v>0</v>
      </c>
    </row>
    <row r="29" ht="60.0" customHeight="1">
      <c r="A29" s="7" t="s">
        <v>234</v>
      </c>
      <c r="B29" s="8">
        <v>2023.0</v>
      </c>
      <c r="C29" s="7" t="s">
        <v>235</v>
      </c>
      <c r="D29" s="7" t="s">
        <v>236</v>
      </c>
      <c r="E29" s="7" t="s">
        <v>237</v>
      </c>
      <c r="F29" s="7" t="s">
        <v>238</v>
      </c>
      <c r="G29" s="7" t="s">
        <v>184</v>
      </c>
      <c r="H29" s="7" t="s">
        <v>126</v>
      </c>
      <c r="I29" s="7" t="s">
        <v>98</v>
      </c>
      <c r="J29" s="7" t="s">
        <v>97</v>
      </c>
      <c r="K29" s="7"/>
      <c r="L29" s="7"/>
      <c r="M29" s="7"/>
      <c r="N29" s="9" t="str">
        <f>HYPERLINK("https://pubmed.ncbi.nlm.nih.gov/36882305/","abrir")</f>
        <v>abrir</v>
      </c>
      <c r="O29" s="10" t="b">
        <f t="shared" si="1"/>
        <v>0</v>
      </c>
    </row>
    <row r="30" ht="60.0" customHeight="1">
      <c r="A30" s="7" t="s">
        <v>239</v>
      </c>
      <c r="B30" s="8">
        <v>2023.0</v>
      </c>
      <c r="C30" s="7" t="s">
        <v>240</v>
      </c>
      <c r="D30" s="7" t="s">
        <v>241</v>
      </c>
      <c r="E30" s="7" t="s">
        <v>242</v>
      </c>
      <c r="F30" s="7" t="s">
        <v>243</v>
      </c>
      <c r="G30" s="7" t="s">
        <v>96</v>
      </c>
      <c r="H30" s="7" t="s">
        <v>97</v>
      </c>
      <c r="I30" s="7" t="s">
        <v>98</v>
      </c>
      <c r="J30" s="7" t="s">
        <v>126</v>
      </c>
      <c r="K30" s="7"/>
      <c r="L30" s="7"/>
      <c r="M30" s="7"/>
      <c r="N30" s="9" t="str">
        <f>HYPERLINK("https://pubmed.ncbi.nlm.nih.gov/37070966/","abrir")</f>
        <v>abrir</v>
      </c>
      <c r="O30" s="10" t="b">
        <f t="shared" si="1"/>
        <v>0</v>
      </c>
    </row>
    <row r="31" ht="60.0" customHeight="1">
      <c r="A31" s="7" t="s">
        <v>244</v>
      </c>
      <c r="B31" s="8">
        <v>2023.0</v>
      </c>
      <c r="C31" s="7" t="s">
        <v>245</v>
      </c>
      <c r="D31" s="7" t="s">
        <v>246</v>
      </c>
      <c r="E31" s="7" t="s">
        <v>247</v>
      </c>
      <c r="F31" s="7" t="s">
        <v>248</v>
      </c>
      <c r="G31" s="7" t="s">
        <v>96</v>
      </c>
      <c r="H31" s="7" t="s">
        <v>97</v>
      </c>
      <c r="I31" s="7" t="s">
        <v>98</v>
      </c>
      <c r="J31" s="7" t="s">
        <v>97</v>
      </c>
      <c r="K31" s="7"/>
      <c r="L31" s="7"/>
      <c r="M31" s="7"/>
      <c r="N31" s="9" t="str">
        <f>HYPERLINK("https://pubmed.ncbi.nlm.nih.gov/37210512/","abrir")</f>
        <v>abrir</v>
      </c>
      <c r="O31" s="10" t="b">
        <f t="shared" si="1"/>
        <v>0</v>
      </c>
    </row>
    <row r="32" ht="60.0" customHeight="1">
      <c r="A32" s="7" t="s">
        <v>249</v>
      </c>
      <c r="B32" s="8">
        <v>2023.0</v>
      </c>
      <c r="C32" s="7" t="s">
        <v>250</v>
      </c>
      <c r="D32" s="7" t="s">
        <v>251</v>
      </c>
      <c r="E32" s="7" t="s">
        <v>252</v>
      </c>
      <c r="F32" s="7" t="s">
        <v>95</v>
      </c>
      <c r="G32" s="7" t="s">
        <v>96</v>
      </c>
      <c r="H32" s="7" t="s">
        <v>97</v>
      </c>
      <c r="I32" s="7" t="s">
        <v>98</v>
      </c>
      <c r="J32" s="7" t="s">
        <v>97</v>
      </c>
      <c r="K32" s="7"/>
      <c r="L32" s="7"/>
      <c r="M32" s="7"/>
      <c r="N32" s="9" t="str">
        <f>HYPERLINK("https://pubmed.ncbi.nlm.nih.gov/37698299/","abrir")</f>
        <v>abrir</v>
      </c>
      <c r="O32" s="10" t="b">
        <f t="shared" si="1"/>
        <v>0</v>
      </c>
    </row>
    <row r="33" ht="60.0" customHeight="1">
      <c r="A33" s="7" t="s">
        <v>253</v>
      </c>
      <c r="B33" s="8">
        <v>2023.0</v>
      </c>
      <c r="C33" s="7" t="s">
        <v>254</v>
      </c>
      <c r="D33" s="7" t="s">
        <v>255</v>
      </c>
      <c r="E33" s="7" t="s">
        <v>256</v>
      </c>
      <c r="F33" s="7" t="s">
        <v>257</v>
      </c>
      <c r="G33" s="7" t="s">
        <v>96</v>
      </c>
      <c r="H33" s="7" t="s">
        <v>97</v>
      </c>
      <c r="I33" s="7" t="s">
        <v>98</v>
      </c>
      <c r="J33" s="7" t="s">
        <v>97</v>
      </c>
      <c r="K33" s="7"/>
      <c r="L33" s="7"/>
      <c r="M33" s="7" t="s">
        <v>138</v>
      </c>
      <c r="N33" s="9" t="str">
        <f>HYPERLINK("https://pubmed.ncbi.nlm.nih.gov/37821084/","abrir")</f>
        <v>abrir</v>
      </c>
      <c r="O33" s="10" t="b">
        <f t="shared" si="1"/>
        <v>0</v>
      </c>
    </row>
    <row r="34" ht="60.0" customHeight="1">
      <c r="A34" s="7" t="s">
        <v>258</v>
      </c>
      <c r="B34" s="8">
        <v>2023.0</v>
      </c>
      <c r="C34" s="7" t="s">
        <v>121</v>
      </c>
      <c r="D34" s="7" t="s">
        <v>259</v>
      </c>
      <c r="E34" s="7" t="s">
        <v>260</v>
      </c>
      <c r="F34" s="7" t="s">
        <v>124</v>
      </c>
      <c r="G34" s="7" t="s">
        <v>184</v>
      </c>
      <c r="H34" s="7" t="s">
        <v>97</v>
      </c>
      <c r="I34" s="7" t="s">
        <v>98</v>
      </c>
      <c r="J34" s="7" t="s">
        <v>97</v>
      </c>
      <c r="K34" s="7"/>
      <c r="L34" s="7"/>
      <c r="M34" s="7"/>
      <c r="N34" s="9" t="str">
        <f>HYPERLINK("https://pubmed.ncbi.nlm.nih.gov/38047023/","abrir")</f>
        <v>abrir</v>
      </c>
      <c r="O34" s="10" t="b">
        <f t="shared" si="1"/>
        <v>0</v>
      </c>
    </row>
    <row r="35" ht="60.0" customHeight="1">
      <c r="A35" s="7" t="s">
        <v>261</v>
      </c>
      <c r="B35" s="8">
        <v>2023.0</v>
      </c>
      <c r="C35" s="7" t="s">
        <v>262</v>
      </c>
      <c r="D35" s="7" t="s">
        <v>263</v>
      </c>
      <c r="E35" s="7" t="s">
        <v>264</v>
      </c>
      <c r="F35" s="7" t="s">
        <v>265</v>
      </c>
      <c r="G35" s="7" t="s">
        <v>96</v>
      </c>
      <c r="H35" s="7" t="s">
        <v>97</v>
      </c>
      <c r="I35" s="7" t="s">
        <v>98</v>
      </c>
      <c r="J35" s="7" t="s">
        <v>97</v>
      </c>
      <c r="K35" s="7"/>
      <c r="L35" s="7"/>
      <c r="M35" s="7"/>
      <c r="N35" s="9" t="str">
        <f>HYPERLINK("https://pubmed.ncbi.nlm.nih.gov/38075989/","abrir")</f>
        <v>abrir</v>
      </c>
      <c r="O35" s="10" t="b">
        <f t="shared" si="1"/>
        <v>0</v>
      </c>
    </row>
    <row r="36" ht="60.0" customHeight="1">
      <c r="A36" s="7" t="s">
        <v>266</v>
      </c>
      <c r="B36" s="8">
        <v>2023.0</v>
      </c>
      <c r="C36" s="7" t="s">
        <v>267</v>
      </c>
      <c r="D36" s="7" t="s">
        <v>268</v>
      </c>
      <c r="E36" s="7" t="s">
        <v>269</v>
      </c>
      <c r="F36" s="7" t="s">
        <v>270</v>
      </c>
      <c r="G36" s="7" t="s">
        <v>96</v>
      </c>
      <c r="H36" s="7" t="s">
        <v>97</v>
      </c>
      <c r="I36" s="7" t="s">
        <v>98</v>
      </c>
      <c r="J36" s="7" t="s">
        <v>97</v>
      </c>
      <c r="K36" s="7"/>
      <c r="L36" s="7"/>
      <c r="M36" s="7" t="s">
        <v>271</v>
      </c>
      <c r="N36" s="9" t="str">
        <f>HYPERLINK("https://pubmed.ncbi.nlm.nih.gov/38088680/","abrir")</f>
        <v>abrir</v>
      </c>
      <c r="O36" s="10" t="b">
        <f t="shared" si="1"/>
        <v>0</v>
      </c>
    </row>
    <row r="37" ht="60.0" customHeight="1">
      <c r="A37" s="7" t="s">
        <v>272</v>
      </c>
      <c r="B37" s="8">
        <v>2022.0</v>
      </c>
      <c r="C37" s="7" t="s">
        <v>206</v>
      </c>
      <c r="D37" s="7" t="s">
        <v>273</v>
      </c>
      <c r="E37" s="7" t="s">
        <v>274</v>
      </c>
      <c r="F37" s="7" t="s">
        <v>95</v>
      </c>
      <c r="G37" s="7" t="s">
        <v>96</v>
      </c>
      <c r="H37" s="7" t="s">
        <v>97</v>
      </c>
      <c r="I37" s="7" t="s">
        <v>98</v>
      </c>
      <c r="J37" s="7" t="s">
        <v>97</v>
      </c>
      <c r="K37" s="7"/>
      <c r="L37" s="7"/>
      <c r="M37" s="7"/>
      <c r="N37" s="9" t="str">
        <f>HYPERLINK("https://pubmed.ncbi.nlm.nih.gov/34889030/","abrir")</f>
        <v>abrir</v>
      </c>
      <c r="O37" s="10" t="b">
        <f t="shared" si="1"/>
        <v>0</v>
      </c>
    </row>
    <row r="38" ht="60.0" customHeight="1">
      <c r="A38" s="7" t="s">
        <v>275</v>
      </c>
      <c r="B38" s="8">
        <v>2022.0</v>
      </c>
      <c r="C38" s="7" t="s">
        <v>276</v>
      </c>
      <c r="D38" s="7" t="s">
        <v>277</v>
      </c>
      <c r="E38" s="7" t="s">
        <v>278</v>
      </c>
      <c r="F38" s="7" t="s">
        <v>279</v>
      </c>
      <c r="G38" s="7" t="s">
        <v>96</v>
      </c>
      <c r="H38" s="7" t="s">
        <v>97</v>
      </c>
      <c r="I38" s="7" t="s">
        <v>98</v>
      </c>
      <c r="J38" s="7" t="s">
        <v>97</v>
      </c>
      <c r="K38" s="7"/>
      <c r="L38" s="7"/>
      <c r="M38" s="7"/>
      <c r="N38" s="9" t="str">
        <f>HYPERLINK("https://pubmed.ncbi.nlm.nih.gov/35156266/","abrir")</f>
        <v>abrir</v>
      </c>
      <c r="O38" s="10" t="b">
        <f t="shared" si="1"/>
        <v>0</v>
      </c>
    </row>
    <row r="39" ht="60.0" customHeight="1">
      <c r="A39" s="7" t="s">
        <v>280</v>
      </c>
      <c r="B39" s="8">
        <v>2022.0</v>
      </c>
      <c r="C39" s="7" t="s">
        <v>281</v>
      </c>
      <c r="D39" s="7" t="s">
        <v>282</v>
      </c>
      <c r="E39" s="7" t="s">
        <v>283</v>
      </c>
      <c r="F39" s="7" t="s">
        <v>204</v>
      </c>
      <c r="G39" s="7" t="s">
        <v>96</v>
      </c>
      <c r="H39" s="7" t="s">
        <v>126</v>
      </c>
      <c r="I39" s="7" t="s">
        <v>98</v>
      </c>
      <c r="J39" s="7" t="s">
        <v>126</v>
      </c>
      <c r="K39" s="7"/>
      <c r="L39" s="7"/>
      <c r="M39" s="7"/>
      <c r="N39" s="9" t="str">
        <f>HYPERLINK("https://pubmed.ncbi.nlm.nih.gov/35452657/","abrir")</f>
        <v>abrir</v>
      </c>
      <c r="O39" s="10" t="b">
        <f t="shared" si="1"/>
        <v>0</v>
      </c>
    </row>
    <row r="40" ht="60.0" customHeight="1">
      <c r="A40" s="7" t="s">
        <v>284</v>
      </c>
      <c r="B40" s="8">
        <v>2022.0</v>
      </c>
      <c r="C40" s="7" t="s">
        <v>285</v>
      </c>
      <c r="D40" s="7" t="s">
        <v>286</v>
      </c>
      <c r="E40" s="7" t="s">
        <v>287</v>
      </c>
      <c r="F40" s="7" t="s">
        <v>154</v>
      </c>
      <c r="G40" s="7" t="s">
        <v>96</v>
      </c>
      <c r="H40" s="7" t="s">
        <v>97</v>
      </c>
      <c r="I40" s="7" t="s">
        <v>98</v>
      </c>
      <c r="J40" s="7" t="s">
        <v>97</v>
      </c>
      <c r="K40" s="7"/>
      <c r="L40" s="7"/>
      <c r="M40" s="7" t="s">
        <v>288</v>
      </c>
      <c r="N40" s="9" t="str">
        <f>HYPERLINK("https://pubmed.ncbi.nlm.nih.gov/35522316/","abrir")</f>
        <v>abrir</v>
      </c>
      <c r="O40" s="10" t="b">
        <f t="shared" si="1"/>
        <v>0</v>
      </c>
    </row>
    <row r="41" ht="60.0" customHeight="1">
      <c r="A41" s="7" t="s">
        <v>289</v>
      </c>
      <c r="B41" s="8">
        <v>2022.0</v>
      </c>
      <c r="C41" s="7" t="s">
        <v>290</v>
      </c>
      <c r="D41" s="7" t="s">
        <v>291</v>
      </c>
      <c r="E41" s="7" t="s">
        <v>292</v>
      </c>
      <c r="F41" s="7" t="s">
        <v>293</v>
      </c>
      <c r="G41" s="7" t="s">
        <v>96</v>
      </c>
      <c r="H41" s="7" t="s">
        <v>126</v>
      </c>
      <c r="I41" s="7" t="s">
        <v>98</v>
      </c>
      <c r="J41" s="7" t="s">
        <v>126</v>
      </c>
      <c r="K41" s="7"/>
      <c r="L41" s="7"/>
      <c r="M41" s="7"/>
      <c r="N41" s="9" t="str">
        <f>HYPERLINK("https://pubmed.ncbi.nlm.nih.gov/36013402/","abrir")</f>
        <v>abrir</v>
      </c>
      <c r="O41" s="10" t="b">
        <f t="shared" si="1"/>
        <v>0</v>
      </c>
    </row>
    <row r="42" ht="60.0" customHeight="1">
      <c r="A42" s="7" t="s">
        <v>294</v>
      </c>
      <c r="B42" s="8">
        <v>2022.0</v>
      </c>
      <c r="C42" s="7" t="s">
        <v>295</v>
      </c>
      <c r="D42" s="7" t="s">
        <v>296</v>
      </c>
      <c r="E42" s="7" t="s">
        <v>297</v>
      </c>
      <c r="F42" s="7" t="s">
        <v>298</v>
      </c>
      <c r="G42" s="7" t="s">
        <v>96</v>
      </c>
      <c r="H42" s="7" t="s">
        <v>126</v>
      </c>
      <c r="I42" s="7" t="s">
        <v>98</v>
      </c>
      <c r="J42" s="7" t="s">
        <v>126</v>
      </c>
      <c r="K42" s="7"/>
      <c r="L42" s="7"/>
      <c r="M42" s="7" t="s">
        <v>299</v>
      </c>
      <c r="N42" s="9" t="str">
        <f>HYPERLINK("https://pubmed.ncbi.nlm.nih.gov/36403096/","abrir")</f>
        <v>abrir</v>
      </c>
      <c r="O42" s="10" t="b">
        <f t="shared" si="1"/>
        <v>0</v>
      </c>
    </row>
    <row r="43" ht="60.0" customHeight="1">
      <c r="A43" s="7" t="s">
        <v>300</v>
      </c>
      <c r="B43" s="8">
        <v>2022.0</v>
      </c>
      <c r="C43" s="7" t="s">
        <v>301</v>
      </c>
      <c r="D43" s="7" t="s">
        <v>302</v>
      </c>
      <c r="E43" s="7" t="s">
        <v>303</v>
      </c>
      <c r="F43" s="7" t="s">
        <v>213</v>
      </c>
      <c r="G43" s="7" t="s">
        <v>96</v>
      </c>
      <c r="H43" s="7" t="s">
        <v>97</v>
      </c>
      <c r="I43" s="7" t="s">
        <v>98</v>
      </c>
      <c r="J43" s="7" t="s">
        <v>97</v>
      </c>
      <c r="K43" s="7"/>
      <c r="L43" s="7"/>
      <c r="M43" s="7"/>
      <c r="N43" s="9" t="str">
        <f>HYPERLINK("https://pubmed.ncbi.nlm.nih.gov/36590710/","abrir")</f>
        <v>abrir</v>
      </c>
      <c r="O43" s="10" t="b">
        <f t="shared" si="1"/>
        <v>0</v>
      </c>
    </row>
    <row r="44" ht="60.0" customHeight="1">
      <c r="A44" s="7" t="s">
        <v>304</v>
      </c>
      <c r="B44" s="8">
        <v>2021.0</v>
      </c>
      <c r="C44" s="7" t="s">
        <v>305</v>
      </c>
      <c r="D44" s="7" t="s">
        <v>306</v>
      </c>
      <c r="E44" s="7" t="s">
        <v>307</v>
      </c>
      <c r="F44" s="7" t="s">
        <v>168</v>
      </c>
      <c r="G44" s="7" t="s">
        <v>96</v>
      </c>
      <c r="H44" s="7" t="s">
        <v>97</v>
      </c>
      <c r="I44" s="7" t="s">
        <v>98</v>
      </c>
      <c r="J44" s="7" t="s">
        <v>97</v>
      </c>
      <c r="K44" s="7"/>
      <c r="L44" s="7"/>
      <c r="M44" s="7"/>
      <c r="N44" s="9" t="str">
        <f>HYPERLINK("https://pubmed.ncbi.nlm.nih.gov/32646662/","abrir")</f>
        <v>abrir</v>
      </c>
      <c r="O44" s="10" t="b">
        <f t="shared" si="1"/>
        <v>0</v>
      </c>
    </row>
    <row r="45" ht="60.0" customHeight="1">
      <c r="A45" s="7" t="s">
        <v>308</v>
      </c>
      <c r="B45" s="8">
        <v>2021.0</v>
      </c>
      <c r="C45" s="7" t="s">
        <v>309</v>
      </c>
      <c r="D45" s="7" t="s">
        <v>310</v>
      </c>
      <c r="E45" s="7" t="s">
        <v>311</v>
      </c>
      <c r="F45" s="7" t="s">
        <v>119</v>
      </c>
      <c r="G45" s="7" t="s">
        <v>312</v>
      </c>
      <c r="H45" s="7" t="s">
        <v>97</v>
      </c>
      <c r="I45" s="7" t="s">
        <v>98</v>
      </c>
      <c r="J45" s="7" t="s">
        <v>97</v>
      </c>
      <c r="K45" s="7"/>
      <c r="L45" s="7"/>
      <c r="M45" s="7"/>
      <c r="N45" s="9" t="str">
        <f>HYPERLINK("https://pubmed.ncbi.nlm.nih.gov/32862054/","abrir")</f>
        <v>abrir</v>
      </c>
      <c r="O45" s="10" t="b">
        <f t="shared" si="1"/>
        <v>0</v>
      </c>
    </row>
    <row r="46" ht="60.0" customHeight="1">
      <c r="A46" s="7" t="s">
        <v>313</v>
      </c>
      <c r="B46" s="8">
        <v>2021.0</v>
      </c>
      <c r="C46" s="7" t="s">
        <v>314</v>
      </c>
      <c r="D46" s="7" t="s">
        <v>315</v>
      </c>
      <c r="E46" s="7" t="s">
        <v>316</v>
      </c>
      <c r="F46" s="7" t="s">
        <v>317</v>
      </c>
      <c r="G46" s="7" t="s">
        <v>96</v>
      </c>
      <c r="H46" s="7" t="s">
        <v>97</v>
      </c>
      <c r="I46" s="7" t="s">
        <v>98</v>
      </c>
      <c r="J46" s="7" t="s">
        <v>97</v>
      </c>
      <c r="K46" s="7"/>
      <c r="L46" s="7"/>
      <c r="M46" s="7"/>
      <c r="N46" s="9" t="str">
        <f>HYPERLINK("https://pubmed.ncbi.nlm.nih.gov/32943740/","abrir")</f>
        <v>abrir</v>
      </c>
      <c r="O46" s="10" t="b">
        <f t="shared" si="1"/>
        <v>0</v>
      </c>
    </row>
    <row r="47" ht="60.0" customHeight="1">
      <c r="A47" s="7" t="s">
        <v>318</v>
      </c>
      <c r="B47" s="8">
        <v>2021.0</v>
      </c>
      <c r="C47" s="7" t="s">
        <v>319</v>
      </c>
      <c r="D47" s="7" t="s">
        <v>320</v>
      </c>
      <c r="E47" s="7" t="s">
        <v>321</v>
      </c>
      <c r="F47" s="7" t="s">
        <v>95</v>
      </c>
      <c r="G47" s="7" t="s">
        <v>322</v>
      </c>
      <c r="H47" s="7" t="s">
        <v>97</v>
      </c>
      <c r="I47" s="7" t="s">
        <v>98</v>
      </c>
      <c r="J47" s="7" t="s">
        <v>97</v>
      </c>
      <c r="K47" s="7"/>
      <c r="L47" s="7"/>
      <c r="M47" s="7"/>
      <c r="N47" s="9" t="str">
        <f>HYPERLINK("https://pubmed.ncbi.nlm.nih.gov/33403783/","abrir")</f>
        <v>abrir</v>
      </c>
      <c r="O47" s="10" t="b">
        <f t="shared" si="1"/>
        <v>0</v>
      </c>
    </row>
    <row r="48" ht="60.0" customHeight="1">
      <c r="A48" s="7" t="s">
        <v>323</v>
      </c>
      <c r="B48" s="8">
        <v>2021.0</v>
      </c>
      <c r="C48" s="7" t="s">
        <v>324</v>
      </c>
      <c r="D48" s="7" t="s">
        <v>325</v>
      </c>
      <c r="E48" s="7" t="s">
        <v>326</v>
      </c>
      <c r="F48" s="7" t="s">
        <v>327</v>
      </c>
      <c r="G48" s="7" t="s">
        <v>184</v>
      </c>
      <c r="H48" s="7" t="s">
        <v>97</v>
      </c>
      <c r="I48" s="7" t="s">
        <v>98</v>
      </c>
      <c r="J48" s="7" t="s">
        <v>97</v>
      </c>
      <c r="K48" s="7"/>
      <c r="L48" s="7"/>
      <c r="M48" s="7" t="s">
        <v>328</v>
      </c>
      <c r="N48" s="9" t="str">
        <f>HYPERLINK("https://pubmed.ncbi.nlm.nih.gov/33486488/","abrir")</f>
        <v>abrir</v>
      </c>
      <c r="O48" s="10" t="b">
        <f t="shared" si="1"/>
        <v>0</v>
      </c>
    </row>
    <row r="49" ht="60.0" customHeight="1">
      <c r="A49" s="7" t="s">
        <v>329</v>
      </c>
      <c r="B49" s="8">
        <v>2021.0</v>
      </c>
      <c r="C49" s="7" t="s">
        <v>330</v>
      </c>
      <c r="D49" s="7" t="s">
        <v>331</v>
      </c>
      <c r="E49" s="7" t="s">
        <v>332</v>
      </c>
      <c r="F49" s="7" t="s">
        <v>132</v>
      </c>
      <c r="G49" s="7" t="s">
        <v>96</v>
      </c>
      <c r="H49" s="7" t="s">
        <v>97</v>
      </c>
      <c r="I49" s="7" t="s">
        <v>98</v>
      </c>
      <c r="J49" s="7" t="s">
        <v>97</v>
      </c>
      <c r="K49" s="7"/>
      <c r="L49" s="7"/>
      <c r="M49" s="7"/>
      <c r="N49" s="9" t="str">
        <f>HYPERLINK("https://pubmed.ncbi.nlm.nih.gov/33515091/","abrir")</f>
        <v>abrir</v>
      </c>
      <c r="O49" s="10" t="b">
        <f t="shared" si="1"/>
        <v>0</v>
      </c>
    </row>
    <row r="50" ht="60.0" customHeight="1">
      <c r="A50" s="7" t="s">
        <v>333</v>
      </c>
      <c r="B50" s="8">
        <v>2021.0</v>
      </c>
      <c r="C50" s="7" t="s">
        <v>334</v>
      </c>
      <c r="D50" s="7" t="s">
        <v>335</v>
      </c>
      <c r="E50" s="7" t="s">
        <v>336</v>
      </c>
      <c r="F50" s="7" t="s">
        <v>113</v>
      </c>
      <c r="G50" s="7" t="s">
        <v>96</v>
      </c>
      <c r="H50" s="7" t="s">
        <v>97</v>
      </c>
      <c r="I50" s="7" t="s">
        <v>98</v>
      </c>
      <c r="J50" s="7" t="s">
        <v>97</v>
      </c>
      <c r="K50" s="7"/>
      <c r="L50" s="7"/>
      <c r="M50" s="7"/>
      <c r="N50" s="9" t="str">
        <f>HYPERLINK("https://pubmed.ncbi.nlm.nih.gov/34112961/","abrir")</f>
        <v>abrir</v>
      </c>
      <c r="O50" s="10" t="b">
        <f t="shared" si="1"/>
        <v>0</v>
      </c>
    </row>
    <row r="51" ht="60.0" customHeight="1">
      <c r="A51" s="7" t="s">
        <v>337</v>
      </c>
      <c r="B51" s="8">
        <v>2021.0</v>
      </c>
      <c r="C51" s="7" t="s">
        <v>338</v>
      </c>
      <c r="D51" s="7" t="s">
        <v>339</v>
      </c>
      <c r="E51" s="7" t="s">
        <v>340</v>
      </c>
      <c r="F51" s="7" t="s">
        <v>341</v>
      </c>
      <c r="G51" s="7" t="s">
        <v>96</v>
      </c>
      <c r="H51" s="7" t="s">
        <v>97</v>
      </c>
      <c r="I51" s="7" t="s">
        <v>98</v>
      </c>
      <c r="J51" s="7" t="s">
        <v>97</v>
      </c>
      <c r="K51" s="7"/>
      <c r="L51" s="7"/>
      <c r="M51" s="7" t="s">
        <v>342</v>
      </c>
      <c r="N51" s="9" t="str">
        <f>HYPERLINK("https://pubmed.ncbi.nlm.nih.gov/34215991/","abrir")</f>
        <v>abrir</v>
      </c>
      <c r="O51" s="10" t="b">
        <f t="shared" si="1"/>
        <v>0</v>
      </c>
    </row>
    <row r="52" ht="60.0" customHeight="1">
      <c r="A52" s="7" t="s">
        <v>343</v>
      </c>
      <c r="B52" s="8">
        <v>2021.0</v>
      </c>
      <c r="C52" s="7" t="s">
        <v>344</v>
      </c>
      <c r="D52" s="7" t="s">
        <v>345</v>
      </c>
      <c r="E52" s="7" t="s">
        <v>346</v>
      </c>
      <c r="F52" s="7" t="s">
        <v>204</v>
      </c>
      <c r="G52" s="7" t="s">
        <v>96</v>
      </c>
      <c r="H52" s="7" t="s">
        <v>97</v>
      </c>
      <c r="I52" s="7" t="s">
        <v>98</v>
      </c>
      <c r="J52" s="7" t="s">
        <v>97</v>
      </c>
      <c r="K52" s="7"/>
      <c r="L52" s="7"/>
      <c r="M52" s="7" t="s">
        <v>347</v>
      </c>
      <c r="N52" s="9" t="str">
        <f>HYPERLINK("https://pubmed.ncbi.nlm.nih.gov/34363815/","abrir")</f>
        <v>abrir</v>
      </c>
      <c r="O52" s="10" t="b">
        <f t="shared" si="1"/>
        <v>0</v>
      </c>
    </row>
    <row r="53" ht="60.0" customHeight="1">
      <c r="A53" s="7" t="s">
        <v>348</v>
      </c>
      <c r="B53" s="8">
        <v>2021.0</v>
      </c>
      <c r="C53" s="7" t="s">
        <v>349</v>
      </c>
      <c r="D53" s="7" t="s">
        <v>350</v>
      </c>
      <c r="E53" s="7" t="s">
        <v>351</v>
      </c>
      <c r="F53" s="7" t="s">
        <v>95</v>
      </c>
      <c r="G53" s="7" t="s">
        <v>184</v>
      </c>
      <c r="H53" s="7" t="s">
        <v>97</v>
      </c>
      <c r="I53" s="7" t="s">
        <v>98</v>
      </c>
      <c r="J53" s="7" t="s">
        <v>97</v>
      </c>
      <c r="K53" s="7"/>
      <c r="L53" s="7"/>
      <c r="M53" s="7"/>
      <c r="N53" s="9" t="str">
        <f>HYPERLINK("https://pubmed.ncbi.nlm.nih.gov/34415101/","abrir")</f>
        <v>abrir</v>
      </c>
      <c r="O53" s="10" t="b">
        <f t="shared" si="1"/>
        <v>0</v>
      </c>
    </row>
    <row r="54" ht="60.0" customHeight="1">
      <c r="A54" s="7" t="s">
        <v>352</v>
      </c>
      <c r="B54" s="8">
        <v>2020.0</v>
      </c>
      <c r="C54" s="7" t="s">
        <v>353</v>
      </c>
      <c r="D54" s="7" t="s">
        <v>354</v>
      </c>
      <c r="E54" s="7" t="s">
        <v>355</v>
      </c>
      <c r="F54" s="7" t="s">
        <v>356</v>
      </c>
      <c r="G54" s="7" t="s">
        <v>357</v>
      </c>
      <c r="H54" s="7" t="s">
        <v>97</v>
      </c>
      <c r="I54" s="7" t="s">
        <v>98</v>
      </c>
      <c r="J54" s="7" t="s">
        <v>97</v>
      </c>
      <c r="K54" s="7"/>
      <c r="L54" s="7"/>
      <c r="M54" s="7" t="s">
        <v>358</v>
      </c>
      <c r="N54" s="9" t="str">
        <f>HYPERLINK("https://pubmed.ncbi.nlm.nih.gov/31763690/","abrir")</f>
        <v>abrir</v>
      </c>
      <c r="O54" s="10" t="b">
        <f t="shared" si="1"/>
        <v>0</v>
      </c>
    </row>
    <row r="55" ht="60.0" customHeight="1">
      <c r="A55" s="7" t="s">
        <v>359</v>
      </c>
      <c r="B55" s="8">
        <v>2020.0</v>
      </c>
      <c r="C55" s="7" t="s">
        <v>360</v>
      </c>
      <c r="D55" s="7" t="s">
        <v>361</v>
      </c>
      <c r="E55" s="7" t="s">
        <v>362</v>
      </c>
      <c r="F55" s="7" t="s">
        <v>168</v>
      </c>
      <c r="G55" s="7" t="s">
        <v>96</v>
      </c>
      <c r="H55" s="7" t="s">
        <v>97</v>
      </c>
      <c r="I55" s="7" t="s">
        <v>98</v>
      </c>
      <c r="J55" s="7" t="s">
        <v>97</v>
      </c>
      <c r="K55" s="7"/>
      <c r="L55" s="7"/>
      <c r="M55" s="7"/>
      <c r="N55" s="9" t="str">
        <f>HYPERLINK("https://pubmed.ncbi.nlm.nih.gov/31954556/","abrir")</f>
        <v>abrir</v>
      </c>
      <c r="O55" s="10" t="b">
        <f t="shared" si="1"/>
        <v>0</v>
      </c>
    </row>
    <row r="56" ht="60.0" customHeight="1">
      <c r="A56" s="7" t="s">
        <v>363</v>
      </c>
      <c r="B56" s="8">
        <v>2020.0</v>
      </c>
      <c r="C56" s="7" t="s">
        <v>364</v>
      </c>
      <c r="D56" s="7" t="s">
        <v>365</v>
      </c>
      <c r="E56" s="7" t="s">
        <v>366</v>
      </c>
      <c r="F56" s="7" t="s">
        <v>367</v>
      </c>
      <c r="G56" s="7" t="s">
        <v>96</v>
      </c>
      <c r="H56" s="7" t="s">
        <v>368</v>
      </c>
      <c r="I56" s="7" t="s">
        <v>98</v>
      </c>
      <c r="J56" s="7" t="s">
        <v>368</v>
      </c>
      <c r="K56" s="7"/>
      <c r="L56" s="7"/>
      <c r="M56" s="7"/>
      <c r="N56" s="9" t="str">
        <f>HYPERLINK("https://pubmed.ncbi.nlm.nih.gov/32815676/","abrir")</f>
        <v>abrir</v>
      </c>
      <c r="O56" s="10" t="b">
        <f t="shared" si="1"/>
        <v>0</v>
      </c>
    </row>
    <row r="57" ht="60.0" customHeight="1">
      <c r="A57" s="7" t="s">
        <v>369</v>
      </c>
      <c r="B57" s="8">
        <v>2020.0</v>
      </c>
      <c r="C57" s="7" t="s">
        <v>235</v>
      </c>
      <c r="D57" s="7" t="s">
        <v>370</v>
      </c>
      <c r="E57" s="7" t="s">
        <v>371</v>
      </c>
      <c r="F57" s="7" t="s">
        <v>372</v>
      </c>
      <c r="G57" s="7" t="s">
        <v>373</v>
      </c>
      <c r="H57" s="7" t="s">
        <v>97</v>
      </c>
      <c r="I57" s="7" t="s">
        <v>98</v>
      </c>
      <c r="J57" s="7" t="s">
        <v>97</v>
      </c>
      <c r="K57" s="7"/>
      <c r="L57" s="7"/>
      <c r="M57" s="7" t="s">
        <v>374</v>
      </c>
      <c r="N57" s="9" t="str">
        <f>HYPERLINK("https://pubmed.ncbi.nlm.nih.gov/32986711/","abrir")</f>
        <v>abrir</v>
      </c>
      <c r="O57" s="10" t="b">
        <f t="shared" si="1"/>
        <v>0</v>
      </c>
    </row>
    <row r="58" ht="60.0" customHeight="1">
      <c r="A58" s="7" t="s">
        <v>375</v>
      </c>
      <c r="B58" s="8">
        <v>2019.0</v>
      </c>
      <c r="C58" s="7" t="s">
        <v>376</v>
      </c>
      <c r="D58" s="7" t="s">
        <v>377</v>
      </c>
      <c r="E58" s="7" t="s">
        <v>378</v>
      </c>
      <c r="F58" s="7" t="s">
        <v>132</v>
      </c>
      <c r="G58" s="7" t="s">
        <v>379</v>
      </c>
      <c r="H58" s="7" t="s">
        <v>97</v>
      </c>
      <c r="I58" s="7" t="s">
        <v>98</v>
      </c>
      <c r="J58" s="7" t="s">
        <v>97</v>
      </c>
      <c r="K58" s="7"/>
      <c r="L58" s="7"/>
      <c r="M58" s="7"/>
      <c r="N58" s="9" t="str">
        <f>HYPERLINK("https://pubmed.ncbi.nlm.nih.gov/30291384/","abrir")</f>
        <v>abrir</v>
      </c>
      <c r="O58" s="10" t="b">
        <f t="shared" si="1"/>
        <v>0</v>
      </c>
    </row>
    <row r="59" ht="60.0" customHeight="1">
      <c r="A59" s="7" t="s">
        <v>380</v>
      </c>
      <c r="B59" s="8">
        <v>2019.0</v>
      </c>
      <c r="C59" s="7" t="s">
        <v>381</v>
      </c>
      <c r="D59" s="7" t="s">
        <v>382</v>
      </c>
      <c r="E59" s="7" t="s">
        <v>383</v>
      </c>
      <c r="F59" s="7" t="s">
        <v>132</v>
      </c>
      <c r="G59" s="7" t="s">
        <v>379</v>
      </c>
      <c r="H59" s="7" t="s">
        <v>97</v>
      </c>
      <c r="I59" s="7" t="s">
        <v>98</v>
      </c>
      <c r="J59" s="7" t="s">
        <v>97</v>
      </c>
      <c r="K59" s="7"/>
      <c r="L59" s="7"/>
      <c r="M59" s="7"/>
      <c r="N59" s="9" t="str">
        <f>HYPERLINK("https://pubmed.ncbi.nlm.nih.gov/30556105/","abrir")</f>
        <v>abrir</v>
      </c>
      <c r="O59" s="10" t="b">
        <f t="shared" si="1"/>
        <v>0</v>
      </c>
    </row>
    <row r="60" ht="60.0" customHeight="1">
      <c r="A60" s="7" t="s">
        <v>384</v>
      </c>
      <c r="B60" s="8">
        <v>2019.0</v>
      </c>
      <c r="C60" s="7" t="s">
        <v>385</v>
      </c>
      <c r="D60" s="7" t="s">
        <v>386</v>
      </c>
      <c r="E60" s="7" t="s">
        <v>387</v>
      </c>
      <c r="F60" s="7" t="s">
        <v>95</v>
      </c>
      <c r="G60" s="7" t="s">
        <v>184</v>
      </c>
      <c r="H60" s="7" t="s">
        <v>97</v>
      </c>
      <c r="I60" s="7" t="s">
        <v>98</v>
      </c>
      <c r="J60" s="7" t="s">
        <v>97</v>
      </c>
      <c r="K60" s="7"/>
      <c r="L60" s="7"/>
      <c r="M60" s="7"/>
      <c r="N60" s="9" t="str">
        <f>HYPERLINK("https://pubmed.ncbi.nlm.nih.gov/30932336/","abrir")</f>
        <v>abrir</v>
      </c>
      <c r="O60" s="10" t="b">
        <f t="shared" si="1"/>
        <v>0</v>
      </c>
    </row>
    <row r="61" ht="60.0" customHeight="1">
      <c r="A61" s="7" t="s">
        <v>388</v>
      </c>
      <c r="B61" s="8">
        <v>2019.0</v>
      </c>
      <c r="C61" s="7" t="s">
        <v>389</v>
      </c>
      <c r="D61" s="7" t="s">
        <v>390</v>
      </c>
      <c r="E61" s="7" t="s">
        <v>391</v>
      </c>
      <c r="F61" s="7" t="s">
        <v>392</v>
      </c>
      <c r="G61" s="7" t="s">
        <v>393</v>
      </c>
      <c r="H61" s="7" t="s">
        <v>97</v>
      </c>
      <c r="I61" s="7" t="s">
        <v>98</v>
      </c>
      <c r="J61" s="7" t="s">
        <v>97</v>
      </c>
      <c r="K61" s="7"/>
      <c r="L61" s="7"/>
      <c r="M61" s="7"/>
      <c r="N61" s="9" t="str">
        <f>HYPERLINK("https://pubmed.ncbi.nlm.nih.gov/30935949/","abrir")</f>
        <v>abrir</v>
      </c>
      <c r="O61" s="10" t="b">
        <f t="shared" si="1"/>
        <v>0</v>
      </c>
    </row>
    <row r="62" ht="60.0" customHeight="1">
      <c r="A62" s="7" t="s">
        <v>394</v>
      </c>
      <c r="B62" s="8">
        <v>2019.0</v>
      </c>
      <c r="C62" s="7" t="s">
        <v>395</v>
      </c>
      <c r="D62" s="7" t="s">
        <v>396</v>
      </c>
      <c r="E62" s="7" t="s">
        <v>397</v>
      </c>
      <c r="F62" s="7" t="s">
        <v>95</v>
      </c>
      <c r="G62" s="7" t="s">
        <v>379</v>
      </c>
      <c r="H62" s="7" t="s">
        <v>97</v>
      </c>
      <c r="I62" s="7" t="s">
        <v>98</v>
      </c>
      <c r="J62" s="7" t="s">
        <v>97</v>
      </c>
      <c r="K62" s="7"/>
      <c r="L62" s="7"/>
      <c r="M62" s="7"/>
      <c r="N62" s="9" t="str">
        <f>HYPERLINK("https://pubmed.ncbi.nlm.nih.gov/30942556/","abrir")</f>
        <v>abrir</v>
      </c>
      <c r="O62" s="10" t="b">
        <f t="shared" si="1"/>
        <v>0</v>
      </c>
    </row>
    <row r="63" ht="60.0" customHeight="1">
      <c r="A63" s="7" t="s">
        <v>398</v>
      </c>
      <c r="B63" s="8">
        <v>2019.0</v>
      </c>
      <c r="C63" s="7" t="s">
        <v>399</v>
      </c>
      <c r="D63" s="7" t="s">
        <v>400</v>
      </c>
      <c r="E63" s="7" t="s">
        <v>401</v>
      </c>
      <c r="F63" s="7" t="s">
        <v>402</v>
      </c>
      <c r="G63" s="7" t="s">
        <v>96</v>
      </c>
      <c r="H63" s="7" t="s">
        <v>126</v>
      </c>
      <c r="I63" s="7" t="s">
        <v>98</v>
      </c>
      <c r="J63" s="7" t="s">
        <v>126</v>
      </c>
      <c r="K63" s="7"/>
      <c r="L63" s="7"/>
      <c r="M63" s="7" t="s">
        <v>403</v>
      </c>
      <c r="N63" s="9" t="str">
        <f>HYPERLINK("https://pubmed.ncbi.nlm.nih.gov/31170277/","abrir")</f>
        <v>abrir</v>
      </c>
      <c r="O63" s="10" t="b">
        <f t="shared" si="1"/>
        <v>0</v>
      </c>
    </row>
    <row r="64" ht="60.0" customHeight="1">
      <c r="A64" s="7" t="s">
        <v>404</v>
      </c>
      <c r="B64" s="8">
        <v>2019.0</v>
      </c>
      <c r="C64" s="7" t="s">
        <v>405</v>
      </c>
      <c r="D64" s="7" t="s">
        <v>406</v>
      </c>
      <c r="E64" s="7" t="s">
        <v>407</v>
      </c>
      <c r="F64" s="7" t="s">
        <v>408</v>
      </c>
      <c r="G64" s="7" t="s">
        <v>96</v>
      </c>
      <c r="H64" s="7" t="s">
        <v>97</v>
      </c>
      <c r="I64" s="7" t="s">
        <v>98</v>
      </c>
      <c r="J64" s="7" t="s">
        <v>97</v>
      </c>
      <c r="K64" s="7"/>
      <c r="L64" s="7"/>
      <c r="M64" s="7"/>
      <c r="N64" s="9" t="str">
        <f>HYPERLINK("https://pubmed.ncbi.nlm.nih.gov/31237190/","abrir")</f>
        <v>abrir</v>
      </c>
      <c r="O64" s="10" t="b">
        <f t="shared" si="1"/>
        <v>0</v>
      </c>
    </row>
    <row r="65" ht="60.0" customHeight="1">
      <c r="A65" s="7" t="s">
        <v>409</v>
      </c>
      <c r="B65" s="8">
        <v>2019.0</v>
      </c>
      <c r="C65" s="7" t="s">
        <v>410</v>
      </c>
      <c r="D65" s="7" t="s">
        <v>411</v>
      </c>
      <c r="E65" s="7" t="s">
        <v>412</v>
      </c>
      <c r="F65" s="7" t="s">
        <v>95</v>
      </c>
      <c r="G65" s="7" t="s">
        <v>184</v>
      </c>
      <c r="H65" s="7" t="s">
        <v>126</v>
      </c>
      <c r="I65" s="7" t="s">
        <v>98</v>
      </c>
      <c r="J65" s="7" t="s">
        <v>126</v>
      </c>
      <c r="K65" s="7"/>
      <c r="L65" s="7"/>
      <c r="M65" s="7"/>
      <c r="N65" s="9" t="str">
        <f>HYPERLINK("https://pubmed.ncbi.nlm.nih.gov/31566869/","abrir")</f>
        <v>abrir</v>
      </c>
      <c r="O65" s="10" t="b">
        <f t="shared" si="1"/>
        <v>0</v>
      </c>
    </row>
    <row r="66" ht="60.0" customHeight="1">
      <c r="A66" s="7" t="s">
        <v>413</v>
      </c>
      <c r="B66" s="8">
        <v>2018.0</v>
      </c>
      <c r="C66" s="7" t="s">
        <v>414</v>
      </c>
      <c r="D66" s="7" t="s">
        <v>415</v>
      </c>
      <c r="E66" s="7" t="s">
        <v>416</v>
      </c>
      <c r="F66" s="7" t="s">
        <v>132</v>
      </c>
      <c r="G66" s="7" t="s">
        <v>163</v>
      </c>
      <c r="H66" s="7" t="s">
        <v>97</v>
      </c>
      <c r="I66" s="7" t="s">
        <v>98</v>
      </c>
      <c r="J66" s="7" t="s">
        <v>97</v>
      </c>
      <c r="K66" s="7"/>
      <c r="L66" s="7"/>
      <c r="M66" s="7"/>
      <c r="N66" s="9" t="str">
        <f>HYPERLINK("https://pubmed.ncbi.nlm.nih.gov/28948390/","abrir")</f>
        <v>abrir</v>
      </c>
      <c r="O66" s="10" t="b">
        <f t="shared" si="1"/>
        <v>0</v>
      </c>
    </row>
    <row r="67" ht="60.0" customHeight="1">
      <c r="A67" s="7" t="s">
        <v>417</v>
      </c>
      <c r="B67" s="8">
        <v>2018.0</v>
      </c>
      <c r="C67" s="7" t="s">
        <v>418</v>
      </c>
      <c r="D67" s="7" t="s">
        <v>419</v>
      </c>
      <c r="E67" s="7" t="s">
        <v>420</v>
      </c>
      <c r="F67" s="7" t="s">
        <v>421</v>
      </c>
      <c r="G67" s="7" t="s">
        <v>96</v>
      </c>
      <c r="H67" s="7" t="s">
        <v>97</v>
      </c>
      <c r="I67" s="7" t="s">
        <v>98</v>
      </c>
      <c r="J67" s="7" t="s">
        <v>126</v>
      </c>
      <c r="K67" s="7"/>
      <c r="L67" s="7"/>
      <c r="M67" s="7"/>
      <c r="N67" s="9" t="str">
        <f>HYPERLINK("https://pubmed.ncbi.nlm.nih.gov/29112995/","abrir")</f>
        <v>abrir</v>
      </c>
      <c r="O67" s="10" t="b">
        <f t="shared" si="1"/>
        <v>0</v>
      </c>
    </row>
    <row r="68" ht="60.0" customHeight="1">
      <c r="A68" s="7" t="s">
        <v>422</v>
      </c>
      <c r="B68" s="8">
        <v>2018.0</v>
      </c>
      <c r="C68" s="7" t="s">
        <v>423</v>
      </c>
      <c r="D68" s="7" t="s">
        <v>424</v>
      </c>
      <c r="E68" s="7" t="s">
        <v>425</v>
      </c>
      <c r="F68" s="7" t="s">
        <v>113</v>
      </c>
      <c r="G68" s="7" t="s">
        <v>426</v>
      </c>
      <c r="H68" s="7" t="s">
        <v>126</v>
      </c>
      <c r="I68" s="7" t="s">
        <v>98</v>
      </c>
      <c r="J68" s="7" t="s">
        <v>126</v>
      </c>
      <c r="K68" s="7"/>
      <c r="L68" s="7"/>
      <c r="M68" s="7" t="s">
        <v>427</v>
      </c>
      <c r="N68" s="9" t="str">
        <f>HYPERLINK("https://pubmed.ncbi.nlm.nih.gov/29740195/","abrir")</f>
        <v>abrir</v>
      </c>
      <c r="O68" s="10" t="b">
        <f t="shared" si="1"/>
        <v>0</v>
      </c>
    </row>
    <row r="69" ht="60.0" customHeight="1">
      <c r="A69" s="7" t="s">
        <v>428</v>
      </c>
      <c r="B69" s="8">
        <v>2018.0</v>
      </c>
      <c r="C69" s="7" t="s">
        <v>429</v>
      </c>
      <c r="D69" s="7" t="s">
        <v>430</v>
      </c>
      <c r="E69" s="7" t="s">
        <v>431</v>
      </c>
      <c r="F69" s="7" t="s">
        <v>113</v>
      </c>
      <c r="G69" s="7" t="s">
        <v>96</v>
      </c>
      <c r="H69" s="7" t="s">
        <v>97</v>
      </c>
      <c r="I69" s="7" t="s">
        <v>98</v>
      </c>
      <c r="J69" s="7" t="s">
        <v>97</v>
      </c>
      <c r="K69" s="7"/>
      <c r="L69" s="7"/>
      <c r="M69" s="7" t="s">
        <v>432</v>
      </c>
      <c r="N69" s="9" t="str">
        <f>HYPERLINK("https://pubmed.ncbi.nlm.nih.gov/30237475/","abrir")</f>
        <v>abrir</v>
      </c>
      <c r="O69" s="10" t="b">
        <f t="shared" si="1"/>
        <v>0</v>
      </c>
    </row>
    <row r="70" ht="60.0" customHeight="1">
      <c r="A70" s="7" t="s">
        <v>433</v>
      </c>
      <c r="B70" s="8">
        <v>2017.0</v>
      </c>
      <c r="C70" s="7" t="s">
        <v>434</v>
      </c>
      <c r="D70" s="7" t="s">
        <v>435</v>
      </c>
      <c r="E70" s="7" t="s">
        <v>436</v>
      </c>
      <c r="F70" s="7" t="s">
        <v>421</v>
      </c>
      <c r="G70" s="7" t="s">
        <v>379</v>
      </c>
      <c r="H70" s="7" t="s">
        <v>97</v>
      </c>
      <c r="I70" s="7" t="s">
        <v>98</v>
      </c>
      <c r="J70" s="7" t="s">
        <v>97</v>
      </c>
      <c r="K70" s="7"/>
      <c r="L70" s="7"/>
      <c r="M70" s="7"/>
      <c r="N70" s="9" t="str">
        <f>HYPERLINK("https://pubmed.ncbi.nlm.nih.gov/27490773/","abrir")</f>
        <v>abrir</v>
      </c>
      <c r="O70" s="10" t="b">
        <f t="shared" si="1"/>
        <v>0</v>
      </c>
    </row>
    <row r="71" ht="60.0" customHeight="1">
      <c r="A71" s="7" t="s">
        <v>437</v>
      </c>
      <c r="B71" s="8">
        <v>2017.0</v>
      </c>
      <c r="C71" s="7" t="s">
        <v>438</v>
      </c>
      <c r="D71" s="7" t="s">
        <v>439</v>
      </c>
      <c r="E71" s="7" t="s">
        <v>440</v>
      </c>
      <c r="F71" s="7" t="s">
        <v>441</v>
      </c>
      <c r="G71" s="7" t="s">
        <v>96</v>
      </c>
      <c r="H71" s="7" t="s">
        <v>368</v>
      </c>
      <c r="I71" s="7" t="s">
        <v>98</v>
      </c>
      <c r="J71" s="7" t="s">
        <v>368</v>
      </c>
      <c r="K71" s="7"/>
      <c r="L71" s="7"/>
      <c r="M71" s="7" t="s">
        <v>442</v>
      </c>
      <c r="N71" s="9" t="str">
        <f>HYPERLINK("https://pubmed.ncbi.nlm.nih.gov/27591300/","abrir")</f>
        <v>abrir</v>
      </c>
      <c r="O71" s="10" t="b">
        <f t="shared" si="1"/>
        <v>0</v>
      </c>
    </row>
    <row r="72" ht="60.0" customHeight="1">
      <c r="A72" s="7" t="s">
        <v>443</v>
      </c>
      <c r="B72" s="8">
        <v>2017.0</v>
      </c>
      <c r="C72" s="7" t="s">
        <v>444</v>
      </c>
      <c r="D72" s="7" t="s">
        <v>445</v>
      </c>
      <c r="E72" s="7" t="s">
        <v>446</v>
      </c>
      <c r="F72" s="7" t="s">
        <v>447</v>
      </c>
      <c r="G72" s="7" t="s">
        <v>312</v>
      </c>
      <c r="H72" s="7" t="s">
        <v>368</v>
      </c>
      <c r="I72" s="7" t="s">
        <v>98</v>
      </c>
      <c r="J72" s="7" t="s">
        <v>368</v>
      </c>
      <c r="K72" s="7"/>
      <c r="L72" s="7"/>
      <c r="M72" s="7" t="s">
        <v>138</v>
      </c>
      <c r="N72" s="9" t="str">
        <f>HYPERLINK("https://pubmed.ncbi.nlm.nih.gov/28056858/","abrir")</f>
        <v>abrir</v>
      </c>
      <c r="O72" s="10" t="b">
        <f t="shared" si="1"/>
        <v>0</v>
      </c>
    </row>
    <row r="73" ht="60.0" customHeight="1">
      <c r="A73" s="7" t="s">
        <v>448</v>
      </c>
      <c r="B73" s="8">
        <v>2017.0</v>
      </c>
      <c r="C73" s="7" t="s">
        <v>334</v>
      </c>
      <c r="D73" s="7" t="s">
        <v>449</v>
      </c>
      <c r="E73" s="7" t="s">
        <v>450</v>
      </c>
      <c r="F73" s="7" t="s">
        <v>113</v>
      </c>
      <c r="G73" s="7" t="s">
        <v>379</v>
      </c>
      <c r="H73" s="7" t="s">
        <v>97</v>
      </c>
      <c r="I73" s="7" t="s">
        <v>98</v>
      </c>
      <c r="J73" s="7" t="s">
        <v>97</v>
      </c>
      <c r="K73" s="7"/>
      <c r="L73" s="7"/>
      <c r="M73" s="7"/>
      <c r="N73" s="9" t="str">
        <f>HYPERLINK("https://pubmed.ncbi.nlm.nih.gov/28079873/","abrir")</f>
        <v>abrir</v>
      </c>
      <c r="O73" s="10" t="b">
        <f t="shared" si="1"/>
        <v>0</v>
      </c>
    </row>
    <row r="74" ht="60.0" customHeight="1">
      <c r="A74" s="7" t="s">
        <v>451</v>
      </c>
      <c r="B74" s="8">
        <v>2017.0</v>
      </c>
      <c r="C74" s="7" t="s">
        <v>452</v>
      </c>
      <c r="D74" s="7" t="s">
        <v>453</v>
      </c>
      <c r="E74" s="7" t="s">
        <v>454</v>
      </c>
      <c r="F74" s="7" t="s">
        <v>95</v>
      </c>
      <c r="G74" s="7" t="s">
        <v>96</v>
      </c>
      <c r="H74" s="7" t="s">
        <v>126</v>
      </c>
      <c r="I74" s="7" t="s">
        <v>98</v>
      </c>
      <c r="J74" s="7" t="s">
        <v>368</v>
      </c>
      <c r="K74" s="7"/>
      <c r="L74" s="7"/>
      <c r="M74" s="7"/>
      <c r="N74" s="9" t="str">
        <f>HYPERLINK("https://pubmed.ncbi.nlm.nih.gov/28328132/","abrir")</f>
        <v>abrir</v>
      </c>
      <c r="O74" s="10" t="b">
        <f t="shared" si="1"/>
        <v>0</v>
      </c>
    </row>
    <row r="75" ht="60.0" customHeight="1">
      <c r="A75" s="7" t="s">
        <v>455</v>
      </c>
      <c r="B75" s="8">
        <v>2017.0</v>
      </c>
      <c r="C75" s="7" t="s">
        <v>456</v>
      </c>
      <c r="D75" s="7" t="s">
        <v>457</v>
      </c>
      <c r="E75" s="7" t="s">
        <v>458</v>
      </c>
      <c r="F75" s="7" t="s">
        <v>459</v>
      </c>
      <c r="G75" s="7" t="s">
        <v>96</v>
      </c>
      <c r="H75" s="7" t="s">
        <v>97</v>
      </c>
      <c r="I75" s="7" t="s">
        <v>98</v>
      </c>
      <c r="J75" s="7" t="s">
        <v>97</v>
      </c>
      <c r="K75" s="7"/>
      <c r="L75" s="7"/>
      <c r="M75" s="7"/>
      <c r="N75" s="9" t="str">
        <f>HYPERLINK("https://pubmed.ncbi.nlm.nih.gov/28456396/","abrir")</f>
        <v>abrir</v>
      </c>
      <c r="O75" s="10" t="b">
        <f t="shared" si="1"/>
        <v>0</v>
      </c>
    </row>
    <row r="76" ht="60.0" customHeight="1">
      <c r="A76" s="7" t="s">
        <v>460</v>
      </c>
      <c r="B76" s="8">
        <v>2017.0</v>
      </c>
      <c r="C76" s="7" t="s">
        <v>319</v>
      </c>
      <c r="D76" s="7" t="s">
        <v>461</v>
      </c>
      <c r="E76" s="7" t="s">
        <v>462</v>
      </c>
      <c r="F76" s="7" t="s">
        <v>463</v>
      </c>
      <c r="G76" s="7" t="s">
        <v>379</v>
      </c>
      <c r="H76" s="7" t="s">
        <v>97</v>
      </c>
      <c r="I76" s="7" t="s">
        <v>98</v>
      </c>
      <c r="J76" s="7" t="s">
        <v>97</v>
      </c>
      <c r="K76" s="7"/>
      <c r="L76" s="7"/>
      <c r="M76" s="7"/>
      <c r="N76" s="9" t="str">
        <f>HYPERLINK("https://pubmed.ncbi.nlm.nih.gov/29046387/","abrir")</f>
        <v>abrir</v>
      </c>
      <c r="O76" s="10" t="b">
        <f t="shared" si="1"/>
        <v>0</v>
      </c>
    </row>
    <row r="77" ht="60.0" customHeight="1">
      <c r="A77" s="7" t="s">
        <v>464</v>
      </c>
      <c r="B77" s="8">
        <v>2016.0</v>
      </c>
      <c r="C77" s="7" t="s">
        <v>465</v>
      </c>
      <c r="D77" s="7" t="s">
        <v>466</v>
      </c>
      <c r="E77" s="7" t="s">
        <v>467</v>
      </c>
      <c r="F77" s="7" t="s">
        <v>468</v>
      </c>
      <c r="G77" s="7" t="s">
        <v>96</v>
      </c>
      <c r="H77" s="7" t="s">
        <v>126</v>
      </c>
      <c r="I77" s="7" t="s">
        <v>98</v>
      </c>
      <c r="J77" s="7" t="s">
        <v>126</v>
      </c>
      <c r="K77" s="7"/>
      <c r="L77" s="7"/>
      <c r="M77" s="7"/>
      <c r="N77" s="9" t="str">
        <f>HYPERLINK("https://pubmed.ncbi.nlm.nih.gov/26104883/","abrir")</f>
        <v>abrir</v>
      </c>
      <c r="O77" s="10" t="b">
        <f t="shared" si="1"/>
        <v>0</v>
      </c>
    </row>
    <row r="78" ht="60.0" customHeight="1">
      <c r="A78" s="7" t="s">
        <v>469</v>
      </c>
      <c r="B78" s="8">
        <v>2016.0</v>
      </c>
      <c r="C78" s="7" t="s">
        <v>470</v>
      </c>
      <c r="D78" s="7" t="s">
        <v>471</v>
      </c>
      <c r="E78" s="7" t="s">
        <v>472</v>
      </c>
      <c r="F78" s="7" t="s">
        <v>95</v>
      </c>
      <c r="G78" s="7" t="s">
        <v>96</v>
      </c>
      <c r="H78" s="7" t="s">
        <v>97</v>
      </c>
      <c r="I78" s="7" t="s">
        <v>98</v>
      </c>
      <c r="J78" s="7" t="s">
        <v>97</v>
      </c>
      <c r="K78" s="7"/>
      <c r="L78" s="7"/>
      <c r="M78" s="7"/>
      <c r="N78" s="9" t="str">
        <f>HYPERLINK("https://pubmed.ncbi.nlm.nih.gov/26453443/","abrir")</f>
        <v>abrir</v>
      </c>
      <c r="O78" s="10" t="b">
        <f t="shared" si="1"/>
        <v>0</v>
      </c>
    </row>
    <row r="79" ht="60.0" customHeight="1">
      <c r="A79" s="7" t="s">
        <v>473</v>
      </c>
      <c r="B79" s="8">
        <v>2016.0</v>
      </c>
      <c r="C79" s="7" t="s">
        <v>474</v>
      </c>
      <c r="D79" s="7" t="s">
        <v>475</v>
      </c>
      <c r="E79" s="7" t="s">
        <v>476</v>
      </c>
      <c r="F79" s="7" t="s">
        <v>95</v>
      </c>
      <c r="G79" s="7" t="s">
        <v>96</v>
      </c>
      <c r="H79" s="7" t="s">
        <v>126</v>
      </c>
      <c r="I79" s="7" t="s">
        <v>98</v>
      </c>
      <c r="J79" s="7" t="s">
        <v>126</v>
      </c>
      <c r="K79" s="7"/>
      <c r="L79" s="7"/>
      <c r="M79" s="7" t="s">
        <v>477</v>
      </c>
      <c r="N79" s="9" t="str">
        <f>HYPERLINK("https://pubmed.ncbi.nlm.nih.gov/26473304/","abrir")</f>
        <v>abrir</v>
      </c>
      <c r="O79" s="10" t="b">
        <f t="shared" si="1"/>
        <v>0</v>
      </c>
    </row>
    <row r="80" ht="60.0" customHeight="1">
      <c r="A80" s="7" t="s">
        <v>478</v>
      </c>
      <c r="B80" s="8">
        <v>2016.0</v>
      </c>
      <c r="C80" s="7" t="s">
        <v>479</v>
      </c>
      <c r="D80" s="7" t="s">
        <v>480</v>
      </c>
      <c r="E80" s="7" t="s">
        <v>481</v>
      </c>
      <c r="F80" s="7" t="s">
        <v>95</v>
      </c>
      <c r="G80" s="7" t="s">
        <v>379</v>
      </c>
      <c r="H80" s="7" t="s">
        <v>97</v>
      </c>
      <c r="I80" s="7" t="s">
        <v>98</v>
      </c>
      <c r="J80" s="7" t="s">
        <v>97</v>
      </c>
      <c r="K80" s="7"/>
      <c r="L80" s="7"/>
      <c r="M80" s="7"/>
      <c r="N80" s="9" t="str">
        <f>HYPERLINK("https://pubmed.ncbi.nlm.nih.gov/26663415/","abrir")</f>
        <v>abrir</v>
      </c>
      <c r="O80" s="10" t="b">
        <f t="shared" si="1"/>
        <v>0</v>
      </c>
    </row>
    <row r="81" ht="60.0" customHeight="1">
      <c r="A81" s="7" t="s">
        <v>482</v>
      </c>
      <c r="B81" s="8">
        <v>2016.0</v>
      </c>
      <c r="C81" s="7" t="s">
        <v>483</v>
      </c>
      <c r="D81" s="7" t="s">
        <v>484</v>
      </c>
      <c r="E81" s="7" t="s">
        <v>485</v>
      </c>
      <c r="F81" s="7" t="s">
        <v>95</v>
      </c>
      <c r="G81" s="7" t="s">
        <v>96</v>
      </c>
      <c r="H81" s="7" t="s">
        <v>126</v>
      </c>
      <c r="I81" s="7" t="s">
        <v>98</v>
      </c>
      <c r="J81" s="7" t="s">
        <v>126</v>
      </c>
      <c r="K81" s="7"/>
      <c r="L81" s="7"/>
      <c r="M81" s="7"/>
      <c r="N81" s="9" t="str">
        <f>HYPERLINK("https://pubmed.ncbi.nlm.nih.gov/26728763/","abrir")</f>
        <v>abrir</v>
      </c>
      <c r="O81" s="10" t="b">
        <f t="shared" si="1"/>
        <v>0</v>
      </c>
    </row>
    <row r="82" ht="60.0" customHeight="1">
      <c r="A82" s="7" t="s">
        <v>486</v>
      </c>
      <c r="B82" s="8">
        <v>2016.0</v>
      </c>
      <c r="C82" s="7" t="s">
        <v>487</v>
      </c>
      <c r="D82" s="7" t="s">
        <v>488</v>
      </c>
      <c r="E82" s="7" t="s">
        <v>489</v>
      </c>
      <c r="F82" s="7" t="s">
        <v>490</v>
      </c>
      <c r="G82" s="7" t="s">
        <v>96</v>
      </c>
      <c r="H82" s="7" t="s">
        <v>97</v>
      </c>
      <c r="I82" s="7" t="s">
        <v>98</v>
      </c>
      <c r="J82" s="7" t="s">
        <v>97</v>
      </c>
      <c r="K82" s="7"/>
      <c r="L82" s="7"/>
      <c r="M82" s="7"/>
      <c r="N82" s="9" t="str">
        <f>HYPERLINK("https://pubmed.ncbi.nlm.nih.gov/26820816/","abrir")</f>
        <v>abrir</v>
      </c>
      <c r="O82" s="10" t="b">
        <f t="shared" si="1"/>
        <v>0</v>
      </c>
    </row>
    <row r="83" ht="60.0" customHeight="1">
      <c r="A83" s="7" t="s">
        <v>491</v>
      </c>
      <c r="B83" s="8">
        <v>2016.0</v>
      </c>
      <c r="C83" s="7" t="s">
        <v>492</v>
      </c>
      <c r="D83" s="7" t="s">
        <v>493</v>
      </c>
      <c r="E83" s="7" t="s">
        <v>494</v>
      </c>
      <c r="F83" s="7" t="s">
        <v>228</v>
      </c>
      <c r="G83" s="7" t="s">
        <v>96</v>
      </c>
      <c r="H83" s="7" t="s">
        <v>97</v>
      </c>
      <c r="I83" s="7" t="s">
        <v>98</v>
      </c>
      <c r="J83" s="7" t="s">
        <v>97</v>
      </c>
      <c r="K83" s="7"/>
      <c r="L83" s="7"/>
      <c r="M83" s="7"/>
      <c r="N83" s="9" t="str">
        <f>HYPERLINK("https://pubmed.ncbi.nlm.nih.gov/26821376/","abrir")</f>
        <v>abrir</v>
      </c>
      <c r="O83" s="10" t="b">
        <f t="shared" si="1"/>
        <v>0</v>
      </c>
    </row>
    <row r="84" ht="60.0" customHeight="1">
      <c r="A84" s="7" t="s">
        <v>495</v>
      </c>
      <c r="B84" s="8">
        <v>2016.0</v>
      </c>
      <c r="C84" s="7" t="s">
        <v>496</v>
      </c>
      <c r="D84" s="7" t="s">
        <v>497</v>
      </c>
      <c r="E84" s="7" t="s">
        <v>498</v>
      </c>
      <c r="F84" s="7" t="s">
        <v>499</v>
      </c>
      <c r="G84" s="7" t="s">
        <v>96</v>
      </c>
      <c r="H84" s="7" t="s">
        <v>368</v>
      </c>
      <c r="I84" s="7" t="s">
        <v>98</v>
      </c>
      <c r="J84" s="7" t="s">
        <v>368</v>
      </c>
      <c r="K84" s="7"/>
      <c r="L84" s="7"/>
      <c r="M84" s="7"/>
      <c r="N84" s="9" t="str">
        <f>HYPERLINK("https://pubmed.ncbi.nlm.nih.gov/27167547/","abrir")</f>
        <v>abrir</v>
      </c>
      <c r="O84" s="10" t="b">
        <f t="shared" si="1"/>
        <v>0</v>
      </c>
    </row>
    <row r="85" ht="60.0" customHeight="1">
      <c r="A85" s="7" t="s">
        <v>500</v>
      </c>
      <c r="B85" s="8">
        <v>2016.0</v>
      </c>
      <c r="C85" s="7" t="s">
        <v>501</v>
      </c>
      <c r="D85" s="7" t="s">
        <v>502</v>
      </c>
      <c r="E85" s="7" t="s">
        <v>503</v>
      </c>
      <c r="F85" s="7" t="s">
        <v>421</v>
      </c>
      <c r="G85" s="7" t="s">
        <v>96</v>
      </c>
      <c r="H85" s="7" t="s">
        <v>126</v>
      </c>
      <c r="I85" s="7" t="s">
        <v>98</v>
      </c>
      <c r="J85" s="7" t="s">
        <v>126</v>
      </c>
      <c r="K85" s="7"/>
      <c r="L85" s="7"/>
      <c r="M85" s="7"/>
      <c r="N85" s="9" t="str">
        <f>HYPERLINK("https://pubmed.ncbi.nlm.nih.gov/27437608/","abrir")</f>
        <v>abrir</v>
      </c>
      <c r="O85" s="10" t="b">
        <f t="shared" si="1"/>
        <v>0</v>
      </c>
    </row>
    <row r="86" ht="60.0" customHeight="1">
      <c r="A86" s="7" t="s">
        <v>504</v>
      </c>
      <c r="B86" s="8">
        <v>2016.0</v>
      </c>
      <c r="C86" s="7" t="s">
        <v>505</v>
      </c>
      <c r="D86" s="7" t="s">
        <v>506</v>
      </c>
      <c r="E86" s="7" t="s">
        <v>507</v>
      </c>
      <c r="F86" s="7" t="s">
        <v>508</v>
      </c>
      <c r="G86" s="7" t="s">
        <v>184</v>
      </c>
      <c r="H86" s="7" t="s">
        <v>97</v>
      </c>
      <c r="I86" s="7" t="s">
        <v>98</v>
      </c>
      <c r="J86" s="7" t="s">
        <v>97</v>
      </c>
      <c r="K86" s="7"/>
      <c r="L86" s="7"/>
      <c r="M86" s="7"/>
      <c r="N86" s="9" t="str">
        <f>HYPERLINK("https://pubmed.ncbi.nlm.nih.gov/27458947/","abrir")</f>
        <v>abrir</v>
      </c>
      <c r="O86" s="10" t="b">
        <f t="shared" si="1"/>
        <v>0</v>
      </c>
    </row>
    <row r="87" ht="60.0" customHeight="1">
      <c r="A87" s="7" t="s">
        <v>509</v>
      </c>
      <c r="B87" s="8">
        <v>2016.0</v>
      </c>
      <c r="C87" s="7" t="s">
        <v>510</v>
      </c>
      <c r="D87" s="7" t="s">
        <v>511</v>
      </c>
      <c r="E87" s="7" t="s">
        <v>512</v>
      </c>
      <c r="F87" s="7" t="s">
        <v>513</v>
      </c>
      <c r="G87" s="7" t="s">
        <v>96</v>
      </c>
      <c r="H87" s="7" t="s">
        <v>97</v>
      </c>
      <c r="I87" s="7" t="s">
        <v>98</v>
      </c>
      <c r="J87" s="7" t="s">
        <v>97</v>
      </c>
      <c r="K87" s="7"/>
      <c r="L87" s="7"/>
      <c r="M87" s="7"/>
      <c r="N87" s="9" t="str">
        <f>HYPERLINK("https://pubmed.ncbi.nlm.nih.gov/27530709/","abrir")</f>
        <v>abrir</v>
      </c>
      <c r="O87" s="10" t="b">
        <f t="shared" si="1"/>
        <v>0</v>
      </c>
    </row>
    <row r="88" ht="60.0" customHeight="1">
      <c r="A88" s="7" t="s">
        <v>514</v>
      </c>
      <c r="B88" s="8">
        <v>2016.0</v>
      </c>
      <c r="C88" s="7" t="s">
        <v>515</v>
      </c>
      <c r="D88" s="7" t="s">
        <v>516</v>
      </c>
      <c r="E88" s="7" t="s">
        <v>517</v>
      </c>
      <c r="F88" s="7" t="s">
        <v>513</v>
      </c>
      <c r="G88" s="7" t="s">
        <v>96</v>
      </c>
      <c r="H88" s="7" t="s">
        <v>97</v>
      </c>
      <c r="I88" s="7" t="s">
        <v>98</v>
      </c>
      <c r="J88" s="7" t="s">
        <v>97</v>
      </c>
      <c r="K88" s="7"/>
      <c r="L88" s="7"/>
      <c r="M88" s="7"/>
      <c r="N88" s="9" t="str">
        <f>HYPERLINK("https://pubmed.ncbi.nlm.nih.gov/27550159/","abrir")</f>
        <v>abrir</v>
      </c>
      <c r="O88" s="10" t="b">
        <f t="shared" si="1"/>
        <v>0</v>
      </c>
    </row>
    <row r="89" ht="60.0" customHeight="1">
      <c r="A89" s="7" t="s">
        <v>518</v>
      </c>
      <c r="B89" s="8">
        <v>2015.0</v>
      </c>
      <c r="C89" s="7" t="s">
        <v>519</v>
      </c>
      <c r="D89" s="7" t="s">
        <v>520</v>
      </c>
      <c r="E89" s="7" t="s">
        <v>521</v>
      </c>
      <c r="F89" s="7" t="s">
        <v>522</v>
      </c>
      <c r="G89" s="7" t="s">
        <v>96</v>
      </c>
      <c r="H89" s="7" t="s">
        <v>126</v>
      </c>
      <c r="I89" s="7" t="s">
        <v>98</v>
      </c>
      <c r="J89" s="7" t="s">
        <v>126</v>
      </c>
      <c r="K89" s="7"/>
      <c r="L89" s="7"/>
      <c r="M89" s="7" t="s">
        <v>523</v>
      </c>
      <c r="N89" s="9" t="str">
        <f>HYPERLINK("https://pubmed.ncbi.nlm.nih.gov/25388684/","abrir")</f>
        <v>abrir</v>
      </c>
      <c r="O89" s="10" t="b">
        <f t="shared" si="1"/>
        <v>0</v>
      </c>
    </row>
    <row r="90" ht="60.0" customHeight="1">
      <c r="A90" s="7" t="s">
        <v>524</v>
      </c>
      <c r="B90" s="8">
        <v>2015.0</v>
      </c>
      <c r="C90" s="7" t="s">
        <v>525</v>
      </c>
      <c r="D90" s="7" t="s">
        <v>526</v>
      </c>
      <c r="E90" s="7" t="s">
        <v>527</v>
      </c>
      <c r="F90" s="7" t="s">
        <v>132</v>
      </c>
      <c r="G90" s="7" t="s">
        <v>96</v>
      </c>
      <c r="H90" s="7" t="s">
        <v>97</v>
      </c>
      <c r="I90" s="7" t="s">
        <v>98</v>
      </c>
      <c r="J90" s="7" t="s">
        <v>97</v>
      </c>
      <c r="K90" s="7"/>
      <c r="L90" s="7"/>
      <c r="M90" s="7"/>
      <c r="N90" s="9" t="str">
        <f>HYPERLINK("https://pubmed.ncbi.nlm.nih.gov/25612784/","abrir")</f>
        <v>abrir</v>
      </c>
      <c r="O90" s="10" t="b">
        <f t="shared" si="1"/>
        <v>0</v>
      </c>
    </row>
    <row r="91" ht="60.0" customHeight="1">
      <c r="A91" s="7" t="s">
        <v>528</v>
      </c>
      <c r="B91" s="8">
        <v>2015.0</v>
      </c>
      <c r="C91" s="7" t="s">
        <v>529</v>
      </c>
      <c r="D91" s="7" t="s">
        <v>530</v>
      </c>
      <c r="E91" s="7" t="s">
        <v>531</v>
      </c>
      <c r="F91" s="7" t="s">
        <v>95</v>
      </c>
      <c r="G91" s="7" t="s">
        <v>184</v>
      </c>
      <c r="H91" s="7" t="s">
        <v>97</v>
      </c>
      <c r="I91" s="7" t="s">
        <v>98</v>
      </c>
      <c r="J91" s="7" t="s">
        <v>97</v>
      </c>
      <c r="K91" s="7"/>
      <c r="L91" s="7"/>
      <c r="M91" s="7"/>
      <c r="N91" s="9" t="str">
        <f>HYPERLINK("https://pubmed.ncbi.nlm.nih.gov/25847518/","abrir")</f>
        <v>abrir</v>
      </c>
      <c r="O91" s="10" t="b">
        <f t="shared" si="1"/>
        <v>0</v>
      </c>
    </row>
    <row r="92" ht="60.0" customHeight="1">
      <c r="A92" s="7" t="s">
        <v>532</v>
      </c>
      <c r="B92" s="8">
        <v>2015.0</v>
      </c>
      <c r="C92" s="7" t="s">
        <v>533</v>
      </c>
      <c r="D92" s="7" t="s">
        <v>534</v>
      </c>
      <c r="E92" s="7" t="s">
        <v>535</v>
      </c>
      <c r="F92" s="7" t="s">
        <v>95</v>
      </c>
      <c r="G92" s="7" t="s">
        <v>96</v>
      </c>
      <c r="H92" s="7" t="s">
        <v>97</v>
      </c>
      <c r="I92" s="7" t="s">
        <v>98</v>
      </c>
      <c r="J92" s="7" t="s">
        <v>97</v>
      </c>
      <c r="K92" s="7"/>
      <c r="L92" s="7"/>
      <c r="M92" s="7"/>
      <c r="N92" s="9" t="str">
        <f>HYPERLINK("https://pubmed.ncbi.nlm.nih.gov/26307940/","abrir")</f>
        <v>abrir</v>
      </c>
      <c r="O92" s="10" t="b">
        <f t="shared" si="1"/>
        <v>0</v>
      </c>
    </row>
    <row r="93" ht="60.0" customHeight="1">
      <c r="A93" s="7" t="s">
        <v>536</v>
      </c>
      <c r="B93" s="8">
        <v>2014.0</v>
      </c>
      <c r="C93" s="7" t="s">
        <v>537</v>
      </c>
      <c r="D93" s="7" t="s">
        <v>538</v>
      </c>
      <c r="E93" s="7" t="s">
        <v>539</v>
      </c>
      <c r="F93" s="7" t="s">
        <v>95</v>
      </c>
      <c r="G93" s="7" t="s">
        <v>184</v>
      </c>
      <c r="H93" s="7" t="s">
        <v>97</v>
      </c>
      <c r="I93" s="7" t="s">
        <v>98</v>
      </c>
      <c r="J93" s="7" t="s">
        <v>97</v>
      </c>
      <c r="K93" s="7"/>
      <c r="L93" s="7"/>
      <c r="M93" s="7"/>
      <c r="N93" s="9" t="str">
        <f>HYPERLINK("https://pubmed.ncbi.nlm.nih.gov/24311518/","abrir")</f>
        <v>abrir</v>
      </c>
      <c r="O93" s="10" t="b">
        <f t="shared" si="1"/>
        <v>0</v>
      </c>
    </row>
    <row r="94" ht="60.0" customHeight="1">
      <c r="A94" s="7" t="s">
        <v>540</v>
      </c>
      <c r="B94" s="8">
        <v>2014.0</v>
      </c>
      <c r="C94" s="7" t="s">
        <v>541</v>
      </c>
      <c r="D94" s="7" t="s">
        <v>542</v>
      </c>
      <c r="E94" s="7" t="s">
        <v>543</v>
      </c>
      <c r="F94" s="7" t="s">
        <v>463</v>
      </c>
      <c r="G94" s="7" t="s">
        <v>544</v>
      </c>
      <c r="H94" s="7" t="s">
        <v>97</v>
      </c>
      <c r="I94" s="7" t="s">
        <v>98</v>
      </c>
      <c r="J94" s="7" t="s">
        <v>97</v>
      </c>
      <c r="K94" s="7"/>
      <c r="L94" s="7"/>
      <c r="M94" s="7"/>
      <c r="N94" s="9" t="str">
        <f>HYPERLINK("https://pubmed.ncbi.nlm.nih.gov/24446439/","abrir")</f>
        <v>abrir</v>
      </c>
      <c r="O94" s="10" t="b">
        <f t="shared" si="1"/>
        <v>0</v>
      </c>
    </row>
    <row r="95" ht="60.0" customHeight="1">
      <c r="A95" s="7" t="s">
        <v>545</v>
      </c>
      <c r="B95" s="8">
        <v>2014.0</v>
      </c>
      <c r="C95" s="7" t="s">
        <v>546</v>
      </c>
      <c r="D95" s="7" t="s">
        <v>547</v>
      </c>
      <c r="E95" s="7" t="s">
        <v>548</v>
      </c>
      <c r="F95" s="7" t="s">
        <v>549</v>
      </c>
      <c r="G95" s="7" t="s">
        <v>184</v>
      </c>
      <c r="H95" s="7" t="s">
        <v>368</v>
      </c>
      <c r="I95" s="7" t="s">
        <v>98</v>
      </c>
      <c r="J95" s="7" t="s">
        <v>368</v>
      </c>
      <c r="K95" s="7"/>
      <c r="L95" s="7"/>
      <c r="M95" s="7" t="s">
        <v>138</v>
      </c>
      <c r="N95" s="9" t="str">
        <f>HYPERLINK("https://pubmed.ncbi.nlm.nih.gov/24993362/","abrir")</f>
        <v>abrir</v>
      </c>
      <c r="O95" s="10" t="b">
        <f t="shared" si="1"/>
        <v>0</v>
      </c>
    </row>
    <row r="96" ht="60.0" customHeight="1">
      <c r="A96" s="7" t="s">
        <v>550</v>
      </c>
      <c r="B96" s="8">
        <v>2013.0</v>
      </c>
      <c r="C96" s="7" t="s">
        <v>551</v>
      </c>
      <c r="D96" s="7" t="s">
        <v>552</v>
      </c>
      <c r="E96" s="7" t="s">
        <v>553</v>
      </c>
      <c r="F96" s="7" t="s">
        <v>199</v>
      </c>
      <c r="G96" s="7" t="s">
        <v>96</v>
      </c>
      <c r="H96" s="7" t="s">
        <v>126</v>
      </c>
      <c r="I96" s="7" t="s">
        <v>98</v>
      </c>
      <c r="J96" s="7" t="s">
        <v>368</v>
      </c>
      <c r="K96" s="7"/>
      <c r="L96" s="7"/>
      <c r="M96" s="7"/>
      <c r="N96" s="9" t="str">
        <f>HYPERLINK("https://pubmed.ncbi.nlm.nih.gov/22562870/","abrir")</f>
        <v>abrir</v>
      </c>
      <c r="O96" s="10" t="b">
        <f t="shared" si="1"/>
        <v>0</v>
      </c>
    </row>
    <row r="97" ht="60.0" customHeight="1">
      <c r="A97" s="7" t="s">
        <v>554</v>
      </c>
      <c r="B97" s="8">
        <v>2013.0</v>
      </c>
      <c r="C97" s="7" t="s">
        <v>555</v>
      </c>
      <c r="D97" s="7" t="s">
        <v>556</v>
      </c>
      <c r="E97" s="7" t="s">
        <v>557</v>
      </c>
      <c r="F97" s="7" t="s">
        <v>95</v>
      </c>
      <c r="G97" s="7" t="s">
        <v>184</v>
      </c>
      <c r="H97" s="7" t="s">
        <v>97</v>
      </c>
      <c r="I97" s="7" t="s">
        <v>98</v>
      </c>
      <c r="J97" s="7" t="s">
        <v>97</v>
      </c>
      <c r="K97" s="7"/>
      <c r="L97" s="7"/>
      <c r="M97" s="7"/>
      <c r="N97" s="9" t="str">
        <f>HYPERLINK("https://pubmed.ncbi.nlm.nih.gov/23720410/","abrir")</f>
        <v>abrir</v>
      </c>
      <c r="O97" s="10" t="b">
        <f t="shared" si="1"/>
        <v>0</v>
      </c>
    </row>
    <row r="98" ht="60.0" customHeight="1">
      <c r="A98" s="7" t="s">
        <v>558</v>
      </c>
      <c r="B98" s="8">
        <v>2013.0</v>
      </c>
      <c r="C98" s="7" t="s">
        <v>559</v>
      </c>
      <c r="D98" s="7" t="s">
        <v>560</v>
      </c>
      <c r="E98" s="7" t="s">
        <v>561</v>
      </c>
      <c r="F98" s="7" t="s">
        <v>95</v>
      </c>
      <c r="G98" s="7" t="s">
        <v>96</v>
      </c>
      <c r="H98" s="7" t="s">
        <v>97</v>
      </c>
      <c r="I98" s="7" t="s">
        <v>98</v>
      </c>
      <c r="J98" s="7" t="s">
        <v>97</v>
      </c>
      <c r="K98" s="7"/>
      <c r="L98" s="7"/>
      <c r="M98" s="7"/>
      <c r="N98" s="9" t="str">
        <f>HYPERLINK("https://pubmed.ncbi.nlm.nih.gov/23949924/","abrir")</f>
        <v>abrir</v>
      </c>
      <c r="O98" s="10" t="b">
        <f t="shared" si="1"/>
        <v>0</v>
      </c>
    </row>
    <row r="99" ht="60.0" customHeight="1">
      <c r="A99" s="7" t="s">
        <v>562</v>
      </c>
      <c r="B99" s="8">
        <v>2013.0</v>
      </c>
      <c r="C99" s="7" t="s">
        <v>563</v>
      </c>
      <c r="D99" s="7" t="s">
        <v>564</v>
      </c>
      <c r="E99" s="7" t="s">
        <v>565</v>
      </c>
      <c r="F99" s="7" t="s">
        <v>447</v>
      </c>
      <c r="G99" s="7" t="s">
        <v>96</v>
      </c>
      <c r="H99" s="7" t="s">
        <v>126</v>
      </c>
      <c r="I99" s="7" t="s">
        <v>98</v>
      </c>
      <c r="J99" s="7" t="s">
        <v>126</v>
      </c>
      <c r="K99" s="7"/>
      <c r="L99" s="7"/>
      <c r="M99" s="7"/>
      <c r="N99" s="9" t="str">
        <f>HYPERLINK("https://pubmed.ncbi.nlm.nih.gov/24237681/","abrir")</f>
        <v>abrir</v>
      </c>
      <c r="O99" s="10" t="b">
        <f t="shared" si="1"/>
        <v>0</v>
      </c>
    </row>
    <row r="100" ht="60.0" customHeight="1">
      <c r="A100" s="7" t="s">
        <v>566</v>
      </c>
      <c r="B100" s="8">
        <v>2012.0</v>
      </c>
      <c r="C100" s="7" t="s">
        <v>541</v>
      </c>
      <c r="D100" s="7" t="s">
        <v>567</v>
      </c>
      <c r="E100" s="7" t="s">
        <v>568</v>
      </c>
      <c r="F100" s="7" t="s">
        <v>204</v>
      </c>
      <c r="G100" s="7" t="s">
        <v>426</v>
      </c>
      <c r="H100" s="7" t="s">
        <v>97</v>
      </c>
      <c r="I100" s="7" t="s">
        <v>98</v>
      </c>
      <c r="J100" s="7" t="s">
        <v>97</v>
      </c>
      <c r="K100" s="7"/>
      <c r="L100" s="7"/>
      <c r="M100" s="7"/>
      <c r="N100" s="9" t="str">
        <f>HYPERLINK("https://pubmed.ncbi.nlm.nih.gov/22177989/","abrir")</f>
        <v>abrir</v>
      </c>
      <c r="O100" s="10" t="b">
        <f t="shared" si="1"/>
        <v>0</v>
      </c>
    </row>
    <row r="101" ht="60.0" customHeight="1">
      <c r="A101" s="7" t="s">
        <v>569</v>
      </c>
      <c r="B101" s="8">
        <v>2012.0</v>
      </c>
      <c r="C101" s="7" t="s">
        <v>505</v>
      </c>
      <c r="D101" s="7" t="s">
        <v>570</v>
      </c>
      <c r="E101" s="7" t="s">
        <v>571</v>
      </c>
      <c r="F101" s="7" t="s">
        <v>463</v>
      </c>
      <c r="G101" s="7" t="s">
        <v>96</v>
      </c>
      <c r="H101" s="7" t="s">
        <v>97</v>
      </c>
      <c r="I101" s="7" t="s">
        <v>98</v>
      </c>
      <c r="J101" s="7" t="s">
        <v>97</v>
      </c>
      <c r="K101" s="7"/>
      <c r="L101" s="7"/>
      <c r="M101" s="7"/>
      <c r="N101" s="9" t="str">
        <f>HYPERLINK("https://pubmed.ncbi.nlm.nih.gov/22492767/","abrir")</f>
        <v>abrir</v>
      </c>
      <c r="O101" s="10" t="b">
        <f t="shared" si="1"/>
        <v>0</v>
      </c>
    </row>
    <row r="102" ht="60.0" customHeight="1">
      <c r="A102" s="7" t="s">
        <v>572</v>
      </c>
      <c r="B102" s="8">
        <v>2011.0</v>
      </c>
      <c r="C102" s="7" t="s">
        <v>573</v>
      </c>
      <c r="D102" s="7" t="s">
        <v>574</v>
      </c>
      <c r="E102" s="7" t="s">
        <v>575</v>
      </c>
      <c r="F102" s="7" t="s">
        <v>576</v>
      </c>
      <c r="G102" s="7" t="s">
        <v>184</v>
      </c>
      <c r="H102" s="7" t="s">
        <v>126</v>
      </c>
      <c r="I102" s="7" t="s">
        <v>98</v>
      </c>
      <c r="J102" s="7" t="s">
        <v>126</v>
      </c>
      <c r="K102" s="7"/>
      <c r="L102" s="7"/>
      <c r="M102" s="7"/>
      <c r="N102" s="9" t="str">
        <f>HYPERLINK("https://pubmed.ncbi.nlm.nih.gov/20384468/","abrir")</f>
        <v>abrir</v>
      </c>
      <c r="O102" s="10" t="b">
        <f t="shared" si="1"/>
        <v>0</v>
      </c>
    </row>
    <row r="103" ht="60.0" customHeight="1">
      <c r="A103" s="7" t="s">
        <v>577</v>
      </c>
      <c r="B103" s="8">
        <v>2011.0</v>
      </c>
      <c r="C103" s="7" t="s">
        <v>578</v>
      </c>
      <c r="D103" s="7" t="s">
        <v>579</v>
      </c>
      <c r="E103" s="7" t="s">
        <v>580</v>
      </c>
      <c r="F103" s="7" t="s">
        <v>228</v>
      </c>
      <c r="G103" s="7" t="s">
        <v>426</v>
      </c>
      <c r="H103" s="7" t="s">
        <v>97</v>
      </c>
      <c r="I103" s="7" t="s">
        <v>98</v>
      </c>
      <c r="J103" s="7" t="s">
        <v>97</v>
      </c>
      <c r="K103" s="7"/>
      <c r="L103" s="7"/>
      <c r="M103" s="7"/>
      <c r="N103" s="9" t="str">
        <f>HYPERLINK("https://pubmed.ncbi.nlm.nih.gov/21205409/","abrir")</f>
        <v>abrir</v>
      </c>
      <c r="O103" s="10" t="b">
        <f t="shared" si="1"/>
        <v>0</v>
      </c>
    </row>
    <row r="104" ht="60.0" customHeight="1">
      <c r="A104" s="7" t="s">
        <v>581</v>
      </c>
      <c r="B104" s="8">
        <v>2011.0</v>
      </c>
      <c r="C104" s="7" t="s">
        <v>582</v>
      </c>
      <c r="D104" s="7" t="s">
        <v>583</v>
      </c>
      <c r="E104" s="7" t="s">
        <v>584</v>
      </c>
      <c r="F104" s="7" t="s">
        <v>95</v>
      </c>
      <c r="G104" s="7" t="s">
        <v>184</v>
      </c>
      <c r="H104" s="7" t="s">
        <v>97</v>
      </c>
      <c r="I104" s="7" t="s">
        <v>98</v>
      </c>
      <c r="J104" s="7" t="s">
        <v>97</v>
      </c>
      <c r="K104" s="7"/>
      <c r="L104" s="7"/>
      <c r="M104" s="7" t="s">
        <v>523</v>
      </c>
      <c r="N104" s="9" t="str">
        <f>HYPERLINK("https://pubmed.ncbi.nlm.nih.gov/21671399/","abrir")</f>
        <v>abrir</v>
      </c>
      <c r="O104" s="10" t="b">
        <f t="shared" si="1"/>
        <v>0</v>
      </c>
    </row>
    <row r="105" ht="60.0" customHeight="1">
      <c r="A105" s="7" t="s">
        <v>585</v>
      </c>
      <c r="B105" s="8">
        <v>2011.0</v>
      </c>
      <c r="C105" s="7" t="s">
        <v>586</v>
      </c>
      <c r="D105" s="7" t="s">
        <v>587</v>
      </c>
      <c r="E105" s="7" t="s">
        <v>588</v>
      </c>
      <c r="F105" s="7" t="s">
        <v>95</v>
      </c>
      <c r="G105" s="7" t="s">
        <v>96</v>
      </c>
      <c r="H105" s="7" t="s">
        <v>368</v>
      </c>
      <c r="I105" s="7" t="s">
        <v>98</v>
      </c>
      <c r="J105" s="7" t="s">
        <v>368</v>
      </c>
      <c r="K105" s="7"/>
      <c r="L105" s="7"/>
      <c r="M105" s="7"/>
      <c r="N105" s="9" t="str">
        <f>HYPERLINK("https://pubmed.ncbi.nlm.nih.gov/21990236/","abrir")</f>
        <v>abrir</v>
      </c>
      <c r="O105" s="10" t="b">
        <f t="shared" si="1"/>
        <v>0</v>
      </c>
    </row>
    <row r="106" ht="60.0" customHeight="1">
      <c r="A106" s="7" t="s">
        <v>589</v>
      </c>
      <c r="B106" s="8">
        <v>2011.0</v>
      </c>
      <c r="C106" s="7" t="s">
        <v>590</v>
      </c>
      <c r="D106" s="7" t="s">
        <v>591</v>
      </c>
      <c r="E106" s="7" t="s">
        <v>592</v>
      </c>
      <c r="F106" s="7" t="s">
        <v>95</v>
      </c>
      <c r="G106" s="7" t="s">
        <v>96</v>
      </c>
      <c r="H106" s="7" t="s">
        <v>97</v>
      </c>
      <c r="I106" s="7" t="s">
        <v>98</v>
      </c>
      <c r="J106" s="7" t="s">
        <v>97</v>
      </c>
      <c r="K106" s="7"/>
      <c r="L106" s="7"/>
      <c r="M106" s="7"/>
      <c r="N106" s="9" t="str">
        <f>HYPERLINK("https://pubmed.ncbi.nlm.nih.gov/21990245/","abrir")</f>
        <v>abrir</v>
      </c>
      <c r="O106" s="10" t="b">
        <f t="shared" si="1"/>
        <v>0</v>
      </c>
    </row>
    <row r="107" ht="60.0" customHeight="1">
      <c r="A107" s="7" t="s">
        <v>593</v>
      </c>
      <c r="B107" s="8">
        <v>2010.0</v>
      </c>
      <c r="C107" s="7" t="s">
        <v>594</v>
      </c>
      <c r="D107" s="7" t="s">
        <v>595</v>
      </c>
      <c r="E107" s="7" t="s">
        <v>596</v>
      </c>
      <c r="F107" s="7" t="s">
        <v>298</v>
      </c>
      <c r="G107" s="7" t="s">
        <v>597</v>
      </c>
      <c r="H107" s="7" t="s">
        <v>368</v>
      </c>
      <c r="I107" s="7" t="s">
        <v>98</v>
      </c>
      <c r="J107" s="7" t="s">
        <v>368</v>
      </c>
      <c r="K107" s="7"/>
      <c r="L107" s="7"/>
      <c r="M107" s="7" t="s">
        <v>138</v>
      </c>
      <c r="N107" s="9" t="str">
        <f>HYPERLINK("https://pubmed.ncbi.nlm.nih.gov/19911411/","abrir")</f>
        <v>abrir</v>
      </c>
      <c r="O107" s="10" t="b">
        <f t="shared" si="1"/>
        <v>0</v>
      </c>
    </row>
    <row r="108" ht="60.0" customHeight="1">
      <c r="A108" s="7" t="s">
        <v>598</v>
      </c>
      <c r="B108" s="8">
        <v>2010.0</v>
      </c>
      <c r="C108" s="7" t="s">
        <v>599</v>
      </c>
      <c r="D108" s="7" t="s">
        <v>600</v>
      </c>
      <c r="E108" s="7" t="s">
        <v>601</v>
      </c>
      <c r="F108" s="7" t="s">
        <v>95</v>
      </c>
      <c r="G108" s="7" t="s">
        <v>184</v>
      </c>
      <c r="H108" s="7" t="s">
        <v>97</v>
      </c>
      <c r="I108" s="7" t="s">
        <v>98</v>
      </c>
      <c r="J108" s="7" t="s">
        <v>97</v>
      </c>
      <c r="K108" s="7"/>
      <c r="L108" s="7"/>
      <c r="M108" s="7" t="s">
        <v>602</v>
      </c>
      <c r="N108" s="9" t="str">
        <f>HYPERLINK("https://pubmed.ncbi.nlm.nih.gov/20082470/","abrir")</f>
        <v>abrir</v>
      </c>
      <c r="O108" s="10" t="b">
        <f t="shared" si="1"/>
        <v>0</v>
      </c>
    </row>
    <row r="109" ht="60.0" customHeight="1">
      <c r="A109" s="7" t="s">
        <v>603</v>
      </c>
      <c r="B109" s="8">
        <v>2010.0</v>
      </c>
      <c r="C109" s="7" t="s">
        <v>604</v>
      </c>
      <c r="D109" s="7" t="s">
        <v>605</v>
      </c>
      <c r="E109" s="7" t="s">
        <v>606</v>
      </c>
      <c r="F109" s="7" t="s">
        <v>607</v>
      </c>
      <c r="G109" s="7" t="s">
        <v>96</v>
      </c>
      <c r="H109" s="7" t="s">
        <v>97</v>
      </c>
      <c r="I109" s="7" t="s">
        <v>98</v>
      </c>
      <c r="J109" s="7" t="s">
        <v>97</v>
      </c>
      <c r="K109" s="7"/>
      <c r="L109" s="7"/>
      <c r="M109" s="7"/>
      <c r="N109" s="9" t="str">
        <f>HYPERLINK("https://pubmed.ncbi.nlm.nih.gov/20449712/","abrir")</f>
        <v>abrir</v>
      </c>
      <c r="O109" s="10" t="b">
        <f t="shared" si="1"/>
        <v>0</v>
      </c>
    </row>
    <row r="110" ht="60.0" customHeight="1">
      <c r="A110" s="7" t="s">
        <v>608</v>
      </c>
      <c r="B110" s="8">
        <v>2010.0</v>
      </c>
      <c r="C110" s="7" t="s">
        <v>609</v>
      </c>
      <c r="D110" s="7" t="s">
        <v>610</v>
      </c>
      <c r="E110" s="7" t="s">
        <v>611</v>
      </c>
      <c r="F110" s="7" t="s">
        <v>612</v>
      </c>
      <c r="G110" s="7" t="s">
        <v>96</v>
      </c>
      <c r="H110" s="7" t="s">
        <v>97</v>
      </c>
      <c r="I110" s="7" t="s">
        <v>98</v>
      </c>
      <c r="J110" s="7" t="s">
        <v>97</v>
      </c>
      <c r="K110" s="7"/>
      <c r="L110" s="7"/>
      <c r="M110" s="7" t="s">
        <v>138</v>
      </c>
      <c r="N110" s="9" t="str">
        <f>HYPERLINK("https://pubmed.ncbi.nlm.nih.gov/20683907/","abrir")</f>
        <v>abrir</v>
      </c>
      <c r="O110" s="10" t="b">
        <f t="shared" si="1"/>
        <v>0</v>
      </c>
    </row>
    <row r="111" ht="60.0" customHeight="1">
      <c r="A111" s="7" t="s">
        <v>613</v>
      </c>
      <c r="B111" s="8">
        <v>2009.0</v>
      </c>
      <c r="C111" s="7" t="s">
        <v>614</v>
      </c>
      <c r="D111" s="7" t="s">
        <v>615</v>
      </c>
      <c r="E111" s="7" t="s">
        <v>616</v>
      </c>
      <c r="F111" s="7" t="s">
        <v>132</v>
      </c>
      <c r="G111" s="7" t="s">
        <v>426</v>
      </c>
      <c r="H111" s="7" t="s">
        <v>97</v>
      </c>
      <c r="I111" s="7" t="s">
        <v>98</v>
      </c>
      <c r="J111" s="7" t="s">
        <v>97</v>
      </c>
      <c r="K111" s="7"/>
      <c r="L111" s="7"/>
      <c r="M111" s="7"/>
      <c r="N111" s="9" t="str">
        <f>HYPERLINK("https://pubmed.ncbi.nlm.nih.gov/19340475/","abrir")</f>
        <v>abrir</v>
      </c>
      <c r="O111" s="10" t="b">
        <f t="shared" si="1"/>
        <v>0</v>
      </c>
    </row>
    <row r="112" ht="60.0" customHeight="1">
      <c r="A112" s="7" t="s">
        <v>617</v>
      </c>
      <c r="B112" s="8">
        <v>2009.0</v>
      </c>
      <c r="C112" s="7" t="s">
        <v>618</v>
      </c>
      <c r="D112" s="7" t="s">
        <v>619</v>
      </c>
      <c r="E112" s="7" t="s">
        <v>620</v>
      </c>
      <c r="F112" s="7" t="s">
        <v>392</v>
      </c>
      <c r="G112" s="7" t="s">
        <v>96</v>
      </c>
      <c r="H112" s="7" t="s">
        <v>97</v>
      </c>
      <c r="I112" s="7" t="s">
        <v>98</v>
      </c>
      <c r="J112" s="7" t="s">
        <v>97</v>
      </c>
      <c r="K112" s="7"/>
      <c r="L112" s="7"/>
      <c r="M112" s="7"/>
      <c r="N112" s="9" t="str">
        <f>HYPERLINK("https://pubmed.ncbi.nlm.nih.gov/19750888/","abrir")</f>
        <v>abrir</v>
      </c>
      <c r="O112" s="10" t="b">
        <f t="shared" si="1"/>
        <v>0</v>
      </c>
    </row>
    <row r="113" ht="60.0" customHeight="1">
      <c r="A113" s="7" t="s">
        <v>621</v>
      </c>
      <c r="B113" s="8">
        <v>2008.0</v>
      </c>
      <c r="C113" s="7" t="s">
        <v>622</v>
      </c>
      <c r="D113" s="7" t="s">
        <v>623</v>
      </c>
      <c r="E113" s="7" t="s">
        <v>624</v>
      </c>
      <c r="F113" s="7" t="s">
        <v>95</v>
      </c>
      <c r="G113" s="7" t="s">
        <v>96</v>
      </c>
      <c r="H113" s="7" t="s">
        <v>368</v>
      </c>
      <c r="I113" s="7" t="s">
        <v>98</v>
      </c>
      <c r="J113" s="7" t="s">
        <v>368</v>
      </c>
      <c r="K113" s="7"/>
      <c r="L113" s="7"/>
      <c r="M113" s="7" t="s">
        <v>138</v>
      </c>
      <c r="N113" s="9" t="str">
        <f>HYPERLINK("https://pubmed.ncbi.nlm.nih.gov/18348276/","abrir")</f>
        <v>abrir</v>
      </c>
      <c r="O113" s="10" t="b">
        <f t="shared" si="1"/>
        <v>0</v>
      </c>
    </row>
    <row r="114" ht="60.0" customHeight="1">
      <c r="A114" s="7" t="s">
        <v>625</v>
      </c>
      <c r="B114" s="8">
        <v>2008.0</v>
      </c>
      <c r="C114" s="7" t="s">
        <v>626</v>
      </c>
      <c r="D114" s="7" t="s">
        <v>627</v>
      </c>
      <c r="E114" s="7" t="s">
        <v>628</v>
      </c>
      <c r="F114" s="7" t="s">
        <v>95</v>
      </c>
      <c r="G114" s="7" t="s">
        <v>184</v>
      </c>
      <c r="H114" s="7" t="s">
        <v>126</v>
      </c>
      <c r="I114" s="7" t="s">
        <v>98</v>
      </c>
      <c r="J114" s="7" t="s">
        <v>368</v>
      </c>
      <c r="K114" s="7"/>
      <c r="L114" s="7"/>
      <c r="M114" s="7"/>
      <c r="N114" s="9" t="str">
        <f>HYPERLINK("https://pubmed.ncbi.nlm.nih.gov/18361449/","abrir")</f>
        <v>abrir</v>
      </c>
      <c r="O114" s="10" t="b">
        <f t="shared" si="1"/>
        <v>0</v>
      </c>
    </row>
    <row r="115" ht="60.0" customHeight="1">
      <c r="A115" s="7" t="s">
        <v>629</v>
      </c>
      <c r="B115" s="8">
        <v>2008.0</v>
      </c>
      <c r="C115" s="7" t="s">
        <v>614</v>
      </c>
      <c r="D115" s="7" t="s">
        <v>630</v>
      </c>
      <c r="E115" s="7" t="s">
        <v>631</v>
      </c>
      <c r="F115" s="7" t="s">
        <v>95</v>
      </c>
      <c r="G115" s="7" t="s">
        <v>96</v>
      </c>
      <c r="H115" s="7" t="s">
        <v>97</v>
      </c>
      <c r="I115" s="7" t="s">
        <v>98</v>
      </c>
      <c r="J115" s="7" t="s">
        <v>97</v>
      </c>
      <c r="K115" s="7"/>
      <c r="L115" s="7"/>
      <c r="M115" s="7"/>
      <c r="N115" s="9" t="str">
        <f>HYPERLINK("https://pubmed.ncbi.nlm.nih.gov/18412275/","abrir")</f>
        <v>abrir</v>
      </c>
      <c r="O115" s="10" t="b">
        <f t="shared" si="1"/>
        <v>0</v>
      </c>
    </row>
    <row r="116" ht="60.0" customHeight="1">
      <c r="A116" s="7" t="s">
        <v>632</v>
      </c>
      <c r="B116" s="8">
        <v>2007.0</v>
      </c>
      <c r="C116" s="7" t="s">
        <v>633</v>
      </c>
      <c r="D116" s="7" t="s">
        <v>634</v>
      </c>
      <c r="E116" s="7" t="s">
        <v>635</v>
      </c>
      <c r="F116" s="7" t="s">
        <v>636</v>
      </c>
      <c r="G116" s="7" t="s">
        <v>96</v>
      </c>
      <c r="H116" s="7" t="s">
        <v>97</v>
      </c>
      <c r="I116" s="7" t="s">
        <v>98</v>
      </c>
      <c r="J116" s="7" t="s">
        <v>97</v>
      </c>
      <c r="K116" s="7"/>
      <c r="L116" s="7"/>
      <c r="M116" s="7" t="s">
        <v>138</v>
      </c>
      <c r="N116" s="9" t="str">
        <f>HYPERLINK("https://pubmed.ncbi.nlm.nih.gov/17230142/","abrir")</f>
        <v>abrir</v>
      </c>
      <c r="O116" s="10" t="b">
        <f t="shared" si="1"/>
        <v>0</v>
      </c>
    </row>
    <row r="117" ht="60.0" customHeight="1">
      <c r="A117" s="7" t="s">
        <v>637</v>
      </c>
      <c r="B117" s="8">
        <v>2007.0</v>
      </c>
      <c r="C117" s="7" t="s">
        <v>638</v>
      </c>
      <c r="D117" s="7" t="s">
        <v>639</v>
      </c>
      <c r="E117" s="7" t="s">
        <v>640</v>
      </c>
      <c r="F117" s="7" t="s">
        <v>298</v>
      </c>
      <c r="G117" s="7" t="s">
        <v>312</v>
      </c>
      <c r="H117" s="7" t="s">
        <v>97</v>
      </c>
      <c r="I117" s="7" t="s">
        <v>98</v>
      </c>
      <c r="J117" s="7" t="s">
        <v>97</v>
      </c>
      <c r="K117" s="7"/>
      <c r="L117" s="7"/>
      <c r="M117" s="7"/>
      <c r="N117" s="9" t="str">
        <f>HYPERLINK("https://pubmed.ncbi.nlm.nih.gov/17721866/","abrir")</f>
        <v>abrir</v>
      </c>
      <c r="O117" s="10" t="b">
        <f t="shared" si="1"/>
        <v>0</v>
      </c>
    </row>
    <row r="118" ht="60.0" customHeight="1">
      <c r="A118" s="7" t="s">
        <v>641</v>
      </c>
      <c r="B118" s="8">
        <v>2007.0</v>
      </c>
      <c r="C118" s="7" t="s">
        <v>487</v>
      </c>
      <c r="D118" s="7" t="s">
        <v>642</v>
      </c>
      <c r="E118" s="7" t="s">
        <v>643</v>
      </c>
      <c r="F118" s="7" t="s">
        <v>644</v>
      </c>
      <c r="G118" s="7" t="s">
        <v>645</v>
      </c>
      <c r="H118" s="7" t="s">
        <v>97</v>
      </c>
      <c r="I118" s="7" t="s">
        <v>98</v>
      </c>
      <c r="J118" s="7" t="s">
        <v>97</v>
      </c>
      <c r="K118" s="7"/>
      <c r="L118" s="7"/>
      <c r="M118" s="7"/>
      <c r="N118" s="9" t="str">
        <f>HYPERLINK("https://pubmed.ncbi.nlm.nih.gov/18019371/","abrir")</f>
        <v>abrir</v>
      </c>
      <c r="O118" s="10" t="b">
        <f t="shared" si="1"/>
        <v>0</v>
      </c>
    </row>
    <row r="119" ht="60.0" customHeight="1">
      <c r="A119" s="7" t="s">
        <v>646</v>
      </c>
      <c r="B119" s="8">
        <v>2006.0</v>
      </c>
      <c r="C119" s="7" t="s">
        <v>647</v>
      </c>
      <c r="D119" s="7" t="s">
        <v>648</v>
      </c>
      <c r="E119" s="7" t="s">
        <v>649</v>
      </c>
      <c r="F119" s="7" t="s">
        <v>95</v>
      </c>
      <c r="G119" s="7" t="s">
        <v>96</v>
      </c>
      <c r="H119" s="7" t="s">
        <v>126</v>
      </c>
      <c r="I119" s="7" t="s">
        <v>98</v>
      </c>
      <c r="J119" s="7" t="s">
        <v>126</v>
      </c>
      <c r="K119" s="7"/>
      <c r="L119" s="7"/>
      <c r="M119" s="7"/>
      <c r="N119" s="9" t="str">
        <f>HYPERLINK("https://pubmed.ncbi.nlm.nih.gov/16528741/","abrir")</f>
        <v>abrir</v>
      </c>
      <c r="O119" s="10" t="b">
        <f t="shared" si="1"/>
        <v>0</v>
      </c>
    </row>
    <row r="120" ht="60.0" customHeight="1">
      <c r="A120" s="7" t="s">
        <v>650</v>
      </c>
      <c r="B120" s="8">
        <v>2006.0</v>
      </c>
      <c r="C120" s="7" t="s">
        <v>651</v>
      </c>
      <c r="D120" s="7" t="s">
        <v>652</v>
      </c>
      <c r="E120" s="7" t="s">
        <v>653</v>
      </c>
      <c r="F120" s="7" t="s">
        <v>95</v>
      </c>
      <c r="G120" s="7" t="s">
        <v>597</v>
      </c>
      <c r="H120" s="7" t="s">
        <v>126</v>
      </c>
      <c r="I120" s="7" t="s">
        <v>98</v>
      </c>
      <c r="J120" s="7" t="s">
        <v>97</v>
      </c>
      <c r="K120" s="7"/>
      <c r="L120" s="7"/>
      <c r="M120" s="7"/>
      <c r="N120" s="9" t="str">
        <f>HYPERLINK("https://pubmed.ncbi.nlm.nih.gov/16528742/","abrir")</f>
        <v>abrir</v>
      </c>
      <c r="O120" s="10" t="b">
        <f t="shared" si="1"/>
        <v>0</v>
      </c>
    </row>
    <row r="121" ht="60.0" customHeight="1">
      <c r="A121" s="7" t="s">
        <v>654</v>
      </c>
      <c r="B121" s="8">
        <v>2006.0</v>
      </c>
      <c r="C121" s="7" t="s">
        <v>555</v>
      </c>
      <c r="D121" s="7" t="s">
        <v>655</v>
      </c>
      <c r="E121" s="7" t="s">
        <v>656</v>
      </c>
      <c r="F121" s="7" t="s">
        <v>95</v>
      </c>
      <c r="G121" s="7" t="s">
        <v>184</v>
      </c>
      <c r="H121" s="7" t="s">
        <v>126</v>
      </c>
      <c r="I121" s="7" t="s">
        <v>98</v>
      </c>
      <c r="J121" s="7" t="s">
        <v>97</v>
      </c>
      <c r="K121" s="7"/>
      <c r="L121" s="7"/>
      <c r="M121" s="7"/>
      <c r="N121" s="9" t="str">
        <f>HYPERLINK("https://pubmed.ncbi.nlm.nih.gov/16528744/","abrir")</f>
        <v>abrir</v>
      </c>
      <c r="O121" s="10" t="b">
        <f t="shared" si="1"/>
        <v>0</v>
      </c>
    </row>
    <row r="122" ht="60.0" customHeight="1">
      <c r="A122" s="7" t="s">
        <v>657</v>
      </c>
      <c r="B122" s="8">
        <v>2006.0</v>
      </c>
      <c r="C122" s="7" t="s">
        <v>658</v>
      </c>
      <c r="D122" s="7" t="s">
        <v>659</v>
      </c>
      <c r="E122" s="7" t="s">
        <v>660</v>
      </c>
      <c r="F122" s="7" t="s">
        <v>95</v>
      </c>
      <c r="G122" s="7" t="s">
        <v>96</v>
      </c>
      <c r="H122" s="7" t="s">
        <v>126</v>
      </c>
      <c r="I122" s="7" t="s">
        <v>98</v>
      </c>
      <c r="J122" s="7" t="s">
        <v>126</v>
      </c>
      <c r="K122" s="7"/>
      <c r="L122" s="7"/>
      <c r="M122" s="7"/>
      <c r="N122" s="9" t="str">
        <f>HYPERLINK("https://pubmed.ncbi.nlm.nih.gov/16652360/","abrir")</f>
        <v>abrir</v>
      </c>
      <c r="O122" s="10" t="b">
        <f t="shared" si="1"/>
        <v>0</v>
      </c>
    </row>
    <row r="123" ht="60.0" customHeight="1">
      <c r="A123" s="7" t="s">
        <v>661</v>
      </c>
      <c r="B123" s="8">
        <v>2006.0</v>
      </c>
      <c r="C123" s="7" t="s">
        <v>662</v>
      </c>
      <c r="D123" s="7" t="s">
        <v>663</v>
      </c>
      <c r="E123" s="7" t="s">
        <v>664</v>
      </c>
      <c r="F123" s="7" t="s">
        <v>665</v>
      </c>
      <c r="G123" s="7" t="s">
        <v>96</v>
      </c>
      <c r="H123" s="7" t="s">
        <v>97</v>
      </c>
      <c r="I123" s="7" t="s">
        <v>98</v>
      </c>
      <c r="J123" s="7" t="s">
        <v>97</v>
      </c>
      <c r="K123" s="7"/>
      <c r="L123" s="7"/>
      <c r="M123" s="7"/>
      <c r="N123" s="9" t="str">
        <f>HYPERLINK("https://pubmed.ncbi.nlm.nih.gov/16682759/","abrir")</f>
        <v>abrir</v>
      </c>
      <c r="O123" s="10" t="b">
        <f t="shared" si="1"/>
        <v>0</v>
      </c>
    </row>
    <row r="124" ht="60.0" customHeight="1">
      <c r="A124" s="7" t="s">
        <v>666</v>
      </c>
      <c r="B124" s="8">
        <v>2005.0</v>
      </c>
      <c r="C124" s="7" t="s">
        <v>667</v>
      </c>
      <c r="D124" s="7" t="s">
        <v>668</v>
      </c>
      <c r="E124" s="7" t="s">
        <v>669</v>
      </c>
      <c r="F124" s="7" t="s">
        <v>298</v>
      </c>
      <c r="G124" s="7" t="s">
        <v>96</v>
      </c>
      <c r="H124" s="7" t="s">
        <v>368</v>
      </c>
      <c r="I124" s="7" t="s">
        <v>98</v>
      </c>
      <c r="J124" s="7" t="s">
        <v>368</v>
      </c>
      <c r="K124" s="7"/>
      <c r="L124" s="7"/>
      <c r="M124" s="7"/>
      <c r="N124" s="9" t="str">
        <f>HYPERLINK("https://pubmed.ncbi.nlm.nih.gov/16032775/","abrir")</f>
        <v>abrir</v>
      </c>
      <c r="O124" s="10" t="b">
        <f t="shared" si="1"/>
        <v>0</v>
      </c>
    </row>
    <row r="125" ht="60.0" customHeight="1">
      <c r="A125" s="7" t="s">
        <v>670</v>
      </c>
      <c r="B125" s="8">
        <v>2003.0</v>
      </c>
      <c r="C125" s="7" t="s">
        <v>671</v>
      </c>
      <c r="D125" s="7" t="s">
        <v>672</v>
      </c>
      <c r="E125" s="7" t="s">
        <v>673</v>
      </c>
      <c r="F125" s="7" t="s">
        <v>463</v>
      </c>
      <c r="G125" s="7" t="s">
        <v>379</v>
      </c>
      <c r="H125" s="7" t="s">
        <v>97</v>
      </c>
      <c r="I125" s="7" t="s">
        <v>98</v>
      </c>
      <c r="J125" s="7" t="s">
        <v>97</v>
      </c>
      <c r="K125" s="7"/>
      <c r="L125" s="7"/>
      <c r="M125" s="7"/>
      <c r="N125" s="9" t="str">
        <f>HYPERLINK("https://pubmed.ncbi.nlm.nih.gov/12671111/","abrir")</f>
        <v>abrir</v>
      </c>
      <c r="O125" s="10" t="b">
        <f t="shared" si="1"/>
        <v>0</v>
      </c>
    </row>
    <row r="126" ht="60.0" customHeight="1">
      <c r="A126" s="7" t="s">
        <v>674</v>
      </c>
      <c r="B126" s="8">
        <v>2003.0</v>
      </c>
      <c r="C126" s="7" t="s">
        <v>675</v>
      </c>
      <c r="D126" s="7" t="s">
        <v>676</v>
      </c>
      <c r="E126" s="7" t="s">
        <v>677</v>
      </c>
      <c r="F126" s="7" t="s">
        <v>95</v>
      </c>
      <c r="G126" s="7" t="s">
        <v>678</v>
      </c>
      <c r="H126" s="7" t="s">
        <v>97</v>
      </c>
      <c r="I126" s="7" t="s">
        <v>98</v>
      </c>
      <c r="J126" s="7" t="s">
        <v>97</v>
      </c>
      <c r="K126" s="7"/>
      <c r="L126" s="7"/>
      <c r="M126" s="7" t="s">
        <v>679</v>
      </c>
      <c r="N126" s="9" t="str">
        <f>HYPERLINK("https://pubmed.ncbi.nlm.nih.gov/12784299/","abrir")</f>
        <v>abrir</v>
      </c>
      <c r="O126" s="10" t="b">
        <f t="shared" si="1"/>
        <v>0</v>
      </c>
    </row>
    <row r="127" ht="60.0" customHeight="1">
      <c r="A127" s="7" t="s">
        <v>680</v>
      </c>
      <c r="B127" s="8">
        <v>2002.0</v>
      </c>
      <c r="C127" s="7" t="s">
        <v>681</v>
      </c>
      <c r="D127" s="7" t="s">
        <v>682</v>
      </c>
      <c r="E127" s="7" t="s">
        <v>683</v>
      </c>
      <c r="F127" s="7" t="s">
        <v>684</v>
      </c>
      <c r="G127" s="7" t="s">
        <v>96</v>
      </c>
      <c r="H127" s="7" t="s">
        <v>126</v>
      </c>
      <c r="I127" s="7" t="s">
        <v>98</v>
      </c>
      <c r="J127" s="7" t="s">
        <v>126</v>
      </c>
      <c r="K127" s="7"/>
      <c r="L127" s="7"/>
      <c r="M127" s="7"/>
      <c r="N127" s="9" t="str">
        <f>HYPERLINK("https://pubmed.ncbi.nlm.nih.gov/12423486/","abrir")</f>
        <v>abrir</v>
      </c>
      <c r="O127" s="10" t="b">
        <f t="shared" si="1"/>
        <v>0</v>
      </c>
    </row>
    <row r="128" ht="60.0" customHeight="1">
      <c r="A128" s="7" t="s">
        <v>685</v>
      </c>
      <c r="B128" s="8">
        <v>2001.0</v>
      </c>
      <c r="C128" s="7" t="s">
        <v>686</v>
      </c>
      <c r="D128" s="7" t="s">
        <v>687</v>
      </c>
      <c r="E128" s="7" t="s">
        <v>688</v>
      </c>
      <c r="F128" s="7" t="s">
        <v>689</v>
      </c>
      <c r="G128" s="7" t="s">
        <v>690</v>
      </c>
      <c r="H128" s="7" t="s">
        <v>97</v>
      </c>
      <c r="I128" s="7" t="s">
        <v>98</v>
      </c>
      <c r="J128" s="7" t="s">
        <v>97</v>
      </c>
      <c r="K128" s="7"/>
      <c r="L128" s="7"/>
      <c r="M128" s="7" t="s">
        <v>138</v>
      </c>
      <c r="N128" s="9" t="str">
        <f>HYPERLINK("https://pubmed.ncbi.nlm.nih.gov/11745833/","abrir")</f>
        <v>abrir</v>
      </c>
      <c r="O128" s="10" t="b">
        <f t="shared" si="1"/>
        <v>0</v>
      </c>
    </row>
    <row r="129" ht="60.0" customHeight="1">
      <c r="A129" s="11" t="s">
        <v>691</v>
      </c>
      <c r="B129" s="12">
        <v>2026.0</v>
      </c>
      <c r="C129" s="11" t="s">
        <v>319</v>
      </c>
      <c r="D129" s="11" t="s">
        <v>692</v>
      </c>
      <c r="E129" s="11" t="s">
        <v>693</v>
      </c>
      <c r="F129" s="11" t="s">
        <v>113</v>
      </c>
      <c r="G129" s="11" t="s">
        <v>96</v>
      </c>
      <c r="H129" s="11" t="s">
        <v>97</v>
      </c>
      <c r="I129" s="11" t="s">
        <v>694</v>
      </c>
      <c r="J129" s="11"/>
      <c r="K129" s="11"/>
      <c r="L129" s="11" t="s">
        <v>695</v>
      </c>
      <c r="M129" s="11"/>
      <c r="N129" s="9" t="str">
        <f>HYPERLINK("https://pubmed.ncbi.nlm.nih.gov/40968138/","abrir")</f>
        <v>abrir</v>
      </c>
      <c r="O129" s="10" t="b">
        <f t="shared" si="1"/>
        <v>1</v>
      </c>
    </row>
    <row r="130" ht="60.0" customHeight="1">
      <c r="A130" s="11" t="s">
        <v>696</v>
      </c>
      <c r="B130" s="12">
        <v>2025.0</v>
      </c>
      <c r="C130" s="11" t="s">
        <v>175</v>
      </c>
      <c r="D130" s="11" t="s">
        <v>697</v>
      </c>
      <c r="E130" s="11" t="s">
        <v>698</v>
      </c>
      <c r="F130" s="11" t="s">
        <v>699</v>
      </c>
      <c r="G130" s="11" t="s">
        <v>96</v>
      </c>
      <c r="H130" s="11" t="s">
        <v>97</v>
      </c>
      <c r="I130" s="11" t="s">
        <v>694</v>
      </c>
      <c r="J130" s="11"/>
      <c r="K130" s="11"/>
      <c r="L130" s="11" t="s">
        <v>700</v>
      </c>
      <c r="M130" s="11"/>
      <c r="N130" s="9" t="str">
        <f>HYPERLINK("https://pubmed.ncbi.nlm.nih.gov/39961659/","abrir")</f>
        <v>abrir</v>
      </c>
      <c r="O130" s="10" t="b">
        <f t="shared" si="1"/>
        <v>1</v>
      </c>
    </row>
    <row r="131" ht="60.0" customHeight="1">
      <c r="A131" s="11" t="s">
        <v>701</v>
      </c>
      <c r="B131" s="12">
        <v>2025.0</v>
      </c>
      <c r="C131" s="11" t="s">
        <v>702</v>
      </c>
      <c r="D131" s="11" t="s">
        <v>703</v>
      </c>
      <c r="E131" s="11" t="s">
        <v>704</v>
      </c>
      <c r="F131" s="11" t="s">
        <v>463</v>
      </c>
      <c r="G131" s="11" t="s">
        <v>705</v>
      </c>
      <c r="H131" s="11" t="s">
        <v>97</v>
      </c>
      <c r="I131" s="11" t="s">
        <v>694</v>
      </c>
      <c r="J131" s="11"/>
      <c r="K131" s="11"/>
      <c r="L131" s="11" t="s">
        <v>706</v>
      </c>
      <c r="M131" s="11"/>
      <c r="N131" s="9" t="str">
        <f>HYPERLINK("https://pubmed.ncbi.nlm.nih.gov/40685149/","abrir")</f>
        <v>abrir</v>
      </c>
      <c r="O131" s="10" t="b">
        <f t="shared" si="1"/>
        <v>1</v>
      </c>
    </row>
    <row r="132" ht="60.0" customHeight="1">
      <c r="A132" s="11" t="s">
        <v>707</v>
      </c>
      <c r="B132" s="12">
        <v>2025.0</v>
      </c>
      <c r="C132" s="11" t="s">
        <v>708</v>
      </c>
      <c r="D132" s="11" t="s">
        <v>709</v>
      </c>
      <c r="E132" s="11" t="s">
        <v>710</v>
      </c>
      <c r="F132" s="11" t="s">
        <v>711</v>
      </c>
      <c r="G132" s="11" t="s">
        <v>712</v>
      </c>
      <c r="H132" s="11" t="s">
        <v>97</v>
      </c>
      <c r="I132" s="11" t="s">
        <v>694</v>
      </c>
      <c r="J132" s="11"/>
      <c r="K132" s="11"/>
      <c r="L132" s="11" t="s">
        <v>713</v>
      </c>
      <c r="M132" s="11"/>
      <c r="N132" s="9" t="str">
        <f>HYPERLINK("https://pubmed.ncbi.nlm.nih.gov/41319979/","abrir")</f>
        <v>abrir</v>
      </c>
      <c r="O132" s="10" t="b">
        <f t="shared" si="1"/>
        <v>1</v>
      </c>
    </row>
    <row r="133" ht="60.0" customHeight="1">
      <c r="A133" s="11" t="s">
        <v>714</v>
      </c>
      <c r="B133" s="12">
        <v>2025.0</v>
      </c>
      <c r="C133" s="11" t="s">
        <v>715</v>
      </c>
      <c r="D133" s="11" t="s">
        <v>716</v>
      </c>
      <c r="E133" s="11" t="s">
        <v>717</v>
      </c>
      <c r="F133" s="11" t="s">
        <v>718</v>
      </c>
      <c r="G133" s="11" t="s">
        <v>184</v>
      </c>
      <c r="H133" s="11" t="s">
        <v>126</v>
      </c>
      <c r="I133" s="11" t="s">
        <v>694</v>
      </c>
      <c r="J133" s="11"/>
      <c r="K133" s="11"/>
      <c r="L133" s="11" t="s">
        <v>719</v>
      </c>
      <c r="M133" s="11"/>
      <c r="N133" s="9" t="str">
        <f>HYPERLINK("https://pubmed.ncbi.nlm.nih.gov/41321028/","abrir")</f>
        <v>abrir</v>
      </c>
      <c r="O133" s="10" t="b">
        <f t="shared" si="1"/>
        <v>1</v>
      </c>
    </row>
    <row r="134" ht="60.0" customHeight="1">
      <c r="A134" s="11" t="s">
        <v>720</v>
      </c>
      <c r="B134" s="12">
        <v>2024.0</v>
      </c>
      <c r="C134" s="11" t="s">
        <v>721</v>
      </c>
      <c r="D134" s="11" t="s">
        <v>722</v>
      </c>
      <c r="E134" s="11" t="s">
        <v>723</v>
      </c>
      <c r="F134" s="11" t="s">
        <v>421</v>
      </c>
      <c r="G134" s="11" t="s">
        <v>96</v>
      </c>
      <c r="H134" s="11" t="s">
        <v>97</v>
      </c>
      <c r="I134" s="11" t="s">
        <v>694</v>
      </c>
      <c r="J134" s="11"/>
      <c r="K134" s="11"/>
      <c r="L134" s="11" t="s">
        <v>724</v>
      </c>
      <c r="M134" s="11"/>
      <c r="N134" s="9" t="str">
        <f>HYPERLINK("https://pubmed.ncbi.nlm.nih.gov/37619598/","abrir")</f>
        <v>abrir</v>
      </c>
      <c r="O134" s="10" t="b">
        <f t="shared" si="1"/>
        <v>1</v>
      </c>
    </row>
    <row r="135" ht="60.0" customHeight="1">
      <c r="A135" s="11" t="s">
        <v>725</v>
      </c>
      <c r="B135" s="12">
        <v>2024.0</v>
      </c>
      <c r="C135" s="11" t="s">
        <v>726</v>
      </c>
      <c r="D135" s="11" t="s">
        <v>727</v>
      </c>
      <c r="E135" s="11" t="s">
        <v>728</v>
      </c>
      <c r="F135" s="11" t="s">
        <v>729</v>
      </c>
      <c r="G135" s="11" t="s">
        <v>730</v>
      </c>
      <c r="H135" s="11" t="s">
        <v>97</v>
      </c>
      <c r="I135" s="11" t="s">
        <v>694</v>
      </c>
      <c r="J135" s="11"/>
      <c r="K135" s="11"/>
      <c r="L135" s="11" t="s">
        <v>731</v>
      </c>
      <c r="M135" s="11"/>
      <c r="N135" s="9" t="str">
        <f>HYPERLINK("https://pubmed.ncbi.nlm.nih.gov/38284966/","abrir")</f>
        <v>abrir</v>
      </c>
      <c r="O135" s="10" t="b">
        <f t="shared" si="1"/>
        <v>1</v>
      </c>
    </row>
    <row r="136" ht="60.0" customHeight="1">
      <c r="A136" s="11" t="s">
        <v>732</v>
      </c>
      <c r="B136" s="12">
        <v>2024.0</v>
      </c>
      <c r="C136" s="11" t="s">
        <v>733</v>
      </c>
      <c r="D136" s="11" t="s">
        <v>734</v>
      </c>
      <c r="E136" s="11" t="s">
        <v>735</v>
      </c>
      <c r="F136" s="11" t="s">
        <v>513</v>
      </c>
      <c r="G136" s="11" t="s">
        <v>96</v>
      </c>
      <c r="H136" s="11" t="s">
        <v>97</v>
      </c>
      <c r="I136" s="11" t="s">
        <v>694</v>
      </c>
      <c r="J136" s="11"/>
      <c r="K136" s="11"/>
      <c r="L136" s="11" t="s">
        <v>736</v>
      </c>
      <c r="M136" s="11"/>
      <c r="N136" s="9" t="str">
        <f>HYPERLINK("https://pubmed.ncbi.nlm.nih.gov/39257320/","abrir")</f>
        <v>abrir</v>
      </c>
      <c r="O136" s="10" t="b">
        <f t="shared" si="1"/>
        <v>1</v>
      </c>
    </row>
    <row r="137" ht="60.0" customHeight="1">
      <c r="A137" s="11" t="s">
        <v>737</v>
      </c>
      <c r="B137" s="12">
        <v>2023.0</v>
      </c>
      <c r="C137" s="11" t="s">
        <v>319</v>
      </c>
      <c r="D137" s="11" t="s">
        <v>738</v>
      </c>
      <c r="E137" s="11" t="s">
        <v>739</v>
      </c>
      <c r="F137" s="11" t="s">
        <v>740</v>
      </c>
      <c r="G137" s="11" t="s">
        <v>741</v>
      </c>
      <c r="H137" s="11" t="s">
        <v>97</v>
      </c>
      <c r="I137" s="11" t="s">
        <v>694</v>
      </c>
      <c r="J137" s="11"/>
      <c r="K137" s="11"/>
      <c r="L137" s="11" t="s">
        <v>742</v>
      </c>
      <c r="M137" s="11"/>
      <c r="N137" s="9" t="str">
        <f>HYPERLINK("https://pubmed.ncbi.nlm.nih.gov/37551160/","abrir")</f>
        <v>abrir</v>
      </c>
      <c r="O137" s="10" t="b">
        <f t="shared" si="1"/>
        <v>0</v>
      </c>
    </row>
    <row r="138" ht="60.0" customHeight="1">
      <c r="A138" s="11" t="s">
        <v>743</v>
      </c>
      <c r="B138" s="12">
        <v>2022.0</v>
      </c>
      <c r="C138" s="11" t="s">
        <v>744</v>
      </c>
      <c r="D138" s="11" t="s">
        <v>745</v>
      </c>
      <c r="E138" s="11" t="s">
        <v>746</v>
      </c>
      <c r="F138" s="11" t="s">
        <v>747</v>
      </c>
      <c r="G138" s="11" t="s">
        <v>96</v>
      </c>
      <c r="H138" s="11" t="s">
        <v>97</v>
      </c>
      <c r="I138" s="11" t="s">
        <v>694</v>
      </c>
      <c r="J138" s="11"/>
      <c r="K138" s="11"/>
      <c r="L138" s="11" t="s">
        <v>748</v>
      </c>
      <c r="M138" s="11"/>
      <c r="N138" s="9" t="str">
        <f>HYPERLINK("https://pubmed.ncbi.nlm.nih.gov/34919485/","abrir")</f>
        <v>abrir</v>
      </c>
      <c r="O138" s="10" t="b">
        <f t="shared" si="1"/>
        <v>0</v>
      </c>
    </row>
    <row r="139" ht="60.0" customHeight="1">
      <c r="A139" s="11" t="s">
        <v>749</v>
      </c>
      <c r="B139" s="12">
        <v>2021.0</v>
      </c>
      <c r="C139" s="11" t="s">
        <v>750</v>
      </c>
      <c r="D139" s="11" t="s">
        <v>751</v>
      </c>
      <c r="E139" s="11" t="s">
        <v>752</v>
      </c>
      <c r="F139" s="11" t="s">
        <v>95</v>
      </c>
      <c r="G139" s="11" t="s">
        <v>144</v>
      </c>
      <c r="H139" s="11" t="s">
        <v>126</v>
      </c>
      <c r="I139" s="11" t="s">
        <v>694</v>
      </c>
      <c r="J139" s="11"/>
      <c r="K139" s="11"/>
      <c r="L139" s="11" t="s">
        <v>753</v>
      </c>
      <c r="M139" s="11"/>
      <c r="N139" s="9" t="str">
        <f>HYPERLINK("https://pubmed.ncbi.nlm.nih.gov/33527722/","abrir")</f>
        <v>abrir</v>
      </c>
      <c r="O139" s="10" t="b">
        <f t="shared" si="1"/>
        <v>0</v>
      </c>
    </row>
    <row r="140" ht="60.0" customHeight="1">
      <c r="A140" s="11" t="s">
        <v>754</v>
      </c>
      <c r="B140" s="12">
        <v>2020.0</v>
      </c>
      <c r="C140" s="11" t="s">
        <v>755</v>
      </c>
      <c r="D140" s="11" t="s">
        <v>756</v>
      </c>
      <c r="E140" s="11" t="s">
        <v>757</v>
      </c>
      <c r="F140" s="11" t="s">
        <v>154</v>
      </c>
      <c r="G140" s="11" t="s">
        <v>144</v>
      </c>
      <c r="H140" s="11" t="s">
        <v>97</v>
      </c>
      <c r="I140" s="11" t="s">
        <v>694</v>
      </c>
      <c r="J140" s="11"/>
      <c r="K140" s="11"/>
      <c r="L140" s="11" t="s">
        <v>758</v>
      </c>
      <c r="M140" s="11"/>
      <c r="N140" s="9" t="str">
        <f>HYPERLINK("https://pubmed.ncbi.nlm.nih.gov/31814050/","abrir")</f>
        <v>abrir</v>
      </c>
      <c r="O140" s="10" t="b">
        <f t="shared" si="1"/>
        <v>0</v>
      </c>
    </row>
    <row r="141" ht="60.0" customHeight="1">
      <c r="A141" s="11" t="s">
        <v>759</v>
      </c>
      <c r="B141" s="12">
        <v>2020.0</v>
      </c>
      <c r="C141" s="11" t="s">
        <v>760</v>
      </c>
      <c r="D141" s="11" t="s">
        <v>761</v>
      </c>
      <c r="E141" s="11" t="s">
        <v>762</v>
      </c>
      <c r="F141" s="11" t="s">
        <v>228</v>
      </c>
      <c r="G141" s="11" t="s">
        <v>96</v>
      </c>
      <c r="H141" s="11" t="s">
        <v>97</v>
      </c>
      <c r="I141" s="11" t="s">
        <v>694</v>
      </c>
      <c r="J141" s="11"/>
      <c r="K141" s="11"/>
      <c r="L141" s="11" t="s">
        <v>763</v>
      </c>
      <c r="M141" s="11"/>
      <c r="N141" s="9" t="str">
        <f>HYPERLINK("https://pubmed.ncbi.nlm.nih.gov/31964456/","abrir")</f>
        <v>abrir</v>
      </c>
      <c r="O141" s="10" t="b">
        <f t="shared" si="1"/>
        <v>0</v>
      </c>
    </row>
    <row r="142" ht="60.0" customHeight="1">
      <c r="A142" s="11" t="s">
        <v>764</v>
      </c>
      <c r="B142" s="12">
        <v>2020.0</v>
      </c>
      <c r="C142" s="11" t="s">
        <v>765</v>
      </c>
      <c r="D142" s="11" t="s">
        <v>766</v>
      </c>
      <c r="E142" s="11" t="s">
        <v>767</v>
      </c>
      <c r="F142" s="11" t="s">
        <v>463</v>
      </c>
      <c r="G142" s="11" t="s">
        <v>96</v>
      </c>
      <c r="H142" s="11" t="s">
        <v>97</v>
      </c>
      <c r="I142" s="11" t="s">
        <v>694</v>
      </c>
      <c r="J142" s="11"/>
      <c r="K142" s="11"/>
      <c r="L142" s="11" t="s">
        <v>768</v>
      </c>
      <c r="M142" s="11"/>
      <c r="N142" s="9" t="str">
        <f>HYPERLINK("https://pubmed.ncbi.nlm.nih.gov/32737226/","abrir")</f>
        <v>abrir</v>
      </c>
      <c r="O142" s="10" t="b">
        <f t="shared" si="1"/>
        <v>0</v>
      </c>
    </row>
    <row r="143" ht="60.0" customHeight="1">
      <c r="A143" s="11" t="s">
        <v>769</v>
      </c>
      <c r="B143" s="12">
        <v>2020.0</v>
      </c>
      <c r="C143" s="11" t="s">
        <v>770</v>
      </c>
      <c r="D143" s="11" t="s">
        <v>771</v>
      </c>
      <c r="E143" s="11" t="s">
        <v>772</v>
      </c>
      <c r="F143" s="11" t="s">
        <v>132</v>
      </c>
      <c r="G143" s="11" t="s">
        <v>144</v>
      </c>
      <c r="H143" s="11" t="s">
        <v>97</v>
      </c>
      <c r="I143" s="11" t="s">
        <v>694</v>
      </c>
      <c r="J143" s="11"/>
      <c r="K143" s="11"/>
      <c r="L143" s="11" t="s">
        <v>773</v>
      </c>
      <c r="M143" s="11"/>
      <c r="N143" s="9" t="str">
        <f>HYPERLINK("https://pubmed.ncbi.nlm.nih.gov/32924070/","abrir")</f>
        <v>abrir</v>
      </c>
      <c r="O143" s="10" t="b">
        <f t="shared" si="1"/>
        <v>0</v>
      </c>
    </row>
    <row r="144" ht="60.0" customHeight="1">
      <c r="A144" s="11" t="s">
        <v>774</v>
      </c>
      <c r="B144" s="12">
        <v>2019.0</v>
      </c>
      <c r="C144" s="11" t="s">
        <v>775</v>
      </c>
      <c r="D144" s="11" t="s">
        <v>776</v>
      </c>
      <c r="E144" s="11" t="s">
        <v>777</v>
      </c>
      <c r="F144" s="11" t="s">
        <v>778</v>
      </c>
      <c r="G144" s="11" t="s">
        <v>184</v>
      </c>
      <c r="H144" s="11" t="s">
        <v>97</v>
      </c>
      <c r="I144" s="11" t="s">
        <v>694</v>
      </c>
      <c r="J144" s="11"/>
      <c r="K144" s="11"/>
      <c r="L144" s="11" t="s">
        <v>779</v>
      </c>
      <c r="M144" s="11"/>
      <c r="N144" s="9" t="str">
        <f>HYPERLINK("https://pubmed.ncbi.nlm.nih.gov/30688390/","abrir")</f>
        <v>abrir</v>
      </c>
      <c r="O144" s="10" t="b">
        <f t="shared" si="1"/>
        <v>0</v>
      </c>
    </row>
    <row r="145" ht="60.0" customHeight="1">
      <c r="A145" s="11" t="s">
        <v>780</v>
      </c>
      <c r="B145" s="12">
        <v>2019.0</v>
      </c>
      <c r="C145" s="11" t="s">
        <v>781</v>
      </c>
      <c r="D145" s="11" t="s">
        <v>782</v>
      </c>
      <c r="E145" s="11" t="s">
        <v>783</v>
      </c>
      <c r="F145" s="11" t="s">
        <v>784</v>
      </c>
      <c r="G145" s="11" t="s">
        <v>144</v>
      </c>
      <c r="H145" s="11" t="s">
        <v>97</v>
      </c>
      <c r="I145" s="11" t="s">
        <v>694</v>
      </c>
      <c r="J145" s="11"/>
      <c r="K145" s="11"/>
      <c r="L145" s="11" t="s">
        <v>785</v>
      </c>
      <c r="M145" s="11"/>
      <c r="N145" s="9" t="str">
        <f>HYPERLINK("https://pubmed.ncbi.nlm.nih.gov/31693566/","abrir")</f>
        <v>abrir</v>
      </c>
      <c r="O145" s="10" t="b">
        <f t="shared" si="1"/>
        <v>0</v>
      </c>
    </row>
    <row r="146" ht="60.0" customHeight="1">
      <c r="A146" s="11" t="s">
        <v>786</v>
      </c>
      <c r="B146" s="12">
        <v>2018.0</v>
      </c>
      <c r="C146" s="11" t="s">
        <v>787</v>
      </c>
      <c r="D146" s="11" t="s">
        <v>788</v>
      </c>
      <c r="E146" s="11" t="s">
        <v>789</v>
      </c>
      <c r="F146" s="11" t="s">
        <v>790</v>
      </c>
      <c r="G146" s="11" t="s">
        <v>96</v>
      </c>
      <c r="H146" s="11" t="s">
        <v>97</v>
      </c>
      <c r="I146" s="11" t="s">
        <v>694</v>
      </c>
      <c r="J146" s="11"/>
      <c r="K146" s="11"/>
      <c r="L146" s="11" t="s">
        <v>791</v>
      </c>
      <c r="M146" s="11"/>
      <c r="N146" s="9" t="str">
        <f>HYPERLINK("https://pubmed.ncbi.nlm.nih.gov/28185147/","abrir")</f>
        <v>abrir</v>
      </c>
      <c r="O146" s="10" t="b">
        <f t="shared" si="1"/>
        <v>0</v>
      </c>
    </row>
    <row r="147" ht="60.0" customHeight="1">
      <c r="A147" s="11" t="s">
        <v>792</v>
      </c>
      <c r="B147" s="12">
        <v>2017.0</v>
      </c>
      <c r="C147" s="11" t="s">
        <v>793</v>
      </c>
      <c r="D147" s="11" t="s">
        <v>794</v>
      </c>
      <c r="E147" s="11" t="s">
        <v>795</v>
      </c>
      <c r="F147" s="11" t="s">
        <v>796</v>
      </c>
      <c r="G147" s="11" t="s">
        <v>96</v>
      </c>
      <c r="H147" s="11" t="s">
        <v>97</v>
      </c>
      <c r="I147" s="11" t="s">
        <v>694</v>
      </c>
      <c r="J147" s="11"/>
      <c r="K147" s="11"/>
      <c r="L147" s="11" t="s">
        <v>797</v>
      </c>
      <c r="M147" s="11"/>
      <c r="N147" s="9" t="str">
        <f>HYPERLINK("https://pubmed.ncbi.nlm.nih.gov/28365826/","abrir")</f>
        <v>abrir</v>
      </c>
      <c r="O147" s="10" t="b">
        <f t="shared" si="1"/>
        <v>0</v>
      </c>
    </row>
    <row r="148" ht="60.0" customHeight="1">
      <c r="A148" s="11" t="s">
        <v>798</v>
      </c>
      <c r="B148" s="12">
        <v>2017.0</v>
      </c>
      <c r="C148" s="11" t="s">
        <v>799</v>
      </c>
      <c r="D148" s="11" t="s">
        <v>800</v>
      </c>
      <c r="E148" s="11" t="s">
        <v>801</v>
      </c>
      <c r="F148" s="11" t="s">
        <v>796</v>
      </c>
      <c r="G148" s="11" t="s">
        <v>96</v>
      </c>
      <c r="H148" s="11" t="s">
        <v>97</v>
      </c>
      <c r="I148" s="11" t="s">
        <v>694</v>
      </c>
      <c r="J148" s="11"/>
      <c r="K148" s="11"/>
      <c r="L148" s="11" t="s">
        <v>802</v>
      </c>
      <c r="M148" s="11"/>
      <c r="N148" s="9" t="str">
        <f>HYPERLINK("https://pubmed.ncbi.nlm.nih.gov/28550383/","abrir")</f>
        <v>abrir</v>
      </c>
      <c r="O148" s="10" t="b">
        <f t="shared" si="1"/>
        <v>0</v>
      </c>
    </row>
    <row r="149" ht="60.0" customHeight="1">
      <c r="A149" s="11" t="s">
        <v>803</v>
      </c>
      <c r="B149" s="12">
        <v>2016.0</v>
      </c>
      <c r="C149" s="11" t="s">
        <v>515</v>
      </c>
      <c r="D149" s="11" t="s">
        <v>804</v>
      </c>
      <c r="E149" s="11" t="s">
        <v>805</v>
      </c>
      <c r="F149" s="11" t="s">
        <v>806</v>
      </c>
      <c r="G149" s="11" t="s">
        <v>144</v>
      </c>
      <c r="H149" s="11" t="s">
        <v>97</v>
      </c>
      <c r="I149" s="11" t="s">
        <v>694</v>
      </c>
      <c r="J149" s="11"/>
      <c r="K149" s="11"/>
      <c r="L149" s="11" t="s">
        <v>807</v>
      </c>
      <c r="M149" s="11"/>
      <c r="N149" s="9" t="str">
        <f>HYPERLINK("https://pubmed.ncbi.nlm.nih.gov/26847083/","abrir")</f>
        <v>abrir</v>
      </c>
      <c r="O149" s="10" t="b">
        <f t="shared" si="1"/>
        <v>0</v>
      </c>
    </row>
    <row r="150" ht="60.0" customHeight="1">
      <c r="A150" s="11" t="s">
        <v>808</v>
      </c>
      <c r="B150" s="12">
        <v>2016.0</v>
      </c>
      <c r="C150" s="11" t="s">
        <v>501</v>
      </c>
      <c r="D150" s="11" t="s">
        <v>809</v>
      </c>
      <c r="E150" s="11" t="s">
        <v>810</v>
      </c>
      <c r="F150" s="11" t="s">
        <v>811</v>
      </c>
      <c r="G150" s="11" t="s">
        <v>144</v>
      </c>
      <c r="H150" s="11" t="s">
        <v>97</v>
      </c>
      <c r="I150" s="11" t="s">
        <v>694</v>
      </c>
      <c r="J150" s="11"/>
      <c r="K150" s="11"/>
      <c r="L150" s="11" t="s">
        <v>812</v>
      </c>
      <c r="M150" s="11"/>
      <c r="N150" s="9" t="str">
        <f>HYPERLINK("https://pubmed.ncbi.nlm.nih.gov/27182826/","abrir")</f>
        <v>abrir</v>
      </c>
      <c r="O150" s="10" t="b">
        <f t="shared" si="1"/>
        <v>0</v>
      </c>
    </row>
    <row r="151" ht="60.0" customHeight="1">
      <c r="A151" s="11" t="s">
        <v>813</v>
      </c>
      <c r="B151" s="12">
        <v>2016.0</v>
      </c>
      <c r="C151" s="11" t="s">
        <v>814</v>
      </c>
      <c r="D151" s="11" t="s">
        <v>815</v>
      </c>
      <c r="E151" s="11" t="s">
        <v>816</v>
      </c>
      <c r="F151" s="11" t="s">
        <v>817</v>
      </c>
      <c r="G151" s="11" t="s">
        <v>818</v>
      </c>
      <c r="H151" s="11" t="s">
        <v>126</v>
      </c>
      <c r="I151" s="11" t="s">
        <v>694</v>
      </c>
      <c r="J151" s="11"/>
      <c r="K151" s="11"/>
      <c r="L151" s="11" t="s">
        <v>819</v>
      </c>
      <c r="M151" s="11"/>
      <c r="N151" s="9" t="str">
        <f>HYPERLINK("https://pubmed.ncbi.nlm.nih.gov/27234469/","abrir")</f>
        <v>abrir</v>
      </c>
      <c r="O151" s="10" t="b">
        <f t="shared" si="1"/>
        <v>0</v>
      </c>
    </row>
    <row r="152" ht="60.0" customHeight="1">
      <c r="A152" s="11" t="s">
        <v>820</v>
      </c>
      <c r="B152" s="12">
        <v>2016.0</v>
      </c>
      <c r="C152" s="11" t="s">
        <v>821</v>
      </c>
      <c r="D152" s="11" t="s">
        <v>822</v>
      </c>
      <c r="E152" s="11" t="s">
        <v>823</v>
      </c>
      <c r="F152" s="11" t="s">
        <v>95</v>
      </c>
      <c r="G152" s="11" t="s">
        <v>96</v>
      </c>
      <c r="H152" s="11" t="s">
        <v>97</v>
      </c>
      <c r="I152" s="11" t="s">
        <v>694</v>
      </c>
      <c r="J152" s="11"/>
      <c r="K152" s="11"/>
      <c r="L152" s="11" t="s">
        <v>824</v>
      </c>
      <c r="M152" s="11"/>
      <c r="N152" s="9" t="str">
        <f>HYPERLINK("https://pubmed.ncbi.nlm.nih.gov/27312333/","abrir")</f>
        <v>abrir</v>
      </c>
      <c r="O152" s="10" t="b">
        <f t="shared" si="1"/>
        <v>0</v>
      </c>
    </row>
    <row r="153" ht="60.0" customHeight="1">
      <c r="A153" s="11" t="s">
        <v>825</v>
      </c>
      <c r="B153" s="12">
        <v>2016.0</v>
      </c>
      <c r="C153" s="11" t="s">
        <v>826</v>
      </c>
      <c r="D153" s="11" t="s">
        <v>827</v>
      </c>
      <c r="E153" s="11" t="s">
        <v>828</v>
      </c>
      <c r="F153" s="11" t="s">
        <v>829</v>
      </c>
      <c r="G153" s="11" t="s">
        <v>96</v>
      </c>
      <c r="H153" s="11" t="s">
        <v>97</v>
      </c>
      <c r="I153" s="11" t="s">
        <v>694</v>
      </c>
      <c r="J153" s="11"/>
      <c r="K153" s="11"/>
      <c r="L153" s="11" t="s">
        <v>830</v>
      </c>
      <c r="M153" s="11"/>
      <c r="N153" s="9" t="str">
        <f>HYPERLINK("https://pubmed.ncbi.nlm.nih.gov/27338604/","abrir")</f>
        <v>abrir</v>
      </c>
      <c r="O153" s="10" t="b">
        <f t="shared" si="1"/>
        <v>0</v>
      </c>
    </row>
    <row r="154" ht="60.0" customHeight="1">
      <c r="A154" s="11" t="s">
        <v>831</v>
      </c>
      <c r="B154" s="12">
        <v>2016.0</v>
      </c>
      <c r="C154" s="11" t="s">
        <v>832</v>
      </c>
      <c r="D154" s="11" t="s">
        <v>833</v>
      </c>
      <c r="E154" s="11" t="s">
        <v>834</v>
      </c>
      <c r="F154" s="11" t="s">
        <v>513</v>
      </c>
      <c r="G154" s="11" t="s">
        <v>144</v>
      </c>
      <c r="H154" s="11" t="s">
        <v>97</v>
      </c>
      <c r="I154" s="11" t="s">
        <v>694</v>
      </c>
      <c r="J154" s="11"/>
      <c r="K154" s="11"/>
      <c r="L154" s="11" t="s">
        <v>835</v>
      </c>
      <c r="M154" s="11"/>
      <c r="N154" s="9" t="str">
        <f>HYPERLINK("https://pubmed.ncbi.nlm.nih.gov/27557275/","abrir")</f>
        <v>abrir</v>
      </c>
      <c r="O154" s="10" t="b">
        <f t="shared" si="1"/>
        <v>0</v>
      </c>
    </row>
    <row r="155" ht="60.0" customHeight="1">
      <c r="A155" s="11" t="s">
        <v>836</v>
      </c>
      <c r="B155" s="12">
        <v>2016.0</v>
      </c>
      <c r="C155" s="11" t="s">
        <v>837</v>
      </c>
      <c r="D155" s="11" t="s">
        <v>838</v>
      </c>
      <c r="E155" s="11" t="s">
        <v>839</v>
      </c>
      <c r="F155" s="11" t="s">
        <v>513</v>
      </c>
      <c r="G155" s="11" t="s">
        <v>144</v>
      </c>
      <c r="H155" s="11" t="s">
        <v>97</v>
      </c>
      <c r="I155" s="11" t="s">
        <v>694</v>
      </c>
      <c r="J155" s="11"/>
      <c r="K155" s="11"/>
      <c r="L155" s="11" t="s">
        <v>840</v>
      </c>
      <c r="M155" s="11"/>
      <c r="N155" s="9" t="str">
        <f>HYPERLINK("https://pubmed.ncbi.nlm.nih.gov/27643592/","abrir")</f>
        <v>abrir</v>
      </c>
      <c r="O155" s="10" t="b">
        <f t="shared" si="1"/>
        <v>0</v>
      </c>
    </row>
    <row r="156" ht="60.0" customHeight="1">
      <c r="A156" s="11" t="s">
        <v>841</v>
      </c>
      <c r="B156" s="12">
        <v>2016.0</v>
      </c>
      <c r="C156" s="11" t="s">
        <v>842</v>
      </c>
      <c r="D156" s="11" t="s">
        <v>843</v>
      </c>
      <c r="E156" s="11" t="s">
        <v>844</v>
      </c>
      <c r="F156" s="11" t="s">
        <v>298</v>
      </c>
      <c r="G156" s="11" t="s">
        <v>379</v>
      </c>
      <c r="H156" s="11" t="s">
        <v>368</v>
      </c>
      <c r="I156" s="11" t="s">
        <v>694</v>
      </c>
      <c r="J156" s="11"/>
      <c r="K156" s="11"/>
      <c r="L156" s="11" t="s">
        <v>845</v>
      </c>
      <c r="M156" s="11"/>
      <c r="N156" s="9" t="str">
        <f>HYPERLINK("https://pubmed.ncbi.nlm.nih.gov/27760457/","abrir")</f>
        <v>abrir</v>
      </c>
      <c r="O156" s="10" t="b">
        <f t="shared" si="1"/>
        <v>0</v>
      </c>
    </row>
    <row r="157" ht="60.0" customHeight="1">
      <c r="A157" s="11" t="s">
        <v>846</v>
      </c>
      <c r="B157" s="12">
        <v>2016.0</v>
      </c>
      <c r="C157" s="11" t="s">
        <v>626</v>
      </c>
      <c r="D157" s="11" t="s">
        <v>847</v>
      </c>
      <c r="E157" s="11" t="s">
        <v>848</v>
      </c>
      <c r="F157" s="11" t="s">
        <v>95</v>
      </c>
      <c r="G157" s="11" t="s">
        <v>849</v>
      </c>
      <c r="H157" s="11" t="s">
        <v>850</v>
      </c>
      <c r="I157" s="11" t="s">
        <v>694</v>
      </c>
      <c r="J157" s="11"/>
      <c r="K157" s="11"/>
      <c r="L157" s="11" t="s">
        <v>851</v>
      </c>
      <c r="M157" s="11" t="s">
        <v>852</v>
      </c>
      <c r="N157" s="9" t="str">
        <f>HYPERLINK("https://pubmed.ncbi.nlm.nih.gov/26740293/","abrir")</f>
        <v>abrir</v>
      </c>
      <c r="O157" s="10" t="b">
        <f t="shared" si="1"/>
        <v>0</v>
      </c>
    </row>
    <row r="158" ht="60.0" customHeight="1">
      <c r="A158" s="11" t="s">
        <v>853</v>
      </c>
      <c r="B158" s="12">
        <v>2015.0</v>
      </c>
      <c r="C158" s="11" t="s">
        <v>470</v>
      </c>
      <c r="D158" s="11" t="s">
        <v>854</v>
      </c>
      <c r="E158" s="11" t="s">
        <v>855</v>
      </c>
      <c r="F158" s="11" t="s">
        <v>95</v>
      </c>
      <c r="G158" s="11" t="s">
        <v>96</v>
      </c>
      <c r="H158" s="11" t="s">
        <v>97</v>
      </c>
      <c r="I158" s="11" t="s">
        <v>694</v>
      </c>
      <c r="J158" s="11"/>
      <c r="K158" s="11"/>
      <c r="L158" s="11" t="s">
        <v>856</v>
      </c>
      <c r="M158" s="11"/>
      <c r="N158" s="9" t="str">
        <f>HYPERLINK("https://pubmed.ncbi.nlm.nih.gov/25847310/","abrir")</f>
        <v>abrir</v>
      </c>
      <c r="O158" s="10" t="b">
        <f t="shared" si="1"/>
        <v>0</v>
      </c>
    </row>
    <row r="159" ht="60.0" customHeight="1">
      <c r="A159" s="11" t="s">
        <v>857</v>
      </c>
      <c r="B159" s="12">
        <v>2015.0</v>
      </c>
      <c r="C159" s="11" t="s">
        <v>858</v>
      </c>
      <c r="D159" s="11" t="s">
        <v>859</v>
      </c>
      <c r="E159" s="11" t="s">
        <v>860</v>
      </c>
      <c r="F159" s="11" t="s">
        <v>95</v>
      </c>
      <c r="G159" s="11" t="s">
        <v>379</v>
      </c>
      <c r="H159" s="11" t="s">
        <v>368</v>
      </c>
      <c r="I159" s="11" t="s">
        <v>694</v>
      </c>
      <c r="J159" s="11"/>
      <c r="K159" s="11"/>
      <c r="L159" s="11" t="s">
        <v>861</v>
      </c>
      <c r="M159" s="11"/>
      <c r="N159" s="9" t="str">
        <f>HYPERLINK("https://pubmed.ncbi.nlm.nih.gov/26347425/","abrir")</f>
        <v>abrir</v>
      </c>
      <c r="O159" s="10" t="b">
        <f t="shared" si="1"/>
        <v>0</v>
      </c>
    </row>
    <row r="160" ht="60.0" customHeight="1">
      <c r="A160" s="11" t="s">
        <v>862</v>
      </c>
      <c r="B160" s="12">
        <v>2014.0</v>
      </c>
      <c r="C160" s="11" t="s">
        <v>863</v>
      </c>
      <c r="D160" s="11" t="s">
        <v>864</v>
      </c>
      <c r="E160" s="11" t="s">
        <v>865</v>
      </c>
      <c r="F160" s="11" t="s">
        <v>298</v>
      </c>
      <c r="G160" s="11" t="s">
        <v>184</v>
      </c>
      <c r="H160" s="11" t="s">
        <v>126</v>
      </c>
      <c r="I160" s="11" t="s">
        <v>694</v>
      </c>
      <c r="J160" s="11"/>
      <c r="K160" s="11"/>
      <c r="L160" s="11" t="s">
        <v>866</v>
      </c>
      <c r="M160" s="11"/>
      <c r="N160" s="9" t="str">
        <f>HYPERLINK("https://pubmed.ncbi.nlm.nih.gov/24122837/","abrir")</f>
        <v>abrir</v>
      </c>
      <c r="O160" s="10" t="b">
        <f t="shared" si="1"/>
        <v>0</v>
      </c>
    </row>
    <row r="161" ht="60.0" customHeight="1">
      <c r="A161" s="11" t="s">
        <v>867</v>
      </c>
      <c r="B161" s="12">
        <v>2014.0</v>
      </c>
      <c r="C161" s="11" t="s">
        <v>868</v>
      </c>
      <c r="D161" s="11" t="s">
        <v>869</v>
      </c>
      <c r="E161" s="11" t="s">
        <v>870</v>
      </c>
      <c r="F161" s="11" t="s">
        <v>871</v>
      </c>
      <c r="G161" s="11" t="s">
        <v>872</v>
      </c>
      <c r="H161" s="11" t="s">
        <v>97</v>
      </c>
      <c r="I161" s="11" t="s">
        <v>694</v>
      </c>
      <c r="J161" s="11"/>
      <c r="K161" s="11"/>
      <c r="L161" s="11" t="s">
        <v>873</v>
      </c>
      <c r="M161" s="11"/>
      <c r="N161" s="9" t="str">
        <f>HYPERLINK("https://pubmed.ncbi.nlm.nih.gov/25200733/","abrir")</f>
        <v>abrir</v>
      </c>
      <c r="O161" s="10" t="b">
        <f t="shared" si="1"/>
        <v>0</v>
      </c>
    </row>
    <row r="162" ht="60.0" customHeight="1">
      <c r="A162" s="11" t="s">
        <v>874</v>
      </c>
      <c r="B162" s="12">
        <v>2013.0</v>
      </c>
      <c r="C162" s="11" t="s">
        <v>582</v>
      </c>
      <c r="D162" s="11" t="s">
        <v>875</v>
      </c>
      <c r="E162" s="11" t="s">
        <v>876</v>
      </c>
      <c r="F162" s="11" t="s">
        <v>270</v>
      </c>
      <c r="G162" s="11" t="s">
        <v>872</v>
      </c>
      <c r="H162" s="11" t="s">
        <v>97</v>
      </c>
      <c r="I162" s="11" t="s">
        <v>694</v>
      </c>
      <c r="J162" s="11"/>
      <c r="K162" s="11"/>
      <c r="L162" s="11" t="s">
        <v>877</v>
      </c>
      <c r="M162" s="11"/>
      <c r="N162" s="9" t="str">
        <f>HYPERLINK("https://pubmed.ncbi.nlm.nih.gov/23703053/","abrir")</f>
        <v>abrir</v>
      </c>
      <c r="O162" s="10" t="b">
        <f t="shared" si="1"/>
        <v>0</v>
      </c>
    </row>
    <row r="163" ht="60.0" customHeight="1">
      <c r="A163" s="11" t="s">
        <v>878</v>
      </c>
      <c r="B163" s="12">
        <v>2013.0</v>
      </c>
      <c r="C163" s="11" t="s">
        <v>582</v>
      </c>
      <c r="D163" s="11" t="s">
        <v>879</v>
      </c>
      <c r="E163" s="11" t="s">
        <v>880</v>
      </c>
      <c r="F163" s="11" t="s">
        <v>881</v>
      </c>
      <c r="G163" s="11" t="s">
        <v>184</v>
      </c>
      <c r="H163" s="11" t="s">
        <v>97</v>
      </c>
      <c r="I163" s="11" t="s">
        <v>694</v>
      </c>
      <c r="J163" s="11"/>
      <c r="K163" s="11"/>
      <c r="L163" s="11" t="s">
        <v>882</v>
      </c>
      <c r="M163" s="11"/>
      <c r="N163" s="9" t="str">
        <f>HYPERLINK("https://pubmed.ncbi.nlm.nih.gov/23831245/","abrir")</f>
        <v>abrir</v>
      </c>
      <c r="O163" s="10" t="b">
        <f t="shared" si="1"/>
        <v>0</v>
      </c>
    </row>
    <row r="164" ht="60.0" customHeight="1">
      <c r="A164" s="11" t="s">
        <v>883</v>
      </c>
      <c r="B164" s="12">
        <v>2013.0</v>
      </c>
      <c r="C164" s="11" t="s">
        <v>515</v>
      </c>
      <c r="D164" s="11" t="s">
        <v>884</v>
      </c>
      <c r="E164" s="11" t="s">
        <v>885</v>
      </c>
      <c r="F164" s="11" t="s">
        <v>886</v>
      </c>
      <c r="G164" s="11" t="s">
        <v>96</v>
      </c>
      <c r="H164" s="11" t="s">
        <v>97</v>
      </c>
      <c r="I164" s="11" t="s">
        <v>694</v>
      </c>
      <c r="J164" s="11"/>
      <c r="K164" s="11"/>
      <c r="L164" s="11" t="s">
        <v>887</v>
      </c>
      <c r="M164" s="11"/>
      <c r="N164" s="9" t="str">
        <f>HYPERLINK("https://pubmed.ncbi.nlm.nih.gov/24112219/","abrir")</f>
        <v>abrir</v>
      </c>
      <c r="O164" s="10" t="b">
        <f t="shared" si="1"/>
        <v>0</v>
      </c>
    </row>
    <row r="165" ht="60.0" customHeight="1">
      <c r="A165" s="11" t="s">
        <v>888</v>
      </c>
      <c r="B165" s="12">
        <v>2012.0</v>
      </c>
      <c r="C165" s="11" t="s">
        <v>515</v>
      </c>
      <c r="D165" s="11" t="s">
        <v>889</v>
      </c>
      <c r="E165" s="11" t="s">
        <v>890</v>
      </c>
      <c r="F165" s="11" t="s">
        <v>463</v>
      </c>
      <c r="G165" s="11" t="s">
        <v>184</v>
      </c>
      <c r="H165" s="11" t="s">
        <v>97</v>
      </c>
      <c r="I165" s="11" t="s">
        <v>694</v>
      </c>
      <c r="J165" s="11"/>
      <c r="K165" s="11"/>
      <c r="L165" s="11" t="s">
        <v>891</v>
      </c>
      <c r="M165" s="11"/>
      <c r="N165" s="9" t="str">
        <f>HYPERLINK("https://pubmed.ncbi.nlm.nih.gov/22826570/","abrir")</f>
        <v>abrir</v>
      </c>
      <c r="O165" s="10" t="b">
        <f t="shared" si="1"/>
        <v>0</v>
      </c>
    </row>
    <row r="166" ht="60.0" customHeight="1">
      <c r="A166" s="11" t="s">
        <v>892</v>
      </c>
      <c r="B166" s="12">
        <v>2012.0</v>
      </c>
      <c r="C166" s="11" t="s">
        <v>837</v>
      </c>
      <c r="D166" s="11" t="s">
        <v>893</v>
      </c>
      <c r="E166" s="11" t="s">
        <v>894</v>
      </c>
      <c r="F166" s="11" t="s">
        <v>740</v>
      </c>
      <c r="G166" s="11" t="s">
        <v>144</v>
      </c>
      <c r="H166" s="11" t="s">
        <v>97</v>
      </c>
      <c r="I166" s="11" t="s">
        <v>694</v>
      </c>
      <c r="J166" s="11"/>
      <c r="K166" s="11"/>
      <c r="L166" s="11" t="s">
        <v>895</v>
      </c>
      <c r="M166" s="11"/>
      <c r="N166" s="9" t="str">
        <f>HYPERLINK("https://pubmed.ncbi.nlm.nih.gov/23044555/","abrir")</f>
        <v>abrir</v>
      </c>
      <c r="O166" s="10" t="b">
        <f t="shared" si="1"/>
        <v>0</v>
      </c>
    </row>
    <row r="167" ht="60.0" customHeight="1">
      <c r="A167" s="11" t="s">
        <v>896</v>
      </c>
      <c r="B167" s="12">
        <v>2012.0</v>
      </c>
      <c r="C167" s="11" t="s">
        <v>897</v>
      </c>
      <c r="D167" s="11" t="s">
        <v>898</v>
      </c>
      <c r="E167" s="11" t="s">
        <v>899</v>
      </c>
      <c r="F167" s="11" t="s">
        <v>900</v>
      </c>
      <c r="G167" s="11" t="s">
        <v>872</v>
      </c>
      <c r="H167" s="11" t="s">
        <v>126</v>
      </c>
      <c r="I167" s="11" t="s">
        <v>694</v>
      </c>
      <c r="J167" s="11"/>
      <c r="K167" s="11"/>
      <c r="L167" s="11" t="s">
        <v>901</v>
      </c>
      <c r="M167" s="11"/>
      <c r="N167" s="9" t="str">
        <f>HYPERLINK("https://pubmed.ncbi.nlm.nih.gov/23088440/","abrir")</f>
        <v>abrir</v>
      </c>
      <c r="O167" s="10" t="b">
        <f t="shared" si="1"/>
        <v>0</v>
      </c>
    </row>
    <row r="168" ht="60.0" customHeight="1">
      <c r="A168" s="13" t="s">
        <v>902</v>
      </c>
      <c r="B168" s="14">
        <v>2026.0</v>
      </c>
      <c r="C168" s="13" t="s">
        <v>903</v>
      </c>
      <c r="D168" s="13" t="s">
        <v>904</v>
      </c>
      <c r="E168" s="13" t="s">
        <v>905</v>
      </c>
      <c r="F168" s="13" t="s">
        <v>95</v>
      </c>
      <c r="G168" s="13" t="s">
        <v>96</v>
      </c>
      <c r="H168" s="13" t="s">
        <v>97</v>
      </c>
      <c r="I168" s="13" t="s">
        <v>906</v>
      </c>
      <c r="J168" s="13"/>
      <c r="K168" s="13" t="s">
        <v>907</v>
      </c>
      <c r="L168" s="13" t="s">
        <v>908</v>
      </c>
      <c r="M168" s="13"/>
      <c r="N168" s="9" t="str">
        <f>HYPERLINK("https://pubmed.ncbi.nlm.nih.gov/40974038/","abrir")</f>
        <v>abrir</v>
      </c>
      <c r="O168" s="10" t="b">
        <f t="shared" si="1"/>
        <v>1</v>
      </c>
    </row>
    <row r="169" ht="60.0" customHeight="1">
      <c r="A169" s="13" t="s">
        <v>909</v>
      </c>
      <c r="B169" s="14">
        <v>2024.0</v>
      </c>
      <c r="C169" s="13" t="s">
        <v>910</v>
      </c>
      <c r="D169" s="13" t="s">
        <v>911</v>
      </c>
      <c r="E169" s="13" t="s">
        <v>912</v>
      </c>
      <c r="F169" s="13" t="s">
        <v>913</v>
      </c>
      <c r="G169" s="13" t="s">
        <v>914</v>
      </c>
      <c r="H169" s="13" t="s">
        <v>97</v>
      </c>
      <c r="I169" s="13" t="s">
        <v>906</v>
      </c>
      <c r="J169" s="13"/>
      <c r="K169" s="13" t="s">
        <v>907</v>
      </c>
      <c r="L169" s="13" t="s">
        <v>908</v>
      </c>
      <c r="M169" s="13"/>
      <c r="N169" s="9" t="str">
        <f>HYPERLINK("https://pubmed.ncbi.nlm.nih.gov/38418651/","abrir")</f>
        <v>abrir</v>
      </c>
      <c r="O169" s="10" t="b">
        <f t="shared" si="1"/>
        <v>1</v>
      </c>
    </row>
    <row r="170" ht="60.0" customHeight="1">
      <c r="A170" s="13" t="s">
        <v>915</v>
      </c>
      <c r="B170" s="14">
        <v>2021.0</v>
      </c>
      <c r="C170" s="13" t="s">
        <v>916</v>
      </c>
      <c r="D170" s="13" t="s">
        <v>917</v>
      </c>
      <c r="E170" s="13" t="s">
        <v>918</v>
      </c>
      <c r="F170" s="13" t="s">
        <v>919</v>
      </c>
      <c r="G170" s="13" t="s">
        <v>96</v>
      </c>
      <c r="H170" s="13" t="s">
        <v>97</v>
      </c>
      <c r="I170" s="13" t="s">
        <v>906</v>
      </c>
      <c r="J170" s="13"/>
      <c r="K170" s="13" t="s">
        <v>907</v>
      </c>
      <c r="L170" s="13" t="s">
        <v>908</v>
      </c>
      <c r="M170" s="13"/>
      <c r="N170" s="9" t="str">
        <f>HYPERLINK("https://pubmed.ncbi.nlm.nih.gov/33730431/","abrir")</f>
        <v>abrir</v>
      </c>
      <c r="O170" s="10" t="b">
        <f t="shared" si="1"/>
        <v>0</v>
      </c>
    </row>
    <row r="171" ht="60.0" customHeight="1">
      <c r="A171" s="13" t="s">
        <v>920</v>
      </c>
      <c r="B171" s="14">
        <v>2019.0</v>
      </c>
      <c r="C171" s="13" t="s">
        <v>921</v>
      </c>
      <c r="D171" s="13" t="s">
        <v>922</v>
      </c>
      <c r="E171" s="13" t="s">
        <v>923</v>
      </c>
      <c r="F171" s="13" t="s">
        <v>924</v>
      </c>
      <c r="G171" s="13" t="s">
        <v>96</v>
      </c>
      <c r="H171" s="13" t="s">
        <v>368</v>
      </c>
      <c r="I171" s="13" t="s">
        <v>906</v>
      </c>
      <c r="J171" s="13"/>
      <c r="K171" s="13" t="s">
        <v>907</v>
      </c>
      <c r="L171" s="13" t="s">
        <v>908</v>
      </c>
      <c r="M171" s="13"/>
      <c r="N171" s="9" t="str">
        <f>HYPERLINK("https://pubmed.ncbi.nlm.nih.gov/30820311/","abrir")</f>
        <v>abrir</v>
      </c>
      <c r="O171" s="10" t="b">
        <f t="shared" si="1"/>
        <v>0</v>
      </c>
    </row>
    <row r="172" ht="60.0" customHeight="1">
      <c r="A172" s="13" t="s">
        <v>925</v>
      </c>
      <c r="B172" s="14">
        <v>2018.0</v>
      </c>
      <c r="C172" s="13" t="s">
        <v>926</v>
      </c>
      <c r="D172" s="13" t="s">
        <v>927</v>
      </c>
      <c r="E172" s="13" t="s">
        <v>928</v>
      </c>
      <c r="F172" s="13" t="s">
        <v>929</v>
      </c>
      <c r="G172" s="13" t="s">
        <v>96</v>
      </c>
      <c r="H172" s="13" t="s">
        <v>97</v>
      </c>
      <c r="I172" s="13" t="s">
        <v>906</v>
      </c>
      <c r="J172" s="13"/>
      <c r="K172" s="13" t="s">
        <v>907</v>
      </c>
      <c r="L172" s="13" t="s">
        <v>908</v>
      </c>
      <c r="M172" s="13"/>
      <c r="N172" s="9" t="str">
        <f>HYPERLINK("https://pubmed.ncbi.nlm.nih.gov/30220946/","abrir")</f>
        <v>abrir</v>
      </c>
      <c r="O172" s="10" t="b">
        <f t="shared" si="1"/>
        <v>0</v>
      </c>
    </row>
    <row r="173" ht="60.0" customHeight="1">
      <c r="A173" s="13" t="s">
        <v>930</v>
      </c>
      <c r="B173" s="14">
        <v>2017.0</v>
      </c>
      <c r="C173" s="13" t="s">
        <v>931</v>
      </c>
      <c r="D173" s="13" t="s">
        <v>932</v>
      </c>
      <c r="E173" s="13" t="s">
        <v>933</v>
      </c>
      <c r="F173" s="13" t="s">
        <v>934</v>
      </c>
      <c r="G173" s="13" t="s">
        <v>96</v>
      </c>
      <c r="H173" s="13" t="s">
        <v>97</v>
      </c>
      <c r="I173" s="13" t="s">
        <v>906</v>
      </c>
      <c r="J173" s="13"/>
      <c r="K173" s="13" t="s">
        <v>907</v>
      </c>
      <c r="L173" s="13" t="s">
        <v>908</v>
      </c>
      <c r="M173" s="13"/>
      <c r="N173" s="9" t="str">
        <f>HYPERLINK("https://pubmed.ncbi.nlm.nih.gov/28817202/","abrir")</f>
        <v>abrir</v>
      </c>
      <c r="O173" s="10" t="b">
        <f t="shared" si="1"/>
        <v>0</v>
      </c>
    </row>
    <row r="174" ht="60.0" customHeight="1">
      <c r="A174" s="13" t="s">
        <v>935</v>
      </c>
      <c r="B174" s="14">
        <v>2017.0</v>
      </c>
      <c r="C174" s="13" t="s">
        <v>910</v>
      </c>
      <c r="D174" s="13" t="s">
        <v>936</v>
      </c>
      <c r="E174" s="13" t="s">
        <v>937</v>
      </c>
      <c r="F174" s="13" t="s">
        <v>938</v>
      </c>
      <c r="G174" s="13" t="s">
        <v>379</v>
      </c>
      <c r="H174" s="13" t="s">
        <v>97</v>
      </c>
      <c r="I174" s="13" t="s">
        <v>906</v>
      </c>
      <c r="J174" s="13"/>
      <c r="K174" s="13" t="s">
        <v>907</v>
      </c>
      <c r="L174" s="13" t="s">
        <v>908</v>
      </c>
      <c r="M174" s="13"/>
      <c r="N174" s="9" t="str">
        <f>HYPERLINK("https://pubmed.ncbi.nlm.nih.gov/28970731/","abrir")</f>
        <v>abrir</v>
      </c>
      <c r="O174" s="10" t="b">
        <f t="shared" si="1"/>
        <v>0</v>
      </c>
    </row>
    <row r="175" ht="60.0" customHeight="1">
      <c r="A175" s="13" t="s">
        <v>939</v>
      </c>
      <c r="B175" s="14">
        <v>2015.0</v>
      </c>
      <c r="C175" s="13" t="s">
        <v>940</v>
      </c>
      <c r="D175" s="13" t="s">
        <v>941</v>
      </c>
      <c r="E175" s="13" t="s">
        <v>942</v>
      </c>
      <c r="F175" s="13" t="s">
        <v>612</v>
      </c>
      <c r="G175" s="13" t="s">
        <v>96</v>
      </c>
      <c r="H175" s="13" t="s">
        <v>97</v>
      </c>
      <c r="I175" s="13" t="s">
        <v>906</v>
      </c>
      <c r="J175" s="13"/>
      <c r="K175" s="13" t="s">
        <v>907</v>
      </c>
      <c r="L175" s="13" t="s">
        <v>908</v>
      </c>
      <c r="M175" s="13"/>
      <c r="N175" s="9" t="str">
        <f>HYPERLINK("https://pubmed.ncbi.nlm.nih.gov/26097020/","abrir")</f>
        <v>abrir</v>
      </c>
      <c r="O175" s="10" t="b">
        <f t="shared" si="1"/>
        <v>0</v>
      </c>
    </row>
    <row r="176" ht="60.0" customHeight="1">
      <c r="A176" s="13" t="s">
        <v>943</v>
      </c>
      <c r="B176" s="14">
        <v>2015.0</v>
      </c>
      <c r="C176" s="13" t="s">
        <v>944</v>
      </c>
      <c r="D176" s="13" t="s">
        <v>945</v>
      </c>
      <c r="E176" s="13" t="s">
        <v>946</v>
      </c>
      <c r="F176" s="13" t="s">
        <v>947</v>
      </c>
      <c r="G176" s="13" t="s">
        <v>96</v>
      </c>
      <c r="H176" s="13" t="s">
        <v>97</v>
      </c>
      <c r="I176" s="13" t="s">
        <v>906</v>
      </c>
      <c r="J176" s="13"/>
      <c r="K176" s="13" t="s">
        <v>907</v>
      </c>
      <c r="L176" s="13" t="s">
        <v>908</v>
      </c>
      <c r="M176" s="13"/>
      <c r="N176" s="9" t="str">
        <f>HYPERLINK("https://pubmed.ncbi.nlm.nih.gov/26452269/","abrir")</f>
        <v>abrir</v>
      </c>
      <c r="O176" s="10" t="b">
        <f t="shared" si="1"/>
        <v>0</v>
      </c>
    </row>
    <row r="177" ht="60.0" customHeight="1">
      <c r="A177" s="13" t="s">
        <v>948</v>
      </c>
      <c r="B177" s="14">
        <v>2013.0</v>
      </c>
      <c r="C177" s="13" t="s">
        <v>949</v>
      </c>
      <c r="D177" s="13" t="s">
        <v>950</v>
      </c>
      <c r="E177" s="13" t="s">
        <v>951</v>
      </c>
      <c r="F177" s="13" t="s">
        <v>952</v>
      </c>
      <c r="G177" s="13" t="s">
        <v>953</v>
      </c>
      <c r="H177" s="13" t="s">
        <v>97</v>
      </c>
      <c r="I177" s="13" t="s">
        <v>906</v>
      </c>
      <c r="J177" s="13"/>
      <c r="K177" s="13" t="s">
        <v>907</v>
      </c>
      <c r="L177" s="13" t="s">
        <v>908</v>
      </c>
      <c r="M177" s="13"/>
      <c r="N177" s="9" t="str">
        <f>HYPERLINK("https://pubmed.ncbi.nlm.nih.gov/23065509/","abrir")</f>
        <v>abrir</v>
      </c>
      <c r="O177" s="10" t="b">
        <f t="shared" si="1"/>
        <v>0</v>
      </c>
    </row>
    <row r="178" ht="60.0" customHeight="1">
      <c r="A178" s="13" t="s">
        <v>954</v>
      </c>
      <c r="B178" s="14">
        <v>2013.0</v>
      </c>
      <c r="C178" s="13" t="s">
        <v>955</v>
      </c>
      <c r="D178" s="13" t="s">
        <v>956</v>
      </c>
      <c r="E178" s="13" t="s">
        <v>957</v>
      </c>
      <c r="F178" s="13" t="s">
        <v>958</v>
      </c>
      <c r="G178" s="13" t="s">
        <v>96</v>
      </c>
      <c r="H178" s="13" t="s">
        <v>368</v>
      </c>
      <c r="I178" s="13" t="s">
        <v>906</v>
      </c>
      <c r="J178" s="13"/>
      <c r="K178" s="13" t="s">
        <v>907</v>
      </c>
      <c r="L178" s="13" t="s">
        <v>908</v>
      </c>
      <c r="M178" s="13"/>
      <c r="N178" s="9" t="str">
        <f>HYPERLINK("https://pubmed.ncbi.nlm.nih.gov/23401811/","abrir")</f>
        <v>abrir</v>
      </c>
      <c r="O178" s="10" t="b">
        <f t="shared" si="1"/>
        <v>0</v>
      </c>
    </row>
    <row r="179" ht="60.0" customHeight="1">
      <c r="A179" s="13" t="s">
        <v>959</v>
      </c>
      <c r="B179" s="14">
        <v>2013.0</v>
      </c>
      <c r="C179" s="13" t="s">
        <v>960</v>
      </c>
      <c r="D179" s="13" t="s">
        <v>961</v>
      </c>
      <c r="E179" s="13" t="s">
        <v>962</v>
      </c>
      <c r="F179" s="13" t="s">
        <v>963</v>
      </c>
      <c r="G179" s="13" t="s">
        <v>645</v>
      </c>
      <c r="H179" s="13" t="s">
        <v>97</v>
      </c>
      <c r="I179" s="13" t="s">
        <v>906</v>
      </c>
      <c r="J179" s="13"/>
      <c r="K179" s="13" t="s">
        <v>907</v>
      </c>
      <c r="L179" s="13" t="s">
        <v>908</v>
      </c>
      <c r="M179" s="13"/>
      <c r="N179" s="9" t="str">
        <f>HYPERLINK("https://pubmed.ncbi.nlm.nih.gov/24220305/","abrir")</f>
        <v>abrir</v>
      </c>
      <c r="O179" s="10" t="b">
        <f t="shared" si="1"/>
        <v>0</v>
      </c>
    </row>
    <row r="180" ht="60.0" customHeight="1">
      <c r="A180" s="13" t="s">
        <v>964</v>
      </c>
      <c r="B180" s="14">
        <v>2012.0</v>
      </c>
      <c r="C180" s="13" t="s">
        <v>965</v>
      </c>
      <c r="D180" s="13" t="s">
        <v>966</v>
      </c>
      <c r="E180" s="13" t="s">
        <v>967</v>
      </c>
      <c r="F180" s="13" t="s">
        <v>968</v>
      </c>
      <c r="G180" s="13" t="s">
        <v>184</v>
      </c>
      <c r="H180" s="13" t="s">
        <v>97</v>
      </c>
      <c r="I180" s="13" t="s">
        <v>906</v>
      </c>
      <c r="J180" s="13"/>
      <c r="K180" s="13" t="s">
        <v>907</v>
      </c>
      <c r="L180" s="13" t="s">
        <v>908</v>
      </c>
      <c r="M180" s="13"/>
      <c r="N180" s="9" t="str">
        <f>HYPERLINK("https://pubmed.ncbi.nlm.nih.gov/22619094/","abrir")</f>
        <v>abrir</v>
      </c>
      <c r="O180" s="10" t="b">
        <f t="shared" si="1"/>
        <v>0</v>
      </c>
    </row>
    <row r="181" ht="60.0" customHeight="1">
      <c r="A181" s="13" t="s">
        <v>969</v>
      </c>
      <c r="B181" s="14">
        <v>2011.0</v>
      </c>
      <c r="C181" s="13" t="s">
        <v>970</v>
      </c>
      <c r="D181" s="13" t="s">
        <v>971</v>
      </c>
      <c r="E181" s="13" t="s">
        <v>972</v>
      </c>
      <c r="F181" s="13" t="s">
        <v>973</v>
      </c>
      <c r="G181" s="13" t="s">
        <v>96</v>
      </c>
      <c r="H181" s="13" t="s">
        <v>97</v>
      </c>
      <c r="I181" s="13" t="s">
        <v>906</v>
      </c>
      <c r="J181" s="13"/>
      <c r="K181" s="13" t="s">
        <v>907</v>
      </c>
      <c r="L181" s="13" t="s">
        <v>908</v>
      </c>
      <c r="M181" s="13"/>
      <c r="N181" s="9" t="str">
        <f>HYPERLINK("https://pubmed.ncbi.nlm.nih.gov/20737498/","abrir")</f>
        <v>abrir</v>
      </c>
      <c r="O181" s="10" t="b">
        <f t="shared" si="1"/>
        <v>0</v>
      </c>
    </row>
    <row r="182" ht="60.0" customHeight="1">
      <c r="A182" s="13" t="s">
        <v>974</v>
      </c>
      <c r="B182" s="14">
        <v>2011.0</v>
      </c>
      <c r="C182" s="13" t="s">
        <v>975</v>
      </c>
      <c r="D182" s="13" t="s">
        <v>976</v>
      </c>
      <c r="E182" s="13" t="s">
        <v>977</v>
      </c>
      <c r="F182" s="13" t="s">
        <v>978</v>
      </c>
      <c r="G182" s="13" t="s">
        <v>597</v>
      </c>
      <c r="H182" s="13" t="s">
        <v>97</v>
      </c>
      <c r="I182" s="13" t="s">
        <v>906</v>
      </c>
      <c r="J182" s="13"/>
      <c r="K182" s="13" t="s">
        <v>907</v>
      </c>
      <c r="L182" s="13" t="s">
        <v>908</v>
      </c>
      <c r="M182" s="13"/>
      <c r="N182" s="9" t="str">
        <f>HYPERLINK("https://pubmed.ncbi.nlm.nih.gov/21830263/","abrir")</f>
        <v>abrir</v>
      </c>
      <c r="O182" s="10" t="b">
        <f t="shared" si="1"/>
        <v>0</v>
      </c>
    </row>
    <row r="183" ht="60.0" customHeight="1">
      <c r="A183" s="13" t="s">
        <v>979</v>
      </c>
      <c r="B183" s="14">
        <v>2010.0</v>
      </c>
      <c r="C183" s="13" t="s">
        <v>980</v>
      </c>
      <c r="D183" s="13" t="s">
        <v>981</v>
      </c>
      <c r="E183" s="13" t="s">
        <v>982</v>
      </c>
      <c r="F183" s="13" t="s">
        <v>983</v>
      </c>
      <c r="G183" s="13" t="s">
        <v>645</v>
      </c>
      <c r="H183" s="13" t="s">
        <v>97</v>
      </c>
      <c r="I183" s="13" t="s">
        <v>906</v>
      </c>
      <c r="J183" s="13"/>
      <c r="K183" s="13" t="s">
        <v>907</v>
      </c>
      <c r="L183" s="13" t="s">
        <v>908</v>
      </c>
      <c r="M183" s="13"/>
      <c r="N183" s="9" t="str">
        <f>HYPERLINK("https://pubmed.ncbi.nlm.nih.gov/20077527/","abrir")</f>
        <v>abrir</v>
      </c>
      <c r="O183" s="10" t="b">
        <f t="shared" si="1"/>
        <v>0</v>
      </c>
    </row>
    <row r="184" ht="60.0" customHeight="1">
      <c r="A184" s="13" t="s">
        <v>984</v>
      </c>
      <c r="B184" s="14">
        <v>2009.0</v>
      </c>
      <c r="C184" s="13" t="s">
        <v>985</v>
      </c>
      <c r="D184" s="13" t="s">
        <v>986</v>
      </c>
      <c r="E184" s="13" t="s">
        <v>987</v>
      </c>
      <c r="F184" s="13" t="s">
        <v>988</v>
      </c>
      <c r="G184" s="13" t="s">
        <v>96</v>
      </c>
      <c r="H184" s="13" t="s">
        <v>368</v>
      </c>
      <c r="I184" s="13" t="s">
        <v>906</v>
      </c>
      <c r="J184" s="13"/>
      <c r="K184" s="13" t="s">
        <v>907</v>
      </c>
      <c r="L184" s="13" t="s">
        <v>908</v>
      </c>
      <c r="M184" s="13"/>
      <c r="N184" s="9" t="str">
        <f>HYPERLINK("https://pubmed.ncbi.nlm.nih.gov/19282247/","abrir")</f>
        <v>abrir</v>
      </c>
      <c r="O184" s="10" t="b">
        <f t="shared" si="1"/>
        <v>0</v>
      </c>
    </row>
    <row r="185" ht="60.0" customHeight="1">
      <c r="A185" s="13" t="s">
        <v>989</v>
      </c>
      <c r="B185" s="14">
        <v>2008.0</v>
      </c>
      <c r="C185" s="13" t="s">
        <v>970</v>
      </c>
      <c r="D185" s="13" t="s">
        <v>990</v>
      </c>
      <c r="E185" s="13" t="s">
        <v>991</v>
      </c>
      <c r="F185" s="13" t="s">
        <v>992</v>
      </c>
      <c r="G185" s="13" t="s">
        <v>96</v>
      </c>
      <c r="H185" s="13" t="s">
        <v>97</v>
      </c>
      <c r="I185" s="13" t="s">
        <v>906</v>
      </c>
      <c r="J185" s="13"/>
      <c r="K185" s="13" t="s">
        <v>907</v>
      </c>
      <c r="L185" s="13" t="s">
        <v>908</v>
      </c>
      <c r="M185" s="13"/>
      <c r="N185" s="9" t="str">
        <f>HYPERLINK("https://pubmed.ncbi.nlm.nih.gov/18334510/","abrir")</f>
        <v>abrir</v>
      </c>
      <c r="O185" s="10" t="b">
        <f t="shared" si="1"/>
        <v>0</v>
      </c>
    </row>
    <row r="186" ht="60.0" customHeight="1">
      <c r="A186" s="13" t="s">
        <v>993</v>
      </c>
      <c r="B186" s="14">
        <v>2007.0</v>
      </c>
      <c r="C186" s="13" t="s">
        <v>994</v>
      </c>
      <c r="D186" s="13" t="s">
        <v>995</v>
      </c>
      <c r="E186" s="13" t="s">
        <v>996</v>
      </c>
      <c r="F186" s="13" t="s">
        <v>997</v>
      </c>
      <c r="G186" s="13" t="s">
        <v>184</v>
      </c>
      <c r="H186" s="13" t="s">
        <v>97</v>
      </c>
      <c r="I186" s="13" t="s">
        <v>906</v>
      </c>
      <c r="J186" s="13"/>
      <c r="K186" s="13" t="s">
        <v>907</v>
      </c>
      <c r="L186" s="13" t="s">
        <v>908</v>
      </c>
      <c r="M186" s="13"/>
      <c r="N186" s="9" t="str">
        <f>HYPERLINK("https://pubmed.ncbi.nlm.nih.gov/17525089/","abrir")</f>
        <v>abrir</v>
      </c>
      <c r="O186" s="10" t="b">
        <f t="shared" si="1"/>
        <v>0</v>
      </c>
    </row>
    <row r="187" ht="60.0" customHeight="1">
      <c r="A187" s="13" t="s">
        <v>998</v>
      </c>
      <c r="B187" s="14">
        <v>2004.0</v>
      </c>
      <c r="C187" s="13" t="s">
        <v>999</v>
      </c>
      <c r="D187" s="13" t="s">
        <v>1000</v>
      </c>
      <c r="E187" s="13" t="s">
        <v>1001</v>
      </c>
      <c r="F187" s="13" t="s">
        <v>1002</v>
      </c>
      <c r="G187" s="13" t="s">
        <v>184</v>
      </c>
      <c r="H187" s="13" t="s">
        <v>97</v>
      </c>
      <c r="I187" s="13" t="s">
        <v>906</v>
      </c>
      <c r="J187" s="13"/>
      <c r="K187" s="13" t="s">
        <v>907</v>
      </c>
      <c r="L187" s="13" t="s">
        <v>908</v>
      </c>
      <c r="M187" s="13"/>
      <c r="N187" s="9" t="str">
        <f>HYPERLINK("https://pubmed.ncbi.nlm.nih.gov/14713414/","abrir")</f>
        <v>abrir</v>
      </c>
      <c r="O187" s="10" t="b">
        <f t="shared" si="1"/>
        <v>0</v>
      </c>
    </row>
    <row r="188" ht="60.0" customHeight="1">
      <c r="A188" s="13" t="s">
        <v>1003</v>
      </c>
      <c r="B188" s="14">
        <v>2004.0</v>
      </c>
      <c r="C188" s="13" t="s">
        <v>1004</v>
      </c>
      <c r="D188" s="13" t="s">
        <v>1005</v>
      </c>
      <c r="E188" s="13" t="s">
        <v>1006</v>
      </c>
      <c r="F188" s="13" t="s">
        <v>1007</v>
      </c>
      <c r="G188" s="13" t="s">
        <v>96</v>
      </c>
      <c r="H188" s="13" t="s">
        <v>97</v>
      </c>
      <c r="I188" s="13" t="s">
        <v>906</v>
      </c>
      <c r="J188" s="13"/>
      <c r="K188" s="13" t="s">
        <v>907</v>
      </c>
      <c r="L188" s="13" t="s">
        <v>908</v>
      </c>
      <c r="M188" s="13"/>
      <c r="N188" s="9" t="str">
        <f>HYPERLINK("https://pubmed.ncbi.nlm.nih.gov/15047736/","abrir")</f>
        <v>abrir</v>
      </c>
      <c r="O188" s="10" t="b">
        <f t="shared" si="1"/>
        <v>0</v>
      </c>
    </row>
    <row r="189" ht="60.0" customHeight="1">
      <c r="A189" s="13" t="s">
        <v>1008</v>
      </c>
      <c r="B189" s="14">
        <v>2003.0</v>
      </c>
      <c r="C189" s="13" t="s">
        <v>1009</v>
      </c>
      <c r="D189" s="13" t="s">
        <v>1010</v>
      </c>
      <c r="E189" s="13" t="s">
        <v>1011</v>
      </c>
      <c r="F189" s="13" t="s">
        <v>1012</v>
      </c>
      <c r="G189" s="13" t="s">
        <v>184</v>
      </c>
      <c r="H189" s="13" t="s">
        <v>97</v>
      </c>
      <c r="I189" s="13" t="s">
        <v>906</v>
      </c>
      <c r="J189" s="13"/>
      <c r="K189" s="13" t="s">
        <v>907</v>
      </c>
      <c r="L189" s="13" t="s">
        <v>908</v>
      </c>
      <c r="M189" s="13"/>
      <c r="N189" s="9" t="str">
        <f>HYPERLINK("https://pubmed.ncbi.nlm.nih.gov/12831601/","abrir")</f>
        <v>abrir</v>
      </c>
      <c r="O189" s="10" t="b">
        <f t="shared" si="1"/>
        <v>0</v>
      </c>
    </row>
    <row r="190" ht="60.0" customHeight="1">
      <c r="A190" s="13" t="s">
        <v>1013</v>
      </c>
      <c r="B190" s="14">
        <v>2000.0</v>
      </c>
      <c r="C190" s="13" t="s">
        <v>1014</v>
      </c>
      <c r="D190" s="13" t="s">
        <v>1015</v>
      </c>
      <c r="E190" s="13" t="s">
        <v>1016</v>
      </c>
      <c r="F190" s="13" t="s">
        <v>1017</v>
      </c>
      <c r="G190" s="13" t="s">
        <v>96</v>
      </c>
      <c r="H190" s="13" t="s">
        <v>97</v>
      </c>
      <c r="I190" s="13" t="s">
        <v>906</v>
      </c>
      <c r="J190" s="13"/>
      <c r="K190" s="13" t="s">
        <v>907</v>
      </c>
      <c r="L190" s="13" t="s">
        <v>908</v>
      </c>
      <c r="M190" s="13"/>
      <c r="N190" s="9" t="str">
        <f>HYPERLINK("https://pubmed.ncbi.nlm.nih.gov/10910553/","abrir")</f>
        <v>abrir</v>
      </c>
      <c r="O190" s="10" t="b">
        <f t="shared" si="1"/>
        <v>0</v>
      </c>
    </row>
    <row r="191" ht="60.0" customHeight="1">
      <c r="A191" s="13" t="s">
        <v>1018</v>
      </c>
      <c r="B191" s="14">
        <v>2026.0</v>
      </c>
      <c r="C191" s="13" t="s">
        <v>1019</v>
      </c>
      <c r="D191" s="13" t="s">
        <v>1020</v>
      </c>
      <c r="E191" s="13" t="s">
        <v>1021</v>
      </c>
      <c r="F191" s="13" t="s">
        <v>1022</v>
      </c>
      <c r="G191" s="13" t="s">
        <v>96</v>
      </c>
      <c r="H191" s="13" t="s">
        <v>368</v>
      </c>
      <c r="I191" s="13" t="s">
        <v>906</v>
      </c>
      <c r="J191" s="13"/>
      <c r="K191" s="13" t="s">
        <v>1023</v>
      </c>
      <c r="L191" s="13" t="s">
        <v>1024</v>
      </c>
      <c r="M191" s="13"/>
      <c r="N191" s="9" t="str">
        <f>HYPERLINK("https://pubmed.ncbi.nlm.nih.gov/41883941/","abrir")</f>
        <v>abrir</v>
      </c>
      <c r="O191" s="10" t="b">
        <f t="shared" si="1"/>
        <v>1</v>
      </c>
    </row>
    <row r="192" ht="60.0" customHeight="1">
      <c r="A192" s="13" t="s">
        <v>1025</v>
      </c>
      <c r="B192" s="14">
        <v>2026.0</v>
      </c>
      <c r="C192" s="13" t="s">
        <v>1026</v>
      </c>
      <c r="D192" s="13" t="s">
        <v>1027</v>
      </c>
      <c r="E192" s="13" t="s">
        <v>1028</v>
      </c>
      <c r="F192" s="13" t="s">
        <v>1029</v>
      </c>
      <c r="G192" s="13" t="s">
        <v>96</v>
      </c>
      <c r="H192" s="13" t="s">
        <v>368</v>
      </c>
      <c r="I192" s="13" t="s">
        <v>906</v>
      </c>
      <c r="J192" s="13"/>
      <c r="K192" s="13" t="s">
        <v>1023</v>
      </c>
      <c r="L192" s="13" t="s">
        <v>1024</v>
      </c>
      <c r="M192" s="13"/>
      <c r="N192" s="9" t="str">
        <f>HYPERLINK("https://pubmed.ncbi.nlm.nih.gov/42630859/","abrir")</f>
        <v>abrir</v>
      </c>
      <c r="O192" s="10" t="b">
        <f t="shared" si="1"/>
        <v>1</v>
      </c>
    </row>
    <row r="193" ht="60.0" customHeight="1">
      <c r="A193" s="13" t="s">
        <v>1030</v>
      </c>
      <c r="B193" s="14">
        <v>2026.0</v>
      </c>
      <c r="C193" s="13" t="s">
        <v>1031</v>
      </c>
      <c r="D193" s="13" t="s">
        <v>1032</v>
      </c>
      <c r="E193" s="13" t="s">
        <v>1033</v>
      </c>
      <c r="F193" s="13" t="s">
        <v>549</v>
      </c>
      <c r="G193" s="13" t="s">
        <v>96</v>
      </c>
      <c r="H193" s="13" t="s">
        <v>368</v>
      </c>
      <c r="I193" s="13" t="s">
        <v>906</v>
      </c>
      <c r="J193" s="13"/>
      <c r="K193" s="13" t="s">
        <v>1023</v>
      </c>
      <c r="L193" s="13" t="s">
        <v>1024</v>
      </c>
      <c r="M193" s="13"/>
      <c r="N193" s="9" t="str">
        <f>HYPERLINK("https://pubmed.ncbi.nlm.nih.gov/42742533/","abrir")</f>
        <v>abrir</v>
      </c>
      <c r="O193" s="10" t="b">
        <f t="shared" si="1"/>
        <v>1</v>
      </c>
    </row>
    <row r="194" ht="60.0" customHeight="1">
      <c r="A194" s="13" t="s">
        <v>1034</v>
      </c>
      <c r="B194" s="14">
        <v>2025.0</v>
      </c>
      <c r="C194" s="13" t="s">
        <v>1035</v>
      </c>
      <c r="D194" s="13" t="s">
        <v>1036</v>
      </c>
      <c r="E194" s="13" t="s">
        <v>1037</v>
      </c>
      <c r="F194" s="13" t="s">
        <v>684</v>
      </c>
      <c r="G194" s="13" t="s">
        <v>173</v>
      </c>
      <c r="H194" s="13" t="s">
        <v>368</v>
      </c>
      <c r="I194" s="13" t="s">
        <v>906</v>
      </c>
      <c r="J194" s="13"/>
      <c r="K194" s="13" t="s">
        <v>1023</v>
      </c>
      <c r="L194" s="13" t="s">
        <v>1024</v>
      </c>
      <c r="M194" s="13"/>
      <c r="N194" s="9" t="str">
        <f>HYPERLINK("https://pubmed.ncbi.nlm.nih.gov/39644510/","abrir")</f>
        <v>abrir</v>
      </c>
      <c r="O194" s="10" t="b">
        <f t="shared" si="1"/>
        <v>1</v>
      </c>
    </row>
    <row r="195" ht="60.0" customHeight="1">
      <c r="A195" s="13" t="s">
        <v>1038</v>
      </c>
      <c r="B195" s="14">
        <v>2025.0</v>
      </c>
      <c r="C195" s="13" t="s">
        <v>1039</v>
      </c>
      <c r="D195" s="13" t="s">
        <v>1040</v>
      </c>
      <c r="E195" s="13" t="s">
        <v>1041</v>
      </c>
      <c r="F195" s="13" t="s">
        <v>1042</v>
      </c>
      <c r="G195" s="13" t="s">
        <v>184</v>
      </c>
      <c r="H195" s="13" t="s">
        <v>368</v>
      </c>
      <c r="I195" s="13" t="s">
        <v>906</v>
      </c>
      <c r="J195" s="13"/>
      <c r="K195" s="13" t="s">
        <v>1023</v>
      </c>
      <c r="L195" s="13" t="s">
        <v>1024</v>
      </c>
      <c r="M195" s="13"/>
      <c r="N195" s="9" t="str">
        <f>HYPERLINK("https://pubmed.ncbi.nlm.nih.gov/39920731/","abrir")</f>
        <v>abrir</v>
      </c>
      <c r="O195" s="10" t="b">
        <f t="shared" si="1"/>
        <v>1</v>
      </c>
    </row>
    <row r="196" ht="60.0" customHeight="1">
      <c r="A196" s="13" t="s">
        <v>1043</v>
      </c>
      <c r="B196" s="14">
        <v>2025.0</v>
      </c>
      <c r="C196" s="13" t="s">
        <v>1044</v>
      </c>
      <c r="D196" s="13" t="s">
        <v>1045</v>
      </c>
      <c r="E196" s="13" t="s">
        <v>1046</v>
      </c>
      <c r="F196" s="13" t="s">
        <v>1047</v>
      </c>
      <c r="G196" s="13" t="s">
        <v>96</v>
      </c>
      <c r="H196" s="13" t="s">
        <v>368</v>
      </c>
      <c r="I196" s="13" t="s">
        <v>906</v>
      </c>
      <c r="J196" s="13"/>
      <c r="K196" s="13" t="s">
        <v>1023</v>
      </c>
      <c r="L196" s="13" t="s">
        <v>1024</v>
      </c>
      <c r="M196" s="13"/>
      <c r="N196" s="9" t="str">
        <f>HYPERLINK("https://pubmed.ncbi.nlm.nih.gov/39960922/","abrir")</f>
        <v>abrir</v>
      </c>
      <c r="O196" s="10" t="b">
        <f t="shared" si="1"/>
        <v>1</v>
      </c>
    </row>
    <row r="197" ht="60.0" customHeight="1">
      <c r="A197" s="13" t="s">
        <v>1048</v>
      </c>
      <c r="B197" s="14">
        <v>2025.0</v>
      </c>
      <c r="C197" s="13" t="s">
        <v>1049</v>
      </c>
      <c r="D197" s="13" t="s">
        <v>1050</v>
      </c>
      <c r="E197" s="13" t="s">
        <v>1051</v>
      </c>
      <c r="F197" s="13" t="s">
        <v>1052</v>
      </c>
      <c r="G197" s="13" t="s">
        <v>96</v>
      </c>
      <c r="H197" s="13" t="s">
        <v>126</v>
      </c>
      <c r="I197" s="13" t="s">
        <v>906</v>
      </c>
      <c r="J197" s="13"/>
      <c r="K197" s="13" t="s">
        <v>1023</v>
      </c>
      <c r="L197" s="13" t="s">
        <v>1024</v>
      </c>
      <c r="M197" s="13"/>
      <c r="N197" s="9" t="str">
        <f>HYPERLINK("https://pubmed.ncbi.nlm.nih.gov/40150110/","abrir")</f>
        <v>abrir</v>
      </c>
      <c r="O197" s="10" t="b">
        <f t="shared" si="1"/>
        <v>1</v>
      </c>
    </row>
    <row r="198" ht="60.0" customHeight="1">
      <c r="A198" s="13" t="s">
        <v>1053</v>
      </c>
      <c r="B198" s="14">
        <v>2025.0</v>
      </c>
      <c r="C198" s="13" t="s">
        <v>1054</v>
      </c>
      <c r="D198" s="13" t="s">
        <v>1055</v>
      </c>
      <c r="E198" s="13" t="s">
        <v>1056</v>
      </c>
      <c r="F198" s="13" t="s">
        <v>1022</v>
      </c>
      <c r="G198" s="13" t="s">
        <v>96</v>
      </c>
      <c r="H198" s="13" t="s">
        <v>368</v>
      </c>
      <c r="I198" s="13" t="s">
        <v>906</v>
      </c>
      <c r="J198" s="13"/>
      <c r="K198" s="13" t="s">
        <v>1023</v>
      </c>
      <c r="L198" s="13" t="s">
        <v>1024</v>
      </c>
      <c r="M198" s="13"/>
      <c r="N198" s="9" t="str">
        <f>HYPERLINK("https://pubmed.ncbi.nlm.nih.gov/40491497/","abrir")</f>
        <v>abrir</v>
      </c>
      <c r="O198" s="10" t="b">
        <f t="shared" si="1"/>
        <v>1</v>
      </c>
    </row>
    <row r="199" ht="60.0" customHeight="1">
      <c r="A199" s="13" t="s">
        <v>1057</v>
      </c>
      <c r="B199" s="14">
        <v>2025.0</v>
      </c>
      <c r="C199" s="13" t="s">
        <v>1058</v>
      </c>
      <c r="D199" s="13" t="s">
        <v>1059</v>
      </c>
      <c r="E199" s="13" t="s">
        <v>1060</v>
      </c>
      <c r="F199" s="13" t="s">
        <v>913</v>
      </c>
      <c r="G199" s="13" t="s">
        <v>125</v>
      </c>
      <c r="H199" s="13" t="s">
        <v>368</v>
      </c>
      <c r="I199" s="13" t="s">
        <v>906</v>
      </c>
      <c r="J199" s="13"/>
      <c r="K199" s="13" t="s">
        <v>1023</v>
      </c>
      <c r="L199" s="13" t="s">
        <v>1024</v>
      </c>
      <c r="M199" s="13"/>
      <c r="N199" s="9" t="str">
        <f>HYPERLINK("https://pubmed.ncbi.nlm.nih.gov/40615580/","abrir")</f>
        <v>abrir</v>
      </c>
      <c r="O199" s="10" t="b">
        <f t="shared" si="1"/>
        <v>1</v>
      </c>
    </row>
    <row r="200" ht="60.0" customHeight="1">
      <c r="A200" s="13" t="s">
        <v>1061</v>
      </c>
      <c r="B200" s="14">
        <v>2025.0</v>
      </c>
      <c r="C200" s="13" t="s">
        <v>1062</v>
      </c>
      <c r="D200" s="13" t="s">
        <v>1063</v>
      </c>
      <c r="E200" s="13" t="s">
        <v>1064</v>
      </c>
      <c r="F200" s="13" t="s">
        <v>1065</v>
      </c>
      <c r="G200" s="13" t="s">
        <v>96</v>
      </c>
      <c r="H200" s="13" t="s">
        <v>368</v>
      </c>
      <c r="I200" s="13" t="s">
        <v>906</v>
      </c>
      <c r="J200" s="13"/>
      <c r="K200" s="13" t="s">
        <v>1023</v>
      </c>
      <c r="L200" s="13" t="s">
        <v>1024</v>
      </c>
      <c r="M200" s="13"/>
      <c r="N200" s="9" t="str">
        <f>HYPERLINK("https://pubmed.ncbi.nlm.nih.gov/40894389/","abrir")</f>
        <v>abrir</v>
      </c>
      <c r="O200" s="10" t="b">
        <f t="shared" si="1"/>
        <v>1</v>
      </c>
    </row>
    <row r="201" ht="60.0" customHeight="1">
      <c r="A201" s="13" t="s">
        <v>1066</v>
      </c>
      <c r="B201" s="14">
        <v>2025.0</v>
      </c>
      <c r="C201" s="13" t="s">
        <v>1067</v>
      </c>
      <c r="D201" s="13" t="s">
        <v>1068</v>
      </c>
      <c r="E201" s="13" t="s">
        <v>1069</v>
      </c>
      <c r="F201" s="13" t="s">
        <v>947</v>
      </c>
      <c r="G201" s="13" t="s">
        <v>96</v>
      </c>
      <c r="H201" s="13" t="s">
        <v>368</v>
      </c>
      <c r="I201" s="13" t="s">
        <v>906</v>
      </c>
      <c r="J201" s="13"/>
      <c r="K201" s="13" t="s">
        <v>1023</v>
      </c>
      <c r="L201" s="13" t="s">
        <v>1024</v>
      </c>
      <c r="M201" s="13"/>
      <c r="N201" s="9" t="str">
        <f>HYPERLINK("https://pubmed.ncbi.nlm.nih.gov/41060971/","abrir")</f>
        <v>abrir</v>
      </c>
      <c r="O201" s="10" t="b">
        <f t="shared" si="1"/>
        <v>1</v>
      </c>
    </row>
    <row r="202" ht="60.0" customHeight="1">
      <c r="A202" s="13" t="s">
        <v>1070</v>
      </c>
      <c r="B202" s="14">
        <v>2025.0</v>
      </c>
      <c r="C202" s="13" t="s">
        <v>1071</v>
      </c>
      <c r="D202" s="13" t="s">
        <v>1072</v>
      </c>
      <c r="E202" s="13" t="s">
        <v>1073</v>
      </c>
      <c r="F202" s="13" t="s">
        <v>372</v>
      </c>
      <c r="G202" s="13" t="s">
        <v>125</v>
      </c>
      <c r="H202" s="13" t="s">
        <v>368</v>
      </c>
      <c r="I202" s="13" t="s">
        <v>906</v>
      </c>
      <c r="J202" s="13"/>
      <c r="K202" s="13" t="s">
        <v>1023</v>
      </c>
      <c r="L202" s="13" t="s">
        <v>1024</v>
      </c>
      <c r="M202" s="13"/>
      <c r="N202" s="9" t="str">
        <f>HYPERLINK("https://pubmed.ncbi.nlm.nih.gov/41191637/","abrir")</f>
        <v>abrir</v>
      </c>
      <c r="O202" s="10" t="b">
        <f t="shared" si="1"/>
        <v>1</v>
      </c>
    </row>
    <row r="203" ht="60.0" customHeight="1">
      <c r="A203" s="13" t="s">
        <v>1074</v>
      </c>
      <c r="B203" s="14">
        <v>2024.0</v>
      </c>
      <c r="C203" s="13" t="s">
        <v>1075</v>
      </c>
      <c r="D203" s="13" t="s">
        <v>1076</v>
      </c>
      <c r="E203" s="13" t="s">
        <v>1077</v>
      </c>
      <c r="F203" s="13" t="s">
        <v>684</v>
      </c>
      <c r="G203" s="13" t="s">
        <v>184</v>
      </c>
      <c r="H203" s="13" t="s">
        <v>368</v>
      </c>
      <c r="I203" s="13" t="s">
        <v>906</v>
      </c>
      <c r="J203" s="13"/>
      <c r="K203" s="13" t="s">
        <v>1023</v>
      </c>
      <c r="L203" s="13" t="s">
        <v>1024</v>
      </c>
      <c r="M203" s="13"/>
      <c r="N203" s="9" t="str">
        <f>HYPERLINK("https://pubmed.ncbi.nlm.nih.gov/38112514/","abrir")</f>
        <v>abrir</v>
      </c>
      <c r="O203" s="10" t="b">
        <f t="shared" si="1"/>
        <v>1</v>
      </c>
    </row>
    <row r="204" ht="60.0" customHeight="1">
      <c r="A204" s="13" t="s">
        <v>1078</v>
      </c>
      <c r="B204" s="14">
        <v>2024.0</v>
      </c>
      <c r="C204" s="13" t="s">
        <v>1079</v>
      </c>
      <c r="D204" s="13" t="s">
        <v>1080</v>
      </c>
      <c r="E204" s="13" t="s">
        <v>1081</v>
      </c>
      <c r="F204" s="13" t="s">
        <v>1082</v>
      </c>
      <c r="G204" s="13" t="s">
        <v>96</v>
      </c>
      <c r="H204" s="13" t="s">
        <v>368</v>
      </c>
      <c r="I204" s="13" t="s">
        <v>906</v>
      </c>
      <c r="J204" s="13"/>
      <c r="K204" s="13" t="s">
        <v>1023</v>
      </c>
      <c r="L204" s="13" t="s">
        <v>1024</v>
      </c>
      <c r="M204" s="13"/>
      <c r="N204" s="9" t="str">
        <f>HYPERLINK("https://pubmed.ncbi.nlm.nih.gov/39040373/","abrir")</f>
        <v>abrir</v>
      </c>
      <c r="O204" s="10" t="b">
        <f t="shared" si="1"/>
        <v>1</v>
      </c>
    </row>
    <row r="205" ht="60.0" customHeight="1">
      <c r="A205" s="13" t="s">
        <v>1083</v>
      </c>
      <c r="B205" s="14">
        <v>2024.0</v>
      </c>
      <c r="C205" s="13" t="s">
        <v>1084</v>
      </c>
      <c r="D205" s="13" t="s">
        <v>1085</v>
      </c>
      <c r="E205" s="13" t="s">
        <v>1086</v>
      </c>
      <c r="F205" s="13" t="s">
        <v>447</v>
      </c>
      <c r="G205" s="13" t="s">
        <v>96</v>
      </c>
      <c r="H205" s="13" t="s">
        <v>368</v>
      </c>
      <c r="I205" s="13" t="s">
        <v>906</v>
      </c>
      <c r="J205" s="13"/>
      <c r="K205" s="13" t="s">
        <v>1023</v>
      </c>
      <c r="L205" s="13" t="s">
        <v>1024</v>
      </c>
      <c r="M205" s="13"/>
      <c r="N205" s="9" t="str">
        <f>HYPERLINK("https://pubmed.ncbi.nlm.nih.gov/39242988/","abrir")</f>
        <v>abrir</v>
      </c>
      <c r="O205" s="10" t="b">
        <f t="shared" si="1"/>
        <v>1</v>
      </c>
    </row>
    <row r="206" ht="60.0" customHeight="1">
      <c r="A206" s="13" t="s">
        <v>1087</v>
      </c>
      <c r="B206" s="14">
        <v>2024.0</v>
      </c>
      <c r="C206" s="13" t="s">
        <v>1088</v>
      </c>
      <c r="D206" s="13" t="s">
        <v>1089</v>
      </c>
      <c r="E206" s="13" t="s">
        <v>1090</v>
      </c>
      <c r="F206" s="13" t="s">
        <v>1091</v>
      </c>
      <c r="G206" s="13" t="s">
        <v>163</v>
      </c>
      <c r="H206" s="13" t="s">
        <v>368</v>
      </c>
      <c r="I206" s="13" t="s">
        <v>906</v>
      </c>
      <c r="J206" s="13"/>
      <c r="K206" s="13" t="s">
        <v>1023</v>
      </c>
      <c r="L206" s="13" t="s">
        <v>1024</v>
      </c>
      <c r="M206" s="13"/>
      <c r="N206" s="9" t="str">
        <f>HYPERLINK("https://pubmed.ncbi.nlm.nih.gov/39766857/","abrir")</f>
        <v>abrir</v>
      </c>
      <c r="O206" s="10" t="b">
        <f t="shared" si="1"/>
        <v>1</v>
      </c>
    </row>
    <row r="207" ht="60.0" customHeight="1">
      <c r="A207" s="13" t="s">
        <v>1092</v>
      </c>
      <c r="B207" s="14">
        <v>2024.0</v>
      </c>
      <c r="C207" s="13" t="s">
        <v>1093</v>
      </c>
      <c r="D207" s="13" t="s">
        <v>1094</v>
      </c>
      <c r="E207" s="13" t="s">
        <v>1095</v>
      </c>
      <c r="F207" s="13" t="s">
        <v>1096</v>
      </c>
      <c r="G207" s="13" t="s">
        <v>96</v>
      </c>
      <c r="H207" s="13" t="s">
        <v>368</v>
      </c>
      <c r="I207" s="13" t="s">
        <v>906</v>
      </c>
      <c r="J207" s="13"/>
      <c r="K207" s="13" t="s">
        <v>1023</v>
      </c>
      <c r="L207" s="13" t="s">
        <v>1024</v>
      </c>
      <c r="M207" s="13"/>
      <c r="N207" s="9" t="str">
        <f>HYPERLINK("https://pubmed.ncbi.nlm.nih.gov/39770268/","abrir")</f>
        <v>abrir</v>
      </c>
      <c r="O207" s="10" t="b">
        <f t="shared" si="1"/>
        <v>1</v>
      </c>
    </row>
    <row r="208" ht="60.0" customHeight="1">
      <c r="A208" s="13" t="s">
        <v>1097</v>
      </c>
      <c r="B208" s="14">
        <v>2024.0</v>
      </c>
      <c r="C208" s="13" t="s">
        <v>1098</v>
      </c>
      <c r="D208" s="13" t="s">
        <v>1099</v>
      </c>
      <c r="E208" s="13" t="s">
        <v>1100</v>
      </c>
      <c r="F208" s="13" t="s">
        <v>1101</v>
      </c>
      <c r="G208" s="13" t="s">
        <v>96</v>
      </c>
      <c r="H208" s="13" t="s">
        <v>368</v>
      </c>
      <c r="I208" s="13" t="s">
        <v>906</v>
      </c>
      <c r="J208" s="13"/>
      <c r="K208" s="13" t="s">
        <v>1023</v>
      </c>
      <c r="L208" s="13" t="s">
        <v>1024</v>
      </c>
      <c r="M208" s="13"/>
      <c r="N208" s="9" t="str">
        <f>HYPERLINK("https://pubmed.ncbi.nlm.nih.gov/39872004/","abrir")</f>
        <v>abrir</v>
      </c>
      <c r="O208" s="10" t="b">
        <f t="shared" si="1"/>
        <v>1</v>
      </c>
    </row>
    <row r="209" ht="60.0" customHeight="1">
      <c r="A209" s="13" t="s">
        <v>1102</v>
      </c>
      <c r="B209" s="14">
        <v>2023.0</v>
      </c>
      <c r="C209" s="13" t="s">
        <v>1103</v>
      </c>
      <c r="D209" s="13" t="s">
        <v>1104</v>
      </c>
      <c r="E209" s="13" t="s">
        <v>1105</v>
      </c>
      <c r="F209" s="13" t="s">
        <v>1106</v>
      </c>
      <c r="G209" s="13" t="s">
        <v>96</v>
      </c>
      <c r="H209" s="13" t="s">
        <v>368</v>
      </c>
      <c r="I209" s="13" t="s">
        <v>906</v>
      </c>
      <c r="J209" s="13"/>
      <c r="K209" s="13" t="s">
        <v>1023</v>
      </c>
      <c r="L209" s="13" t="s">
        <v>1024</v>
      </c>
      <c r="M209" s="13"/>
      <c r="N209" s="9" t="str">
        <f>HYPERLINK("https://pubmed.ncbi.nlm.nih.gov/36939534/","abrir")</f>
        <v>abrir</v>
      </c>
      <c r="O209" s="10" t="b">
        <f t="shared" si="1"/>
        <v>0</v>
      </c>
    </row>
    <row r="210" ht="60.0" customHeight="1">
      <c r="A210" s="13" t="s">
        <v>1107</v>
      </c>
      <c r="B210" s="14">
        <v>2023.0</v>
      </c>
      <c r="C210" s="13" t="s">
        <v>1108</v>
      </c>
      <c r="D210" s="13" t="s">
        <v>1109</v>
      </c>
      <c r="E210" s="13" t="s">
        <v>1110</v>
      </c>
      <c r="F210" s="13" t="s">
        <v>298</v>
      </c>
      <c r="G210" s="13" t="s">
        <v>1111</v>
      </c>
      <c r="H210" s="13" t="s">
        <v>368</v>
      </c>
      <c r="I210" s="13" t="s">
        <v>906</v>
      </c>
      <c r="J210" s="13"/>
      <c r="K210" s="13" t="s">
        <v>1023</v>
      </c>
      <c r="L210" s="13" t="s">
        <v>1024</v>
      </c>
      <c r="M210" s="13"/>
      <c r="N210" s="9" t="str">
        <f>HYPERLINK("https://pubmed.ncbi.nlm.nih.gov/37226326/","abrir")</f>
        <v>abrir</v>
      </c>
      <c r="O210" s="10" t="b">
        <f t="shared" si="1"/>
        <v>0</v>
      </c>
    </row>
    <row r="211" ht="60.0" customHeight="1">
      <c r="A211" s="13" t="s">
        <v>1112</v>
      </c>
      <c r="B211" s="14">
        <v>2023.0</v>
      </c>
      <c r="C211" s="13" t="s">
        <v>1113</v>
      </c>
      <c r="D211" s="13" t="s">
        <v>1114</v>
      </c>
      <c r="E211" s="13" t="s">
        <v>1115</v>
      </c>
      <c r="F211" s="13" t="s">
        <v>1116</v>
      </c>
      <c r="G211" s="13" t="s">
        <v>96</v>
      </c>
      <c r="H211" s="13" t="s">
        <v>97</v>
      </c>
      <c r="I211" s="13" t="s">
        <v>906</v>
      </c>
      <c r="J211" s="13"/>
      <c r="K211" s="13" t="s">
        <v>1023</v>
      </c>
      <c r="L211" s="13" t="s">
        <v>1024</v>
      </c>
      <c r="M211" s="13"/>
      <c r="N211" s="9" t="str">
        <f>HYPERLINK("https://pubmed.ncbi.nlm.nih.gov/37471660/","abrir")</f>
        <v>abrir</v>
      </c>
      <c r="O211" s="10" t="b">
        <f t="shared" si="1"/>
        <v>0</v>
      </c>
    </row>
    <row r="212" ht="60.0" customHeight="1">
      <c r="A212" s="13" t="s">
        <v>1117</v>
      </c>
      <c r="B212" s="14">
        <v>2023.0</v>
      </c>
      <c r="C212" s="13" t="s">
        <v>1118</v>
      </c>
      <c r="D212" s="13" t="s">
        <v>1119</v>
      </c>
      <c r="E212" s="13" t="s">
        <v>1120</v>
      </c>
      <c r="F212" s="13" t="s">
        <v>1121</v>
      </c>
      <c r="G212" s="13" t="s">
        <v>96</v>
      </c>
      <c r="H212" s="13" t="s">
        <v>368</v>
      </c>
      <c r="I212" s="13" t="s">
        <v>906</v>
      </c>
      <c r="J212" s="13"/>
      <c r="K212" s="13" t="s">
        <v>1023</v>
      </c>
      <c r="L212" s="13" t="s">
        <v>1024</v>
      </c>
      <c r="M212" s="13"/>
      <c r="N212" s="9" t="str">
        <f>HYPERLINK("https://pubmed.ncbi.nlm.nih.gov/37606120/","abrir")</f>
        <v>abrir</v>
      </c>
      <c r="O212" s="10" t="b">
        <f t="shared" si="1"/>
        <v>0</v>
      </c>
    </row>
    <row r="213" ht="60.0" customHeight="1">
      <c r="A213" s="13" t="s">
        <v>1122</v>
      </c>
      <c r="B213" s="14">
        <v>2023.0</v>
      </c>
      <c r="C213" s="13" t="s">
        <v>1113</v>
      </c>
      <c r="D213" s="13" t="s">
        <v>1123</v>
      </c>
      <c r="E213" s="13" t="s">
        <v>1124</v>
      </c>
      <c r="F213" s="13" t="s">
        <v>1125</v>
      </c>
      <c r="G213" s="13" t="s">
        <v>184</v>
      </c>
      <c r="H213" s="13" t="s">
        <v>368</v>
      </c>
      <c r="I213" s="13" t="s">
        <v>906</v>
      </c>
      <c r="J213" s="13"/>
      <c r="K213" s="13" t="s">
        <v>1023</v>
      </c>
      <c r="L213" s="13" t="s">
        <v>1024</v>
      </c>
      <c r="M213" s="13"/>
      <c r="N213" s="9" t="str">
        <f>HYPERLINK("https://pubmed.ncbi.nlm.nih.gov/37689607/","abrir")</f>
        <v>abrir</v>
      </c>
      <c r="O213" s="10" t="b">
        <f t="shared" si="1"/>
        <v>0</v>
      </c>
    </row>
    <row r="214" ht="60.0" customHeight="1">
      <c r="A214" s="13" t="s">
        <v>1126</v>
      </c>
      <c r="B214" s="14">
        <v>2023.0</v>
      </c>
      <c r="C214" s="13" t="s">
        <v>1127</v>
      </c>
      <c r="D214" s="13" t="s">
        <v>1128</v>
      </c>
      <c r="E214" s="13" t="s">
        <v>1129</v>
      </c>
      <c r="F214" s="13" t="s">
        <v>934</v>
      </c>
      <c r="G214" s="13" t="s">
        <v>96</v>
      </c>
      <c r="H214" s="13" t="s">
        <v>368</v>
      </c>
      <c r="I214" s="13" t="s">
        <v>906</v>
      </c>
      <c r="J214" s="13"/>
      <c r="K214" s="13" t="s">
        <v>1023</v>
      </c>
      <c r="L214" s="13" t="s">
        <v>1024</v>
      </c>
      <c r="M214" s="13"/>
      <c r="N214" s="9" t="str">
        <f>HYPERLINK("https://pubmed.ncbi.nlm.nih.gov/37806662/","abrir")</f>
        <v>abrir</v>
      </c>
      <c r="O214" s="10" t="b">
        <f t="shared" si="1"/>
        <v>0</v>
      </c>
    </row>
    <row r="215" ht="60.0" customHeight="1">
      <c r="A215" s="13" t="s">
        <v>1130</v>
      </c>
      <c r="B215" s="14">
        <v>2023.0</v>
      </c>
      <c r="C215" s="13" t="s">
        <v>1131</v>
      </c>
      <c r="D215" s="13" t="s">
        <v>1132</v>
      </c>
      <c r="E215" s="13" t="s">
        <v>1133</v>
      </c>
      <c r="F215" s="13" t="s">
        <v>1134</v>
      </c>
      <c r="G215" s="13" t="s">
        <v>96</v>
      </c>
      <c r="H215" s="13" t="s">
        <v>368</v>
      </c>
      <c r="I215" s="13" t="s">
        <v>906</v>
      </c>
      <c r="J215" s="13"/>
      <c r="K215" s="13" t="s">
        <v>1023</v>
      </c>
      <c r="L215" s="13" t="s">
        <v>1024</v>
      </c>
      <c r="M215" s="13"/>
      <c r="N215" s="9" t="str">
        <f>HYPERLINK("https://pubmed.ncbi.nlm.nih.gov/38008506/","abrir")</f>
        <v>abrir</v>
      </c>
      <c r="O215" s="10" t="b">
        <f t="shared" si="1"/>
        <v>0</v>
      </c>
    </row>
    <row r="216" ht="60.0" customHeight="1">
      <c r="A216" s="13" t="s">
        <v>1135</v>
      </c>
      <c r="B216" s="14">
        <v>2022.0</v>
      </c>
      <c r="C216" s="13" t="s">
        <v>1136</v>
      </c>
      <c r="D216" s="13" t="s">
        <v>1137</v>
      </c>
      <c r="E216" s="13" t="s">
        <v>1138</v>
      </c>
      <c r="F216" s="13" t="s">
        <v>1139</v>
      </c>
      <c r="G216" s="13" t="s">
        <v>96</v>
      </c>
      <c r="H216" s="13" t="s">
        <v>368</v>
      </c>
      <c r="I216" s="13" t="s">
        <v>906</v>
      </c>
      <c r="J216" s="13"/>
      <c r="K216" s="13" t="s">
        <v>1023</v>
      </c>
      <c r="L216" s="13" t="s">
        <v>1024</v>
      </c>
      <c r="M216" s="13"/>
      <c r="N216" s="9" t="str">
        <f>HYPERLINK("https://pubmed.ncbi.nlm.nih.gov/34533609/","abrir")</f>
        <v>abrir</v>
      </c>
      <c r="O216" s="10" t="b">
        <f t="shared" si="1"/>
        <v>0</v>
      </c>
    </row>
    <row r="217" ht="60.0" customHeight="1">
      <c r="A217" s="13" t="s">
        <v>1140</v>
      </c>
      <c r="B217" s="14">
        <v>2022.0</v>
      </c>
      <c r="C217" s="13" t="s">
        <v>1141</v>
      </c>
      <c r="D217" s="13" t="s">
        <v>1142</v>
      </c>
      <c r="E217" s="13" t="s">
        <v>1143</v>
      </c>
      <c r="F217" s="13" t="s">
        <v>1144</v>
      </c>
      <c r="G217" s="13" t="s">
        <v>1145</v>
      </c>
      <c r="H217" s="13" t="s">
        <v>368</v>
      </c>
      <c r="I217" s="13" t="s">
        <v>906</v>
      </c>
      <c r="J217" s="13"/>
      <c r="K217" s="13" t="s">
        <v>1023</v>
      </c>
      <c r="L217" s="13" t="s">
        <v>1024</v>
      </c>
      <c r="M217" s="13"/>
      <c r="N217" s="9" t="str">
        <f>HYPERLINK("https://pubmed.ncbi.nlm.nih.gov/35085538/","abrir")</f>
        <v>abrir</v>
      </c>
      <c r="O217" s="10" t="b">
        <f t="shared" si="1"/>
        <v>0</v>
      </c>
    </row>
    <row r="218" ht="60.0" customHeight="1">
      <c r="A218" s="13" t="s">
        <v>1146</v>
      </c>
      <c r="B218" s="14">
        <v>2022.0</v>
      </c>
      <c r="C218" s="13" t="s">
        <v>1147</v>
      </c>
      <c r="D218" s="13" t="s">
        <v>1148</v>
      </c>
      <c r="E218" s="13" t="s">
        <v>1149</v>
      </c>
      <c r="F218" s="13" t="s">
        <v>1150</v>
      </c>
      <c r="G218" s="13" t="s">
        <v>96</v>
      </c>
      <c r="H218" s="13" t="s">
        <v>97</v>
      </c>
      <c r="I218" s="13" t="s">
        <v>906</v>
      </c>
      <c r="J218" s="13"/>
      <c r="K218" s="13" t="s">
        <v>1023</v>
      </c>
      <c r="L218" s="13" t="s">
        <v>1024</v>
      </c>
      <c r="M218" s="13"/>
      <c r="N218" s="9" t="str">
        <f>HYPERLINK("https://pubmed.ncbi.nlm.nih.gov/35169781/","abrir")</f>
        <v>abrir</v>
      </c>
      <c r="O218" s="10" t="b">
        <f t="shared" si="1"/>
        <v>0</v>
      </c>
    </row>
    <row r="219" ht="60.0" customHeight="1">
      <c r="A219" s="13" t="s">
        <v>1151</v>
      </c>
      <c r="B219" s="14">
        <v>2022.0</v>
      </c>
      <c r="C219" s="13" t="s">
        <v>1152</v>
      </c>
      <c r="D219" s="13" t="s">
        <v>1153</v>
      </c>
      <c r="E219" s="13" t="s">
        <v>1154</v>
      </c>
      <c r="F219" s="13" t="s">
        <v>298</v>
      </c>
      <c r="G219" s="13" t="s">
        <v>163</v>
      </c>
      <c r="H219" s="13" t="s">
        <v>368</v>
      </c>
      <c r="I219" s="13" t="s">
        <v>906</v>
      </c>
      <c r="J219" s="13"/>
      <c r="K219" s="13" t="s">
        <v>1023</v>
      </c>
      <c r="L219" s="13" t="s">
        <v>1024</v>
      </c>
      <c r="M219" s="13"/>
      <c r="N219" s="9" t="str">
        <f>HYPERLINK("https://pubmed.ncbi.nlm.nih.gov/35278232/","abrir")</f>
        <v>abrir</v>
      </c>
      <c r="O219" s="10" t="b">
        <f t="shared" si="1"/>
        <v>0</v>
      </c>
    </row>
    <row r="220" ht="60.0" customHeight="1">
      <c r="A220" s="13" t="s">
        <v>1155</v>
      </c>
      <c r="B220" s="14">
        <v>2022.0</v>
      </c>
      <c r="C220" s="13" t="s">
        <v>1156</v>
      </c>
      <c r="D220" s="13" t="s">
        <v>1157</v>
      </c>
      <c r="E220" s="13" t="s">
        <v>1158</v>
      </c>
      <c r="F220" s="13" t="s">
        <v>1159</v>
      </c>
      <c r="G220" s="13" t="s">
        <v>1160</v>
      </c>
      <c r="H220" s="13" t="s">
        <v>368</v>
      </c>
      <c r="I220" s="13" t="s">
        <v>906</v>
      </c>
      <c r="J220" s="13"/>
      <c r="K220" s="13" t="s">
        <v>1023</v>
      </c>
      <c r="L220" s="13" t="s">
        <v>1024</v>
      </c>
      <c r="M220" s="13"/>
      <c r="N220" s="9" t="str">
        <f>HYPERLINK("https://pubmed.ncbi.nlm.nih.gov/35644554/","abrir")</f>
        <v>abrir</v>
      </c>
      <c r="O220" s="10" t="b">
        <f t="shared" si="1"/>
        <v>0</v>
      </c>
    </row>
    <row r="221" ht="60.0" customHeight="1">
      <c r="A221" s="13" t="s">
        <v>1161</v>
      </c>
      <c r="B221" s="14">
        <v>2022.0</v>
      </c>
      <c r="C221" s="13" t="s">
        <v>1162</v>
      </c>
      <c r="D221" s="13" t="s">
        <v>1163</v>
      </c>
      <c r="E221" s="13" t="s">
        <v>1164</v>
      </c>
      <c r="F221" s="13" t="s">
        <v>1165</v>
      </c>
      <c r="G221" s="13" t="s">
        <v>96</v>
      </c>
      <c r="H221" s="13" t="s">
        <v>368</v>
      </c>
      <c r="I221" s="13" t="s">
        <v>906</v>
      </c>
      <c r="J221" s="13"/>
      <c r="K221" s="13" t="s">
        <v>1023</v>
      </c>
      <c r="L221" s="13" t="s">
        <v>1024</v>
      </c>
      <c r="M221" s="13"/>
      <c r="N221" s="9" t="str">
        <f>HYPERLINK("https://pubmed.ncbi.nlm.nih.gov/36099005/","abrir")</f>
        <v>abrir</v>
      </c>
      <c r="O221" s="10" t="b">
        <f t="shared" si="1"/>
        <v>0</v>
      </c>
    </row>
    <row r="222" ht="60.0" customHeight="1">
      <c r="A222" s="13" t="s">
        <v>1166</v>
      </c>
      <c r="B222" s="14">
        <v>2022.0</v>
      </c>
      <c r="C222" s="13" t="s">
        <v>1167</v>
      </c>
      <c r="D222" s="13" t="s">
        <v>1168</v>
      </c>
      <c r="E222" s="13" t="s">
        <v>1169</v>
      </c>
      <c r="F222" s="13" t="s">
        <v>298</v>
      </c>
      <c r="G222" s="13" t="s">
        <v>1170</v>
      </c>
      <c r="H222" s="13" t="s">
        <v>368</v>
      </c>
      <c r="I222" s="13" t="s">
        <v>906</v>
      </c>
      <c r="J222" s="13"/>
      <c r="K222" s="13" t="s">
        <v>1023</v>
      </c>
      <c r="L222" s="13" t="s">
        <v>1024</v>
      </c>
      <c r="M222" s="13"/>
      <c r="N222" s="9" t="str">
        <f>HYPERLINK("https://pubmed.ncbi.nlm.nih.gov/36336878/","abrir")</f>
        <v>abrir</v>
      </c>
      <c r="O222" s="10" t="b">
        <f t="shared" si="1"/>
        <v>0</v>
      </c>
    </row>
    <row r="223" ht="60.0" customHeight="1">
      <c r="A223" s="13" t="s">
        <v>1171</v>
      </c>
      <c r="B223" s="14">
        <v>2022.0</v>
      </c>
      <c r="C223" s="13" t="s">
        <v>1172</v>
      </c>
      <c r="D223" s="13" t="s">
        <v>1173</v>
      </c>
      <c r="E223" s="13" t="s">
        <v>1174</v>
      </c>
      <c r="F223" s="13" t="s">
        <v>1091</v>
      </c>
      <c r="G223" s="13" t="s">
        <v>96</v>
      </c>
      <c r="H223" s="13" t="s">
        <v>368</v>
      </c>
      <c r="I223" s="13" t="s">
        <v>906</v>
      </c>
      <c r="J223" s="13"/>
      <c r="K223" s="13" t="s">
        <v>1023</v>
      </c>
      <c r="L223" s="13" t="s">
        <v>1024</v>
      </c>
      <c r="M223" s="13"/>
      <c r="N223" s="9" t="str">
        <f>HYPERLINK("https://pubmed.ncbi.nlm.nih.gov/36360264/","abrir")</f>
        <v>abrir</v>
      </c>
      <c r="O223" s="10" t="b">
        <f t="shared" si="1"/>
        <v>0</v>
      </c>
    </row>
    <row r="224" ht="60.0" customHeight="1">
      <c r="A224" s="13" t="s">
        <v>1175</v>
      </c>
      <c r="B224" s="14">
        <v>2021.0</v>
      </c>
      <c r="C224" s="13" t="s">
        <v>1176</v>
      </c>
      <c r="D224" s="13" t="s">
        <v>1177</v>
      </c>
      <c r="E224" s="13" t="s">
        <v>1178</v>
      </c>
      <c r="F224" s="13" t="s">
        <v>1179</v>
      </c>
      <c r="G224" s="13" t="s">
        <v>96</v>
      </c>
      <c r="H224" s="13" t="s">
        <v>368</v>
      </c>
      <c r="I224" s="13" t="s">
        <v>906</v>
      </c>
      <c r="J224" s="13"/>
      <c r="K224" s="13" t="s">
        <v>1023</v>
      </c>
      <c r="L224" s="13" t="s">
        <v>1024</v>
      </c>
      <c r="M224" s="13"/>
      <c r="N224" s="9" t="str">
        <f>HYPERLINK("https://pubmed.ncbi.nlm.nih.gov/31900003/","abrir")</f>
        <v>abrir</v>
      </c>
      <c r="O224" s="10" t="b">
        <f t="shared" si="1"/>
        <v>0</v>
      </c>
    </row>
    <row r="225" ht="60.0" customHeight="1">
      <c r="A225" s="13" t="s">
        <v>1180</v>
      </c>
      <c r="B225" s="14">
        <v>2021.0</v>
      </c>
      <c r="C225" s="13" t="s">
        <v>1181</v>
      </c>
      <c r="D225" s="13" t="s">
        <v>1182</v>
      </c>
      <c r="E225" s="13" t="s">
        <v>1183</v>
      </c>
      <c r="F225" s="13" t="s">
        <v>298</v>
      </c>
      <c r="G225" s="13" t="s">
        <v>96</v>
      </c>
      <c r="H225" s="13" t="s">
        <v>368</v>
      </c>
      <c r="I225" s="13" t="s">
        <v>906</v>
      </c>
      <c r="J225" s="13"/>
      <c r="K225" s="13" t="s">
        <v>1023</v>
      </c>
      <c r="L225" s="13" t="s">
        <v>1024</v>
      </c>
      <c r="M225" s="13"/>
      <c r="N225" s="9" t="str">
        <f>HYPERLINK("https://pubmed.ncbi.nlm.nih.gov/33009680/","abrir")</f>
        <v>abrir</v>
      </c>
      <c r="O225" s="10" t="b">
        <f t="shared" si="1"/>
        <v>0</v>
      </c>
    </row>
    <row r="226" ht="60.0" customHeight="1">
      <c r="A226" s="13" t="s">
        <v>1184</v>
      </c>
      <c r="B226" s="14">
        <v>2021.0</v>
      </c>
      <c r="C226" s="13" t="s">
        <v>1185</v>
      </c>
      <c r="D226" s="13" t="s">
        <v>1186</v>
      </c>
      <c r="E226" s="13" t="s">
        <v>1187</v>
      </c>
      <c r="F226" s="13" t="s">
        <v>1188</v>
      </c>
      <c r="G226" s="13" t="s">
        <v>184</v>
      </c>
      <c r="H226" s="13" t="s">
        <v>368</v>
      </c>
      <c r="I226" s="13" t="s">
        <v>906</v>
      </c>
      <c r="J226" s="13"/>
      <c r="K226" s="13" t="s">
        <v>1023</v>
      </c>
      <c r="L226" s="13" t="s">
        <v>1024</v>
      </c>
      <c r="M226" s="13"/>
      <c r="N226" s="9" t="str">
        <f>HYPERLINK("https://pubmed.ncbi.nlm.nih.gov/33230826/","abrir")</f>
        <v>abrir</v>
      </c>
      <c r="O226" s="10" t="b">
        <f t="shared" si="1"/>
        <v>0</v>
      </c>
    </row>
    <row r="227" ht="60.0" customHeight="1">
      <c r="A227" s="13" t="s">
        <v>1189</v>
      </c>
      <c r="B227" s="14">
        <v>2021.0</v>
      </c>
      <c r="C227" s="13" t="s">
        <v>1190</v>
      </c>
      <c r="D227" s="13" t="s">
        <v>1191</v>
      </c>
      <c r="E227" s="13" t="s">
        <v>1192</v>
      </c>
      <c r="F227" s="13" t="s">
        <v>1144</v>
      </c>
      <c r="G227" s="13" t="s">
        <v>645</v>
      </c>
      <c r="H227" s="13" t="s">
        <v>368</v>
      </c>
      <c r="I227" s="13" t="s">
        <v>906</v>
      </c>
      <c r="J227" s="13"/>
      <c r="K227" s="13" t="s">
        <v>1023</v>
      </c>
      <c r="L227" s="13" t="s">
        <v>1024</v>
      </c>
      <c r="M227" s="13"/>
      <c r="N227" s="9" t="str">
        <f>HYPERLINK("https://pubmed.ncbi.nlm.nih.gov/33460583/","abrir")</f>
        <v>abrir</v>
      </c>
      <c r="O227" s="10" t="b">
        <f t="shared" si="1"/>
        <v>0</v>
      </c>
    </row>
    <row r="228" ht="60.0" customHeight="1">
      <c r="A228" s="13" t="s">
        <v>1193</v>
      </c>
      <c r="B228" s="14">
        <v>2021.0</v>
      </c>
      <c r="C228" s="13" t="s">
        <v>1194</v>
      </c>
      <c r="D228" s="13" t="s">
        <v>1195</v>
      </c>
      <c r="E228" s="13" t="s">
        <v>1196</v>
      </c>
      <c r="F228" s="13" t="s">
        <v>684</v>
      </c>
      <c r="G228" s="13" t="s">
        <v>1197</v>
      </c>
      <c r="H228" s="13" t="s">
        <v>368</v>
      </c>
      <c r="I228" s="13" t="s">
        <v>906</v>
      </c>
      <c r="J228" s="13"/>
      <c r="K228" s="13" t="s">
        <v>1023</v>
      </c>
      <c r="L228" s="13" t="s">
        <v>1024</v>
      </c>
      <c r="M228" s="13"/>
      <c r="N228" s="9" t="str">
        <f>HYPERLINK("https://pubmed.ncbi.nlm.nih.gov/33838069/","abrir")</f>
        <v>abrir</v>
      </c>
      <c r="O228" s="10" t="b">
        <f t="shared" si="1"/>
        <v>0</v>
      </c>
    </row>
    <row r="229" ht="60.0" customHeight="1">
      <c r="A229" s="13" t="s">
        <v>1198</v>
      </c>
      <c r="B229" s="14">
        <v>2021.0</v>
      </c>
      <c r="C229" s="13" t="s">
        <v>1199</v>
      </c>
      <c r="D229" s="13" t="s">
        <v>1200</v>
      </c>
      <c r="E229" s="13" t="s">
        <v>1201</v>
      </c>
      <c r="F229" s="13" t="s">
        <v>1042</v>
      </c>
      <c r="G229" s="13" t="s">
        <v>96</v>
      </c>
      <c r="H229" s="13" t="s">
        <v>368</v>
      </c>
      <c r="I229" s="13" t="s">
        <v>906</v>
      </c>
      <c r="J229" s="13"/>
      <c r="K229" s="13" t="s">
        <v>1023</v>
      </c>
      <c r="L229" s="13" t="s">
        <v>1024</v>
      </c>
      <c r="M229" s="13"/>
      <c r="N229" s="9" t="str">
        <f>HYPERLINK("https://pubmed.ncbi.nlm.nih.gov/33853619/","abrir")</f>
        <v>abrir</v>
      </c>
      <c r="O229" s="10" t="b">
        <f t="shared" si="1"/>
        <v>0</v>
      </c>
    </row>
    <row r="230" ht="60.0" customHeight="1">
      <c r="A230" s="13" t="s">
        <v>1202</v>
      </c>
      <c r="B230" s="14">
        <v>2021.0</v>
      </c>
      <c r="C230" s="13" t="s">
        <v>1203</v>
      </c>
      <c r="D230" s="13" t="s">
        <v>1204</v>
      </c>
      <c r="E230" s="13" t="s">
        <v>1205</v>
      </c>
      <c r="F230" s="13" t="s">
        <v>549</v>
      </c>
      <c r="G230" s="13" t="s">
        <v>96</v>
      </c>
      <c r="H230" s="13" t="s">
        <v>368</v>
      </c>
      <c r="I230" s="13" t="s">
        <v>906</v>
      </c>
      <c r="J230" s="13"/>
      <c r="K230" s="13" t="s">
        <v>1023</v>
      </c>
      <c r="L230" s="13" t="s">
        <v>1024</v>
      </c>
      <c r="M230" s="13"/>
      <c r="N230" s="9" t="str">
        <f>HYPERLINK("https://pubmed.ncbi.nlm.nih.gov/33884933/","abrir")</f>
        <v>abrir</v>
      </c>
      <c r="O230" s="10" t="b">
        <f t="shared" si="1"/>
        <v>0</v>
      </c>
    </row>
    <row r="231" ht="60.0" customHeight="1">
      <c r="A231" s="13" t="s">
        <v>1206</v>
      </c>
      <c r="B231" s="14">
        <v>2021.0</v>
      </c>
      <c r="C231" s="13" t="s">
        <v>1207</v>
      </c>
      <c r="D231" s="13" t="s">
        <v>1208</v>
      </c>
      <c r="E231" s="13" t="s">
        <v>1209</v>
      </c>
      <c r="F231" s="13" t="s">
        <v>1210</v>
      </c>
      <c r="G231" s="13" t="s">
        <v>645</v>
      </c>
      <c r="H231" s="13" t="s">
        <v>368</v>
      </c>
      <c r="I231" s="13" t="s">
        <v>906</v>
      </c>
      <c r="J231" s="13"/>
      <c r="K231" s="13" t="s">
        <v>1023</v>
      </c>
      <c r="L231" s="13" t="s">
        <v>1024</v>
      </c>
      <c r="M231" s="13"/>
      <c r="N231" s="9" t="str">
        <f>HYPERLINK("https://pubmed.ncbi.nlm.nih.gov/33957658/","abrir")</f>
        <v>abrir</v>
      </c>
      <c r="O231" s="10" t="b">
        <f t="shared" si="1"/>
        <v>0</v>
      </c>
    </row>
    <row r="232" ht="60.0" customHeight="1">
      <c r="A232" s="13" t="s">
        <v>1211</v>
      </c>
      <c r="B232" s="14">
        <v>2021.0</v>
      </c>
      <c r="C232" s="13" t="s">
        <v>1212</v>
      </c>
      <c r="D232" s="13" t="s">
        <v>1213</v>
      </c>
      <c r="E232" s="13" t="s">
        <v>1214</v>
      </c>
      <c r="F232" s="13" t="s">
        <v>1215</v>
      </c>
      <c r="G232" s="13" t="s">
        <v>96</v>
      </c>
      <c r="H232" s="13" t="s">
        <v>368</v>
      </c>
      <c r="I232" s="13" t="s">
        <v>906</v>
      </c>
      <c r="J232" s="13"/>
      <c r="K232" s="13" t="s">
        <v>1023</v>
      </c>
      <c r="L232" s="13" t="s">
        <v>1024</v>
      </c>
      <c r="M232" s="13"/>
      <c r="N232" s="9" t="str">
        <f>HYPERLINK("https://pubmed.ncbi.nlm.nih.gov/34025125/","abrir")</f>
        <v>abrir</v>
      </c>
      <c r="O232" s="10" t="b">
        <f t="shared" si="1"/>
        <v>0</v>
      </c>
    </row>
    <row r="233" ht="60.0" customHeight="1">
      <c r="A233" s="13" t="s">
        <v>1216</v>
      </c>
      <c r="B233" s="14">
        <v>2021.0</v>
      </c>
      <c r="C233" s="13" t="s">
        <v>1217</v>
      </c>
      <c r="D233" s="13" t="s">
        <v>1218</v>
      </c>
      <c r="E233" s="13" t="s">
        <v>1219</v>
      </c>
      <c r="F233" s="13" t="s">
        <v>1101</v>
      </c>
      <c r="G233" s="13" t="s">
        <v>96</v>
      </c>
      <c r="H233" s="13" t="s">
        <v>368</v>
      </c>
      <c r="I233" s="13" t="s">
        <v>906</v>
      </c>
      <c r="J233" s="13"/>
      <c r="K233" s="13" t="s">
        <v>1023</v>
      </c>
      <c r="L233" s="13" t="s">
        <v>1024</v>
      </c>
      <c r="M233" s="13"/>
      <c r="N233" s="9" t="str">
        <f>HYPERLINK("https://pubmed.ncbi.nlm.nih.gov/34040638/","abrir")</f>
        <v>abrir</v>
      </c>
      <c r="O233" s="10" t="b">
        <f t="shared" si="1"/>
        <v>0</v>
      </c>
    </row>
    <row r="234" ht="60.0" customHeight="1">
      <c r="A234" s="13" t="s">
        <v>1220</v>
      </c>
      <c r="B234" s="14">
        <v>2021.0</v>
      </c>
      <c r="C234" s="13" t="s">
        <v>1221</v>
      </c>
      <c r="D234" s="13" t="s">
        <v>1222</v>
      </c>
      <c r="E234" s="13" t="s">
        <v>1223</v>
      </c>
      <c r="F234" s="13" t="s">
        <v>1224</v>
      </c>
      <c r="G234" s="13" t="s">
        <v>96</v>
      </c>
      <c r="H234" s="13" t="s">
        <v>368</v>
      </c>
      <c r="I234" s="13" t="s">
        <v>906</v>
      </c>
      <c r="J234" s="13"/>
      <c r="K234" s="13" t="s">
        <v>1023</v>
      </c>
      <c r="L234" s="13" t="s">
        <v>1024</v>
      </c>
      <c r="M234" s="13"/>
      <c r="N234" s="9" t="str">
        <f>HYPERLINK("https://pubmed.ncbi.nlm.nih.gov/34127051/","abrir")</f>
        <v>abrir</v>
      </c>
      <c r="O234" s="10" t="b">
        <f t="shared" si="1"/>
        <v>0</v>
      </c>
    </row>
    <row r="235" ht="60.0" customHeight="1">
      <c r="A235" s="13" t="s">
        <v>1225</v>
      </c>
      <c r="B235" s="14">
        <v>2021.0</v>
      </c>
      <c r="C235" s="13" t="s">
        <v>1226</v>
      </c>
      <c r="D235" s="13" t="s">
        <v>1227</v>
      </c>
      <c r="E235" s="13" t="s">
        <v>1228</v>
      </c>
      <c r="F235" s="13" t="s">
        <v>1022</v>
      </c>
      <c r="G235" s="13" t="s">
        <v>96</v>
      </c>
      <c r="H235" s="13" t="s">
        <v>368</v>
      </c>
      <c r="I235" s="13" t="s">
        <v>906</v>
      </c>
      <c r="J235" s="13"/>
      <c r="K235" s="13" t="s">
        <v>1023</v>
      </c>
      <c r="L235" s="13" t="s">
        <v>1024</v>
      </c>
      <c r="M235" s="13"/>
      <c r="N235" s="9" t="str">
        <f>HYPERLINK("https://pubmed.ncbi.nlm.nih.gov/34876859/","abrir")</f>
        <v>abrir</v>
      </c>
      <c r="O235" s="10" t="b">
        <f t="shared" si="1"/>
        <v>0</v>
      </c>
    </row>
    <row r="236" ht="60.0" customHeight="1">
      <c r="A236" s="13" t="s">
        <v>1229</v>
      </c>
      <c r="B236" s="14">
        <v>2020.0</v>
      </c>
      <c r="C236" s="13" t="s">
        <v>1230</v>
      </c>
      <c r="D236" s="13" t="s">
        <v>1231</v>
      </c>
      <c r="E236" s="13" t="s">
        <v>1232</v>
      </c>
      <c r="F236" s="13" t="s">
        <v>684</v>
      </c>
      <c r="G236" s="13" t="s">
        <v>312</v>
      </c>
      <c r="H236" s="13" t="s">
        <v>368</v>
      </c>
      <c r="I236" s="13" t="s">
        <v>906</v>
      </c>
      <c r="J236" s="13"/>
      <c r="K236" s="13" t="s">
        <v>1023</v>
      </c>
      <c r="L236" s="13" t="s">
        <v>1024</v>
      </c>
      <c r="M236" s="13"/>
      <c r="N236" s="9" t="str">
        <f>HYPERLINK("https://pubmed.ncbi.nlm.nih.gov/31671482/","abrir")</f>
        <v>abrir</v>
      </c>
      <c r="O236" s="10" t="b">
        <f t="shared" si="1"/>
        <v>0</v>
      </c>
    </row>
    <row r="237" ht="60.0" customHeight="1">
      <c r="A237" s="13" t="s">
        <v>1233</v>
      </c>
      <c r="B237" s="14">
        <v>2020.0</v>
      </c>
      <c r="C237" s="13" t="s">
        <v>1234</v>
      </c>
      <c r="D237" s="13" t="s">
        <v>1235</v>
      </c>
      <c r="E237" s="13" t="s">
        <v>1236</v>
      </c>
      <c r="F237" s="13" t="s">
        <v>298</v>
      </c>
      <c r="G237" s="13" t="s">
        <v>96</v>
      </c>
      <c r="H237" s="13" t="s">
        <v>368</v>
      </c>
      <c r="I237" s="13" t="s">
        <v>906</v>
      </c>
      <c r="J237" s="13"/>
      <c r="K237" s="13" t="s">
        <v>1023</v>
      </c>
      <c r="L237" s="13" t="s">
        <v>1024</v>
      </c>
      <c r="M237" s="13"/>
      <c r="N237" s="9" t="str">
        <f>HYPERLINK("https://pubmed.ncbi.nlm.nih.gov/31697852/","abrir")</f>
        <v>abrir</v>
      </c>
      <c r="O237" s="10" t="b">
        <f t="shared" si="1"/>
        <v>0</v>
      </c>
    </row>
    <row r="238" ht="60.0" customHeight="1">
      <c r="A238" s="13" t="s">
        <v>1237</v>
      </c>
      <c r="B238" s="14">
        <v>2020.0</v>
      </c>
      <c r="C238" s="13" t="s">
        <v>1185</v>
      </c>
      <c r="D238" s="13" t="s">
        <v>1238</v>
      </c>
      <c r="E238" s="13" t="s">
        <v>1239</v>
      </c>
      <c r="F238" s="13" t="s">
        <v>298</v>
      </c>
      <c r="G238" s="13" t="s">
        <v>96</v>
      </c>
      <c r="H238" s="13" t="s">
        <v>368</v>
      </c>
      <c r="I238" s="13" t="s">
        <v>906</v>
      </c>
      <c r="J238" s="13"/>
      <c r="K238" s="13" t="s">
        <v>1023</v>
      </c>
      <c r="L238" s="13" t="s">
        <v>1024</v>
      </c>
      <c r="M238" s="13"/>
      <c r="N238" s="9" t="str">
        <f>HYPERLINK("https://pubmed.ncbi.nlm.nih.gov/31769052/","abrir")</f>
        <v>abrir</v>
      </c>
      <c r="O238" s="10" t="b">
        <f t="shared" si="1"/>
        <v>0</v>
      </c>
    </row>
    <row r="239" ht="60.0" customHeight="1">
      <c r="A239" s="13" t="s">
        <v>1240</v>
      </c>
      <c r="B239" s="14">
        <v>2020.0</v>
      </c>
      <c r="C239" s="13" t="s">
        <v>1241</v>
      </c>
      <c r="D239" s="13" t="s">
        <v>1242</v>
      </c>
      <c r="E239" s="13" t="s">
        <v>1243</v>
      </c>
      <c r="F239" s="13" t="s">
        <v>1244</v>
      </c>
      <c r="G239" s="13" t="s">
        <v>184</v>
      </c>
      <c r="H239" s="13" t="s">
        <v>368</v>
      </c>
      <c r="I239" s="13" t="s">
        <v>906</v>
      </c>
      <c r="J239" s="13"/>
      <c r="K239" s="13" t="s">
        <v>1023</v>
      </c>
      <c r="L239" s="13" t="s">
        <v>1024</v>
      </c>
      <c r="M239" s="13"/>
      <c r="N239" s="9" t="str">
        <f>HYPERLINK("https://pubmed.ncbi.nlm.nih.gov/32067421/","abrir")</f>
        <v>abrir</v>
      </c>
      <c r="O239" s="10" t="b">
        <f t="shared" si="1"/>
        <v>0</v>
      </c>
    </row>
    <row r="240" ht="60.0" customHeight="1">
      <c r="A240" s="13" t="s">
        <v>1245</v>
      </c>
      <c r="B240" s="14">
        <v>2020.0</v>
      </c>
      <c r="C240" s="13" t="s">
        <v>1246</v>
      </c>
      <c r="D240" s="13" t="s">
        <v>1247</v>
      </c>
      <c r="E240" s="13" t="s">
        <v>1248</v>
      </c>
      <c r="F240" s="13" t="s">
        <v>1249</v>
      </c>
      <c r="G240" s="13" t="s">
        <v>96</v>
      </c>
      <c r="H240" s="13" t="s">
        <v>368</v>
      </c>
      <c r="I240" s="13" t="s">
        <v>906</v>
      </c>
      <c r="J240" s="13"/>
      <c r="K240" s="13" t="s">
        <v>1023</v>
      </c>
      <c r="L240" s="13" t="s">
        <v>1024</v>
      </c>
      <c r="M240" s="13"/>
      <c r="N240" s="9" t="str">
        <f>HYPERLINK("https://pubmed.ncbi.nlm.nih.gov/32658420/","abrir")</f>
        <v>abrir</v>
      </c>
      <c r="O240" s="10" t="b">
        <f t="shared" si="1"/>
        <v>0</v>
      </c>
    </row>
    <row r="241" ht="60.0" customHeight="1">
      <c r="A241" s="13" t="s">
        <v>1250</v>
      </c>
      <c r="B241" s="14">
        <v>2020.0</v>
      </c>
      <c r="C241" s="13" t="s">
        <v>1251</v>
      </c>
      <c r="D241" s="13" t="s">
        <v>1252</v>
      </c>
      <c r="E241" s="13" t="s">
        <v>1253</v>
      </c>
      <c r="F241" s="13" t="s">
        <v>1101</v>
      </c>
      <c r="G241" s="13" t="s">
        <v>96</v>
      </c>
      <c r="H241" s="13" t="s">
        <v>368</v>
      </c>
      <c r="I241" s="13" t="s">
        <v>906</v>
      </c>
      <c r="J241" s="13"/>
      <c r="K241" s="13" t="s">
        <v>1023</v>
      </c>
      <c r="L241" s="13" t="s">
        <v>1024</v>
      </c>
      <c r="M241" s="13"/>
      <c r="N241" s="9" t="str">
        <f>HYPERLINK("https://pubmed.ncbi.nlm.nih.gov/32695138/","abrir")</f>
        <v>abrir</v>
      </c>
      <c r="O241" s="10" t="b">
        <f t="shared" si="1"/>
        <v>0</v>
      </c>
    </row>
    <row r="242" ht="60.0" customHeight="1">
      <c r="A242" s="13" t="s">
        <v>1254</v>
      </c>
      <c r="B242" s="14">
        <v>2020.0</v>
      </c>
      <c r="C242" s="13" t="s">
        <v>1255</v>
      </c>
      <c r="D242" s="13" t="s">
        <v>1256</v>
      </c>
      <c r="E242" s="13" t="s">
        <v>1257</v>
      </c>
      <c r="F242" s="13" t="s">
        <v>1258</v>
      </c>
      <c r="G242" s="13" t="s">
        <v>96</v>
      </c>
      <c r="H242" s="13" t="s">
        <v>368</v>
      </c>
      <c r="I242" s="13" t="s">
        <v>906</v>
      </c>
      <c r="J242" s="13"/>
      <c r="K242" s="13" t="s">
        <v>1023</v>
      </c>
      <c r="L242" s="13" t="s">
        <v>1024</v>
      </c>
      <c r="M242" s="13"/>
      <c r="N242" s="9" t="str">
        <f>HYPERLINK("https://pubmed.ncbi.nlm.nih.gov/32721841/","abrir")</f>
        <v>abrir</v>
      </c>
      <c r="O242" s="10" t="b">
        <f t="shared" si="1"/>
        <v>0</v>
      </c>
    </row>
    <row r="243" ht="60.0" customHeight="1">
      <c r="A243" s="13" t="s">
        <v>1259</v>
      </c>
      <c r="B243" s="14">
        <v>2020.0</v>
      </c>
      <c r="C243" s="13" t="s">
        <v>1260</v>
      </c>
      <c r="D243" s="13" t="s">
        <v>1261</v>
      </c>
      <c r="E243" s="13" t="s">
        <v>1262</v>
      </c>
      <c r="F243" s="13" t="s">
        <v>1263</v>
      </c>
      <c r="G243" s="13" t="s">
        <v>184</v>
      </c>
      <c r="H243" s="13" t="s">
        <v>368</v>
      </c>
      <c r="I243" s="13" t="s">
        <v>906</v>
      </c>
      <c r="J243" s="13"/>
      <c r="K243" s="13" t="s">
        <v>1023</v>
      </c>
      <c r="L243" s="13" t="s">
        <v>1024</v>
      </c>
      <c r="M243" s="13"/>
      <c r="N243" s="9" t="str">
        <f>HYPERLINK("https://pubmed.ncbi.nlm.nih.gov/33069877/","abrir")</f>
        <v>abrir</v>
      </c>
      <c r="O243" s="10" t="b">
        <f t="shared" si="1"/>
        <v>0</v>
      </c>
    </row>
    <row r="244" ht="60.0" customHeight="1">
      <c r="A244" s="13" t="s">
        <v>1264</v>
      </c>
      <c r="B244" s="14">
        <v>2020.0</v>
      </c>
      <c r="C244" s="13" t="s">
        <v>1265</v>
      </c>
      <c r="D244" s="13" t="s">
        <v>1266</v>
      </c>
      <c r="E244" s="13" t="s">
        <v>1267</v>
      </c>
      <c r="F244" s="13" t="s">
        <v>1268</v>
      </c>
      <c r="G244" s="13" t="s">
        <v>96</v>
      </c>
      <c r="H244" s="13" t="s">
        <v>368</v>
      </c>
      <c r="I244" s="13" t="s">
        <v>906</v>
      </c>
      <c r="J244" s="13"/>
      <c r="K244" s="13" t="s">
        <v>1023</v>
      </c>
      <c r="L244" s="13" t="s">
        <v>1024</v>
      </c>
      <c r="M244" s="13"/>
      <c r="N244" s="9" t="str">
        <f>HYPERLINK("https://pubmed.ncbi.nlm.nih.gov/33143018/","abrir")</f>
        <v>abrir</v>
      </c>
      <c r="O244" s="10" t="b">
        <f t="shared" si="1"/>
        <v>0</v>
      </c>
    </row>
    <row r="245" ht="60.0" customHeight="1">
      <c r="A245" s="13" t="s">
        <v>1269</v>
      </c>
      <c r="B245" s="14">
        <v>2019.0</v>
      </c>
      <c r="C245" s="13" t="s">
        <v>1270</v>
      </c>
      <c r="D245" s="13" t="s">
        <v>1271</v>
      </c>
      <c r="E245" s="13" t="s">
        <v>1272</v>
      </c>
      <c r="F245" s="13" t="s">
        <v>684</v>
      </c>
      <c r="G245" s="13" t="s">
        <v>312</v>
      </c>
      <c r="H245" s="13" t="s">
        <v>368</v>
      </c>
      <c r="I245" s="13" t="s">
        <v>906</v>
      </c>
      <c r="J245" s="13"/>
      <c r="K245" s="13" t="s">
        <v>1023</v>
      </c>
      <c r="L245" s="13" t="s">
        <v>1024</v>
      </c>
      <c r="M245" s="13"/>
      <c r="N245" s="9" t="str">
        <f>HYPERLINK("https://pubmed.ncbi.nlm.nih.gov/30014528/","abrir")</f>
        <v>abrir</v>
      </c>
      <c r="O245" s="10" t="b">
        <f t="shared" si="1"/>
        <v>0</v>
      </c>
    </row>
    <row r="246" ht="60.0" customHeight="1">
      <c r="A246" s="13" t="s">
        <v>1273</v>
      </c>
      <c r="B246" s="14">
        <v>2019.0</v>
      </c>
      <c r="C246" s="13" t="s">
        <v>1274</v>
      </c>
      <c r="D246" s="13" t="s">
        <v>1275</v>
      </c>
      <c r="E246" s="13" t="s">
        <v>1276</v>
      </c>
      <c r="F246" s="13" t="s">
        <v>684</v>
      </c>
      <c r="G246" s="13" t="s">
        <v>1277</v>
      </c>
      <c r="H246" s="13" t="s">
        <v>368</v>
      </c>
      <c r="I246" s="13" t="s">
        <v>906</v>
      </c>
      <c r="J246" s="13"/>
      <c r="K246" s="13" t="s">
        <v>1023</v>
      </c>
      <c r="L246" s="13" t="s">
        <v>1024</v>
      </c>
      <c r="M246" s="13"/>
      <c r="N246" s="9" t="str">
        <f>HYPERLINK("https://pubmed.ncbi.nlm.nih.gov/30191619/","abrir")</f>
        <v>abrir</v>
      </c>
      <c r="O246" s="10" t="b">
        <f t="shared" si="1"/>
        <v>0</v>
      </c>
    </row>
    <row r="247" ht="60.0" customHeight="1">
      <c r="A247" s="13" t="s">
        <v>1278</v>
      </c>
      <c r="B247" s="14">
        <v>2019.0</v>
      </c>
      <c r="C247" s="13" t="s">
        <v>1279</v>
      </c>
      <c r="D247" s="13" t="s">
        <v>1280</v>
      </c>
      <c r="E247" s="13" t="s">
        <v>1281</v>
      </c>
      <c r="F247" s="13" t="s">
        <v>684</v>
      </c>
      <c r="G247" s="13" t="s">
        <v>645</v>
      </c>
      <c r="H247" s="13" t="s">
        <v>368</v>
      </c>
      <c r="I247" s="13" t="s">
        <v>906</v>
      </c>
      <c r="J247" s="13"/>
      <c r="K247" s="13" t="s">
        <v>1023</v>
      </c>
      <c r="L247" s="13" t="s">
        <v>1024</v>
      </c>
      <c r="M247" s="13"/>
      <c r="N247" s="9" t="str">
        <f>HYPERLINK("https://pubmed.ncbi.nlm.nih.gov/30353581/","abrir")</f>
        <v>abrir</v>
      </c>
      <c r="O247" s="10" t="b">
        <f t="shared" si="1"/>
        <v>0</v>
      </c>
    </row>
    <row r="248" ht="60.0" customHeight="1">
      <c r="A248" s="13" t="s">
        <v>1282</v>
      </c>
      <c r="B248" s="14">
        <v>2019.0</v>
      </c>
      <c r="C248" s="13" t="s">
        <v>1283</v>
      </c>
      <c r="D248" s="13" t="s">
        <v>1284</v>
      </c>
      <c r="E248" s="13" t="s">
        <v>1285</v>
      </c>
      <c r="F248" s="13" t="s">
        <v>1244</v>
      </c>
      <c r="G248" s="13" t="s">
        <v>312</v>
      </c>
      <c r="H248" s="13" t="s">
        <v>368</v>
      </c>
      <c r="I248" s="13" t="s">
        <v>906</v>
      </c>
      <c r="J248" s="13"/>
      <c r="K248" s="13" t="s">
        <v>1023</v>
      </c>
      <c r="L248" s="13" t="s">
        <v>1024</v>
      </c>
      <c r="M248" s="13"/>
      <c r="N248" s="9" t="str">
        <f>HYPERLINK("https://pubmed.ncbi.nlm.nih.gov/30706702/","abrir")</f>
        <v>abrir</v>
      </c>
      <c r="O248" s="10" t="b">
        <f t="shared" si="1"/>
        <v>0</v>
      </c>
    </row>
    <row r="249" ht="60.0" customHeight="1">
      <c r="A249" s="13" t="s">
        <v>1286</v>
      </c>
      <c r="B249" s="14">
        <v>2019.0</v>
      </c>
      <c r="C249" s="13" t="s">
        <v>1287</v>
      </c>
      <c r="D249" s="13" t="s">
        <v>1288</v>
      </c>
      <c r="E249" s="13" t="s">
        <v>1289</v>
      </c>
      <c r="F249" s="13" t="s">
        <v>1290</v>
      </c>
      <c r="G249" s="13" t="s">
        <v>184</v>
      </c>
      <c r="H249" s="13" t="s">
        <v>368</v>
      </c>
      <c r="I249" s="13" t="s">
        <v>906</v>
      </c>
      <c r="J249" s="13"/>
      <c r="K249" s="13" t="s">
        <v>1023</v>
      </c>
      <c r="L249" s="13" t="s">
        <v>1024</v>
      </c>
      <c r="M249" s="13"/>
      <c r="N249" s="9" t="str">
        <f>HYPERLINK("https://pubmed.ncbi.nlm.nih.gov/31231136/","abrir")</f>
        <v>abrir</v>
      </c>
      <c r="O249" s="10" t="b">
        <f t="shared" si="1"/>
        <v>0</v>
      </c>
    </row>
    <row r="250" ht="60.0" customHeight="1">
      <c r="A250" s="13" t="s">
        <v>1291</v>
      </c>
      <c r="B250" s="14">
        <v>2019.0</v>
      </c>
      <c r="C250" s="13" t="s">
        <v>1292</v>
      </c>
      <c r="D250" s="13" t="s">
        <v>1293</v>
      </c>
      <c r="E250" s="13" t="s">
        <v>1294</v>
      </c>
      <c r="F250" s="13" t="s">
        <v>1295</v>
      </c>
      <c r="G250" s="13" t="s">
        <v>96</v>
      </c>
      <c r="H250" s="13" t="s">
        <v>368</v>
      </c>
      <c r="I250" s="13" t="s">
        <v>906</v>
      </c>
      <c r="J250" s="13"/>
      <c r="K250" s="13" t="s">
        <v>1023</v>
      </c>
      <c r="L250" s="13" t="s">
        <v>1024</v>
      </c>
      <c r="M250" s="13"/>
      <c r="N250" s="9" t="str">
        <f>HYPERLINK("https://pubmed.ncbi.nlm.nih.gov/31539354/","abrir")</f>
        <v>abrir</v>
      </c>
      <c r="O250" s="10" t="b">
        <f t="shared" si="1"/>
        <v>0</v>
      </c>
    </row>
    <row r="251" ht="60.0" customHeight="1">
      <c r="A251" s="13" t="s">
        <v>1296</v>
      </c>
      <c r="B251" s="14">
        <v>2018.0</v>
      </c>
      <c r="C251" s="13" t="s">
        <v>1297</v>
      </c>
      <c r="D251" s="13" t="s">
        <v>1298</v>
      </c>
      <c r="E251" s="13" t="s">
        <v>1299</v>
      </c>
      <c r="F251" s="13" t="s">
        <v>576</v>
      </c>
      <c r="G251" s="13" t="s">
        <v>312</v>
      </c>
      <c r="H251" s="13" t="s">
        <v>368</v>
      </c>
      <c r="I251" s="13" t="s">
        <v>906</v>
      </c>
      <c r="J251" s="13"/>
      <c r="K251" s="13" t="s">
        <v>1023</v>
      </c>
      <c r="L251" s="13" t="s">
        <v>1024</v>
      </c>
      <c r="M251" s="13"/>
      <c r="N251" s="9" t="str">
        <f>HYPERLINK("https://pubmed.ncbi.nlm.nih.gov/28553771/","abrir")</f>
        <v>abrir</v>
      </c>
      <c r="O251" s="10" t="b">
        <f t="shared" si="1"/>
        <v>0</v>
      </c>
    </row>
    <row r="252" ht="60.0" customHeight="1">
      <c r="A252" s="13" t="s">
        <v>1300</v>
      </c>
      <c r="B252" s="14">
        <v>2018.0</v>
      </c>
      <c r="C252" s="13" t="s">
        <v>1301</v>
      </c>
      <c r="D252" s="13" t="s">
        <v>1302</v>
      </c>
      <c r="E252" s="13" t="s">
        <v>1303</v>
      </c>
      <c r="F252" s="13" t="s">
        <v>684</v>
      </c>
      <c r="G252" s="13" t="s">
        <v>426</v>
      </c>
      <c r="H252" s="13" t="s">
        <v>368</v>
      </c>
      <c r="I252" s="13" t="s">
        <v>906</v>
      </c>
      <c r="J252" s="13"/>
      <c r="K252" s="13" t="s">
        <v>1023</v>
      </c>
      <c r="L252" s="13" t="s">
        <v>1024</v>
      </c>
      <c r="M252" s="13"/>
      <c r="N252" s="9" t="str">
        <f>HYPERLINK("https://pubmed.ncbi.nlm.nih.gov/28640470/","abrir")</f>
        <v>abrir</v>
      </c>
      <c r="O252" s="10" t="b">
        <f t="shared" si="1"/>
        <v>0</v>
      </c>
    </row>
    <row r="253" ht="60.0" customHeight="1">
      <c r="A253" s="13" t="s">
        <v>1304</v>
      </c>
      <c r="B253" s="14">
        <v>2018.0</v>
      </c>
      <c r="C253" s="13" t="s">
        <v>1305</v>
      </c>
      <c r="D253" s="13" t="s">
        <v>1306</v>
      </c>
      <c r="E253" s="13" t="s">
        <v>1307</v>
      </c>
      <c r="F253" s="13" t="s">
        <v>778</v>
      </c>
      <c r="G253" s="13" t="s">
        <v>96</v>
      </c>
      <c r="H253" s="13" t="s">
        <v>368</v>
      </c>
      <c r="I253" s="13" t="s">
        <v>906</v>
      </c>
      <c r="J253" s="13"/>
      <c r="K253" s="13" t="s">
        <v>1023</v>
      </c>
      <c r="L253" s="13" t="s">
        <v>1024</v>
      </c>
      <c r="M253" s="13"/>
      <c r="N253" s="9" t="str">
        <f>HYPERLINK("https://pubmed.ncbi.nlm.nih.gov/29368276/","abrir")</f>
        <v>abrir</v>
      </c>
      <c r="O253" s="10" t="b">
        <f t="shared" si="1"/>
        <v>0</v>
      </c>
    </row>
    <row r="254" ht="60.0" customHeight="1">
      <c r="A254" s="13" t="s">
        <v>1308</v>
      </c>
      <c r="B254" s="14">
        <v>2017.0</v>
      </c>
      <c r="C254" s="13" t="s">
        <v>1309</v>
      </c>
      <c r="D254" s="13" t="s">
        <v>1310</v>
      </c>
      <c r="E254" s="13" t="s">
        <v>1311</v>
      </c>
      <c r="F254" s="13" t="s">
        <v>684</v>
      </c>
      <c r="G254" s="13" t="s">
        <v>1312</v>
      </c>
      <c r="H254" s="13" t="s">
        <v>368</v>
      </c>
      <c r="I254" s="13" t="s">
        <v>906</v>
      </c>
      <c r="J254" s="13"/>
      <c r="K254" s="13" t="s">
        <v>1023</v>
      </c>
      <c r="L254" s="13" t="s">
        <v>1024</v>
      </c>
      <c r="M254" s="13"/>
      <c r="N254" s="9" t="str">
        <f>HYPERLINK("https://pubmed.ncbi.nlm.nih.gov/27549925/","abrir")</f>
        <v>abrir</v>
      </c>
      <c r="O254" s="10" t="b">
        <f t="shared" si="1"/>
        <v>0</v>
      </c>
    </row>
    <row r="255" ht="60.0" customHeight="1">
      <c r="A255" s="13" t="s">
        <v>1313</v>
      </c>
      <c r="B255" s="14">
        <v>2017.0</v>
      </c>
      <c r="C255" s="13" t="s">
        <v>1314</v>
      </c>
      <c r="D255" s="13" t="s">
        <v>1315</v>
      </c>
      <c r="E255" s="13" t="s">
        <v>1316</v>
      </c>
      <c r="F255" s="13" t="s">
        <v>1317</v>
      </c>
      <c r="G255" s="13" t="s">
        <v>96</v>
      </c>
      <c r="H255" s="13" t="s">
        <v>368</v>
      </c>
      <c r="I255" s="13" t="s">
        <v>906</v>
      </c>
      <c r="J255" s="13"/>
      <c r="K255" s="13" t="s">
        <v>1023</v>
      </c>
      <c r="L255" s="13" t="s">
        <v>1024</v>
      </c>
      <c r="M255" s="13"/>
      <c r="N255" s="9" t="str">
        <f>HYPERLINK("https://pubmed.ncbi.nlm.nih.gov/28079901/","abrir")</f>
        <v>abrir</v>
      </c>
      <c r="O255" s="10" t="b">
        <f t="shared" si="1"/>
        <v>0</v>
      </c>
    </row>
    <row r="256" ht="60.0" customHeight="1">
      <c r="A256" s="13" t="s">
        <v>1318</v>
      </c>
      <c r="B256" s="14">
        <v>2017.0</v>
      </c>
      <c r="C256" s="13" t="s">
        <v>1319</v>
      </c>
      <c r="D256" s="13" t="s">
        <v>1320</v>
      </c>
      <c r="E256" s="13" t="s">
        <v>1321</v>
      </c>
      <c r="F256" s="13" t="s">
        <v>684</v>
      </c>
      <c r="G256" s="13" t="s">
        <v>1322</v>
      </c>
      <c r="H256" s="13" t="s">
        <v>368</v>
      </c>
      <c r="I256" s="13" t="s">
        <v>906</v>
      </c>
      <c r="J256" s="13"/>
      <c r="K256" s="13" t="s">
        <v>1023</v>
      </c>
      <c r="L256" s="13" t="s">
        <v>1024</v>
      </c>
      <c r="M256" s="13"/>
      <c r="N256" s="9" t="str">
        <f>HYPERLINK("https://pubmed.ncbi.nlm.nih.gov/28397325/","abrir")</f>
        <v>abrir</v>
      </c>
      <c r="O256" s="10" t="b">
        <f t="shared" si="1"/>
        <v>0</v>
      </c>
    </row>
    <row r="257" ht="60.0" customHeight="1">
      <c r="A257" s="13" t="s">
        <v>1323</v>
      </c>
      <c r="B257" s="14">
        <v>2017.0</v>
      </c>
      <c r="C257" s="13" t="s">
        <v>1324</v>
      </c>
      <c r="D257" s="13" t="s">
        <v>1325</v>
      </c>
      <c r="E257" s="13" t="s">
        <v>1326</v>
      </c>
      <c r="F257" s="13" t="s">
        <v>1139</v>
      </c>
      <c r="G257" s="13" t="s">
        <v>379</v>
      </c>
      <c r="H257" s="13" t="s">
        <v>368</v>
      </c>
      <c r="I257" s="13" t="s">
        <v>906</v>
      </c>
      <c r="J257" s="13"/>
      <c r="K257" s="13" t="s">
        <v>1023</v>
      </c>
      <c r="L257" s="13" t="s">
        <v>1024</v>
      </c>
      <c r="M257" s="13"/>
      <c r="N257" s="9" t="str">
        <f>HYPERLINK("https://pubmed.ncbi.nlm.nih.gov/28887622/","abrir")</f>
        <v>abrir</v>
      </c>
      <c r="O257" s="10" t="b">
        <f t="shared" si="1"/>
        <v>0</v>
      </c>
    </row>
    <row r="258" ht="60.0" customHeight="1">
      <c r="A258" s="13" t="s">
        <v>1327</v>
      </c>
      <c r="B258" s="14">
        <v>2017.0</v>
      </c>
      <c r="C258" s="13" t="s">
        <v>1328</v>
      </c>
      <c r="D258" s="13" t="s">
        <v>1329</v>
      </c>
      <c r="E258" s="13" t="s">
        <v>1330</v>
      </c>
      <c r="F258" s="13" t="s">
        <v>1331</v>
      </c>
      <c r="G258" s="13" t="s">
        <v>373</v>
      </c>
      <c r="H258" s="13" t="s">
        <v>368</v>
      </c>
      <c r="I258" s="13" t="s">
        <v>906</v>
      </c>
      <c r="J258" s="13"/>
      <c r="K258" s="13" t="s">
        <v>1023</v>
      </c>
      <c r="L258" s="13" t="s">
        <v>1024</v>
      </c>
      <c r="M258" s="13"/>
      <c r="N258" s="9" t="str">
        <f>HYPERLINK("https://pubmed.ncbi.nlm.nih.gov/29125628/","abrir")</f>
        <v>abrir</v>
      </c>
      <c r="O258" s="10" t="b">
        <f t="shared" si="1"/>
        <v>0</v>
      </c>
    </row>
    <row r="259" ht="60.0" customHeight="1">
      <c r="A259" s="13" t="s">
        <v>1332</v>
      </c>
      <c r="B259" s="14">
        <v>2016.0</v>
      </c>
      <c r="C259" s="13" t="s">
        <v>1333</v>
      </c>
      <c r="D259" s="13" t="s">
        <v>1334</v>
      </c>
      <c r="E259" s="13" t="s">
        <v>1335</v>
      </c>
      <c r="F259" s="13" t="s">
        <v>1336</v>
      </c>
      <c r="G259" s="13" t="s">
        <v>96</v>
      </c>
      <c r="H259" s="13" t="s">
        <v>368</v>
      </c>
      <c r="I259" s="13" t="s">
        <v>906</v>
      </c>
      <c r="J259" s="13"/>
      <c r="K259" s="13" t="s">
        <v>1023</v>
      </c>
      <c r="L259" s="13" t="s">
        <v>1024</v>
      </c>
      <c r="M259" s="13"/>
      <c r="N259" s="9" t="str">
        <f>HYPERLINK("https://pubmed.ncbi.nlm.nih.gov/25803072/","abrir")</f>
        <v>abrir</v>
      </c>
      <c r="O259" s="10" t="b">
        <f t="shared" si="1"/>
        <v>0</v>
      </c>
    </row>
    <row r="260" ht="60.0" customHeight="1">
      <c r="A260" s="13" t="s">
        <v>1337</v>
      </c>
      <c r="B260" s="14">
        <v>2016.0</v>
      </c>
      <c r="C260" s="13" t="s">
        <v>1319</v>
      </c>
      <c r="D260" s="13" t="s">
        <v>1338</v>
      </c>
      <c r="E260" s="13" t="s">
        <v>1339</v>
      </c>
      <c r="F260" s="13" t="s">
        <v>684</v>
      </c>
      <c r="G260" s="13" t="s">
        <v>184</v>
      </c>
      <c r="H260" s="13" t="s">
        <v>368</v>
      </c>
      <c r="I260" s="13" t="s">
        <v>906</v>
      </c>
      <c r="J260" s="13"/>
      <c r="K260" s="13" t="s">
        <v>1023</v>
      </c>
      <c r="L260" s="13" t="s">
        <v>1024</v>
      </c>
      <c r="M260" s="13"/>
      <c r="N260" s="9" t="str">
        <f>HYPERLINK("https://pubmed.ncbi.nlm.nih.gov/26498918/","abrir")</f>
        <v>abrir</v>
      </c>
      <c r="O260" s="10" t="b">
        <f t="shared" si="1"/>
        <v>0</v>
      </c>
    </row>
    <row r="261" ht="60.0" customHeight="1">
      <c r="A261" s="13" t="s">
        <v>1340</v>
      </c>
      <c r="B261" s="14">
        <v>2016.0</v>
      </c>
      <c r="C261" s="13" t="s">
        <v>1341</v>
      </c>
      <c r="D261" s="13" t="s">
        <v>1342</v>
      </c>
      <c r="E261" s="13" t="s">
        <v>1343</v>
      </c>
      <c r="F261" s="13" t="s">
        <v>1139</v>
      </c>
      <c r="G261" s="13" t="s">
        <v>96</v>
      </c>
      <c r="H261" s="13" t="s">
        <v>368</v>
      </c>
      <c r="I261" s="13" t="s">
        <v>906</v>
      </c>
      <c r="J261" s="13"/>
      <c r="K261" s="13" t="s">
        <v>1023</v>
      </c>
      <c r="L261" s="13" t="s">
        <v>1024</v>
      </c>
      <c r="M261" s="13"/>
      <c r="N261" s="9" t="str">
        <f>HYPERLINK("https://pubmed.ncbi.nlm.nih.gov/26538356/","abrir")</f>
        <v>abrir</v>
      </c>
      <c r="O261" s="10" t="b">
        <f t="shared" si="1"/>
        <v>0</v>
      </c>
    </row>
    <row r="262" ht="60.0" customHeight="1">
      <c r="A262" s="13" t="s">
        <v>1344</v>
      </c>
      <c r="B262" s="14">
        <v>2016.0</v>
      </c>
      <c r="C262" s="13" t="s">
        <v>1345</v>
      </c>
      <c r="D262" s="13" t="s">
        <v>1346</v>
      </c>
      <c r="E262" s="13" t="s">
        <v>1347</v>
      </c>
      <c r="F262" s="13" t="s">
        <v>298</v>
      </c>
      <c r="G262" s="13" t="s">
        <v>144</v>
      </c>
      <c r="H262" s="13" t="s">
        <v>368</v>
      </c>
      <c r="I262" s="13" t="s">
        <v>906</v>
      </c>
      <c r="J262" s="13"/>
      <c r="K262" s="13" t="s">
        <v>1023</v>
      </c>
      <c r="L262" s="13" t="s">
        <v>1024</v>
      </c>
      <c r="M262" s="13"/>
      <c r="N262" s="9" t="str">
        <f>HYPERLINK("https://pubmed.ncbi.nlm.nih.gov/26941176/","abrir")</f>
        <v>abrir</v>
      </c>
      <c r="O262" s="10" t="b">
        <f t="shared" si="1"/>
        <v>0</v>
      </c>
    </row>
    <row r="263" ht="60.0" customHeight="1">
      <c r="A263" s="13" t="s">
        <v>1348</v>
      </c>
      <c r="B263" s="14">
        <v>2016.0</v>
      </c>
      <c r="C263" s="13" t="s">
        <v>1349</v>
      </c>
      <c r="D263" s="13" t="s">
        <v>1350</v>
      </c>
      <c r="E263" s="13" t="s">
        <v>1351</v>
      </c>
      <c r="F263" s="13" t="s">
        <v>1352</v>
      </c>
      <c r="G263" s="13" t="s">
        <v>96</v>
      </c>
      <c r="H263" s="13" t="s">
        <v>368</v>
      </c>
      <c r="I263" s="13" t="s">
        <v>906</v>
      </c>
      <c r="J263" s="13"/>
      <c r="K263" s="13" t="s">
        <v>1023</v>
      </c>
      <c r="L263" s="13" t="s">
        <v>1024</v>
      </c>
      <c r="M263" s="13"/>
      <c r="N263" s="9" t="str">
        <f>HYPERLINK("https://pubmed.ncbi.nlm.nih.gov/26948280/","abrir")</f>
        <v>abrir</v>
      </c>
      <c r="O263" s="10" t="b">
        <f t="shared" si="1"/>
        <v>0</v>
      </c>
    </row>
    <row r="264" ht="60.0" customHeight="1">
      <c r="A264" s="13" t="s">
        <v>1353</v>
      </c>
      <c r="B264" s="14">
        <v>2016.0</v>
      </c>
      <c r="C264" s="13" t="s">
        <v>1354</v>
      </c>
      <c r="D264" s="13" t="s">
        <v>1355</v>
      </c>
      <c r="E264" s="13" t="s">
        <v>1356</v>
      </c>
      <c r="F264" s="13" t="s">
        <v>1357</v>
      </c>
      <c r="G264" s="13" t="s">
        <v>96</v>
      </c>
      <c r="H264" s="13" t="s">
        <v>368</v>
      </c>
      <c r="I264" s="13" t="s">
        <v>906</v>
      </c>
      <c r="J264" s="13"/>
      <c r="K264" s="13" t="s">
        <v>1023</v>
      </c>
      <c r="L264" s="13" t="s">
        <v>1024</v>
      </c>
      <c r="M264" s="13"/>
      <c r="N264" s="9" t="str">
        <f>HYPERLINK("https://pubmed.ncbi.nlm.nih.gov/27668198/","abrir")</f>
        <v>abrir</v>
      </c>
      <c r="O264" s="10" t="b">
        <f t="shared" si="1"/>
        <v>0</v>
      </c>
    </row>
    <row r="265" ht="60.0" customHeight="1">
      <c r="A265" s="13" t="s">
        <v>1358</v>
      </c>
      <c r="B265" s="14">
        <v>2016.0</v>
      </c>
      <c r="C265" s="13" t="s">
        <v>1359</v>
      </c>
      <c r="D265" s="13" t="s">
        <v>1360</v>
      </c>
      <c r="E265" s="13" t="s">
        <v>1361</v>
      </c>
      <c r="F265" s="13" t="s">
        <v>298</v>
      </c>
      <c r="G265" s="13" t="s">
        <v>96</v>
      </c>
      <c r="H265" s="13" t="s">
        <v>368</v>
      </c>
      <c r="I265" s="13" t="s">
        <v>906</v>
      </c>
      <c r="J265" s="13"/>
      <c r="K265" s="13" t="s">
        <v>1023</v>
      </c>
      <c r="L265" s="13" t="s">
        <v>1024</v>
      </c>
      <c r="M265" s="13"/>
      <c r="N265" s="9" t="str">
        <f>HYPERLINK("https://pubmed.ncbi.nlm.nih.gov/27750376/","abrir")</f>
        <v>abrir</v>
      </c>
      <c r="O265" s="10" t="b">
        <f t="shared" si="1"/>
        <v>0</v>
      </c>
    </row>
    <row r="266" ht="60.0" customHeight="1">
      <c r="A266" s="13" t="s">
        <v>1362</v>
      </c>
      <c r="B266" s="14">
        <v>2015.0</v>
      </c>
      <c r="C266" s="13" t="s">
        <v>1363</v>
      </c>
      <c r="D266" s="13" t="s">
        <v>1364</v>
      </c>
      <c r="E266" s="13" t="s">
        <v>1365</v>
      </c>
      <c r="F266" s="13" t="s">
        <v>298</v>
      </c>
      <c r="G266" s="13" t="s">
        <v>184</v>
      </c>
      <c r="H266" s="13" t="s">
        <v>368</v>
      </c>
      <c r="I266" s="13" t="s">
        <v>906</v>
      </c>
      <c r="J266" s="13"/>
      <c r="K266" s="13" t="s">
        <v>1023</v>
      </c>
      <c r="L266" s="13" t="s">
        <v>1024</v>
      </c>
      <c r="M266" s="13"/>
      <c r="N266" s="9" t="str">
        <f>HYPERLINK("https://pubmed.ncbi.nlm.nih.gov/25408438/","abrir")</f>
        <v>abrir</v>
      </c>
      <c r="O266" s="10" t="b">
        <f t="shared" si="1"/>
        <v>0</v>
      </c>
    </row>
    <row r="267" ht="60.0" customHeight="1">
      <c r="A267" s="13" t="s">
        <v>1366</v>
      </c>
      <c r="B267" s="14">
        <v>2015.0</v>
      </c>
      <c r="C267" s="13" t="s">
        <v>1367</v>
      </c>
      <c r="D267" s="13" t="s">
        <v>1368</v>
      </c>
      <c r="E267" s="13" t="s">
        <v>1369</v>
      </c>
      <c r="F267" s="13" t="s">
        <v>298</v>
      </c>
      <c r="G267" s="13" t="s">
        <v>312</v>
      </c>
      <c r="H267" s="13" t="s">
        <v>368</v>
      </c>
      <c r="I267" s="13" t="s">
        <v>906</v>
      </c>
      <c r="J267" s="13"/>
      <c r="K267" s="13" t="s">
        <v>1023</v>
      </c>
      <c r="L267" s="13" t="s">
        <v>1024</v>
      </c>
      <c r="M267" s="13"/>
      <c r="N267" s="9" t="str">
        <f>HYPERLINK("https://pubmed.ncbi.nlm.nih.gov/25754604/","abrir")</f>
        <v>abrir</v>
      </c>
      <c r="O267" s="10" t="b">
        <f t="shared" si="1"/>
        <v>0</v>
      </c>
    </row>
    <row r="268" ht="60.0" customHeight="1">
      <c r="A268" s="13" t="s">
        <v>1370</v>
      </c>
      <c r="B268" s="14">
        <v>2015.0</v>
      </c>
      <c r="C268" s="13" t="s">
        <v>1371</v>
      </c>
      <c r="D268" s="13" t="s">
        <v>1372</v>
      </c>
      <c r="E268" s="13" t="s">
        <v>1373</v>
      </c>
      <c r="F268" s="13" t="s">
        <v>447</v>
      </c>
      <c r="G268" s="13" t="s">
        <v>163</v>
      </c>
      <c r="H268" s="13" t="s">
        <v>97</v>
      </c>
      <c r="I268" s="13" t="s">
        <v>906</v>
      </c>
      <c r="J268" s="13"/>
      <c r="K268" s="13" t="s">
        <v>1023</v>
      </c>
      <c r="L268" s="13" t="s">
        <v>1024</v>
      </c>
      <c r="M268" s="13"/>
      <c r="N268" s="9" t="str">
        <f>HYPERLINK("https://pubmed.ncbi.nlm.nih.gov/25884925/","abrir")</f>
        <v>abrir</v>
      </c>
      <c r="O268" s="10" t="b">
        <f t="shared" si="1"/>
        <v>0</v>
      </c>
    </row>
    <row r="269" ht="60.0" customHeight="1">
      <c r="A269" s="13" t="s">
        <v>1374</v>
      </c>
      <c r="B269" s="14">
        <v>2015.0</v>
      </c>
      <c r="C269" s="13" t="s">
        <v>1375</v>
      </c>
      <c r="D269" s="13" t="s">
        <v>1376</v>
      </c>
      <c r="E269" s="13" t="s">
        <v>1377</v>
      </c>
      <c r="F269" s="13" t="s">
        <v>1378</v>
      </c>
      <c r="G269" s="13" t="s">
        <v>1379</v>
      </c>
      <c r="H269" s="13" t="s">
        <v>368</v>
      </c>
      <c r="I269" s="13" t="s">
        <v>906</v>
      </c>
      <c r="J269" s="13"/>
      <c r="K269" s="13" t="s">
        <v>1023</v>
      </c>
      <c r="L269" s="13" t="s">
        <v>1024</v>
      </c>
      <c r="M269" s="13"/>
      <c r="N269" s="9" t="str">
        <f>HYPERLINK("https://pubmed.ncbi.nlm.nih.gov/26233973/","abrir")</f>
        <v>abrir</v>
      </c>
      <c r="O269" s="10" t="b">
        <f t="shared" si="1"/>
        <v>0</v>
      </c>
    </row>
    <row r="270" ht="60.0" customHeight="1">
      <c r="A270" s="13" t="s">
        <v>1380</v>
      </c>
      <c r="B270" s="14">
        <v>2015.0</v>
      </c>
      <c r="C270" s="13" t="s">
        <v>1381</v>
      </c>
      <c r="D270" s="13" t="s">
        <v>1382</v>
      </c>
      <c r="E270" s="13" t="s">
        <v>1383</v>
      </c>
      <c r="F270" s="13" t="s">
        <v>298</v>
      </c>
      <c r="G270" s="13" t="s">
        <v>96</v>
      </c>
      <c r="H270" s="13" t="s">
        <v>368</v>
      </c>
      <c r="I270" s="13" t="s">
        <v>906</v>
      </c>
      <c r="J270" s="13"/>
      <c r="K270" s="13" t="s">
        <v>1023</v>
      </c>
      <c r="L270" s="13" t="s">
        <v>1024</v>
      </c>
      <c r="M270" s="13"/>
      <c r="N270" s="9" t="str">
        <f>HYPERLINK("https://pubmed.ncbi.nlm.nih.gov/26288069/","abrir")</f>
        <v>abrir</v>
      </c>
      <c r="O270" s="10" t="b">
        <f t="shared" si="1"/>
        <v>0</v>
      </c>
    </row>
    <row r="271" ht="60.0" customHeight="1">
      <c r="A271" s="13" t="s">
        <v>1384</v>
      </c>
      <c r="B271" s="14">
        <v>2014.0</v>
      </c>
      <c r="C271" s="13" t="s">
        <v>1385</v>
      </c>
      <c r="D271" s="13" t="s">
        <v>1386</v>
      </c>
      <c r="E271" s="13" t="s">
        <v>1387</v>
      </c>
      <c r="F271" s="13" t="s">
        <v>684</v>
      </c>
      <c r="G271" s="13" t="s">
        <v>1388</v>
      </c>
      <c r="H271" s="13" t="s">
        <v>368</v>
      </c>
      <c r="I271" s="13" t="s">
        <v>906</v>
      </c>
      <c r="J271" s="13"/>
      <c r="K271" s="13" t="s">
        <v>1023</v>
      </c>
      <c r="L271" s="13" t="s">
        <v>1024</v>
      </c>
      <c r="M271" s="13"/>
      <c r="N271" s="9" t="str">
        <f>HYPERLINK("https://pubmed.ncbi.nlm.nih.gov/24339153/","abrir")</f>
        <v>abrir</v>
      </c>
      <c r="O271" s="10" t="b">
        <f t="shared" si="1"/>
        <v>0</v>
      </c>
    </row>
    <row r="272" ht="60.0" customHeight="1">
      <c r="A272" s="13" t="s">
        <v>1389</v>
      </c>
      <c r="B272" s="14">
        <v>2014.0</v>
      </c>
      <c r="C272" s="13" t="s">
        <v>1381</v>
      </c>
      <c r="D272" s="13" t="s">
        <v>1390</v>
      </c>
      <c r="E272" s="13" t="s">
        <v>1391</v>
      </c>
      <c r="F272" s="13" t="s">
        <v>1210</v>
      </c>
      <c r="G272" s="13" t="s">
        <v>1392</v>
      </c>
      <c r="H272" s="13" t="s">
        <v>126</v>
      </c>
      <c r="I272" s="13" t="s">
        <v>906</v>
      </c>
      <c r="J272" s="13"/>
      <c r="K272" s="13" t="s">
        <v>1023</v>
      </c>
      <c r="L272" s="13" t="s">
        <v>1024</v>
      </c>
      <c r="M272" s="13"/>
      <c r="N272" s="9" t="str">
        <f>HYPERLINK("https://pubmed.ncbi.nlm.nih.gov/24499760/","abrir")</f>
        <v>abrir</v>
      </c>
      <c r="O272" s="10" t="b">
        <f t="shared" si="1"/>
        <v>0</v>
      </c>
    </row>
    <row r="273" ht="60.0" customHeight="1">
      <c r="A273" s="13" t="s">
        <v>1393</v>
      </c>
      <c r="B273" s="14">
        <v>2014.0</v>
      </c>
      <c r="C273" s="13" t="s">
        <v>1394</v>
      </c>
      <c r="D273" s="13" t="s">
        <v>1395</v>
      </c>
      <c r="E273" s="13" t="s">
        <v>1396</v>
      </c>
      <c r="F273" s="13" t="s">
        <v>1397</v>
      </c>
      <c r="G273" s="13" t="s">
        <v>184</v>
      </c>
      <c r="H273" s="13" t="s">
        <v>368</v>
      </c>
      <c r="I273" s="13" t="s">
        <v>906</v>
      </c>
      <c r="J273" s="13"/>
      <c r="K273" s="13" t="s">
        <v>1023</v>
      </c>
      <c r="L273" s="13" t="s">
        <v>1024</v>
      </c>
      <c r="M273" s="13"/>
      <c r="N273" s="9" t="str">
        <f>HYPERLINK("https://pubmed.ncbi.nlm.nih.gov/24799683/","abrir")</f>
        <v>abrir</v>
      </c>
      <c r="O273" s="10" t="b">
        <f t="shared" si="1"/>
        <v>0</v>
      </c>
    </row>
    <row r="274" ht="60.0" customHeight="1">
      <c r="A274" s="13" t="s">
        <v>1398</v>
      </c>
      <c r="B274" s="14">
        <v>2014.0</v>
      </c>
      <c r="C274" s="13" t="s">
        <v>1399</v>
      </c>
      <c r="D274" s="13" t="s">
        <v>1400</v>
      </c>
      <c r="E274" s="13" t="s">
        <v>1401</v>
      </c>
      <c r="F274" s="13" t="s">
        <v>447</v>
      </c>
      <c r="G274" s="13" t="s">
        <v>1145</v>
      </c>
      <c r="H274" s="13" t="s">
        <v>368</v>
      </c>
      <c r="I274" s="13" t="s">
        <v>906</v>
      </c>
      <c r="J274" s="13"/>
      <c r="K274" s="13" t="s">
        <v>1023</v>
      </c>
      <c r="L274" s="13" t="s">
        <v>1024</v>
      </c>
      <c r="M274" s="13"/>
      <c r="N274" s="9" t="str">
        <f>HYPERLINK("https://pubmed.ncbi.nlm.nih.gov/25027965/","abrir")</f>
        <v>abrir</v>
      </c>
      <c r="O274" s="10" t="b">
        <f t="shared" si="1"/>
        <v>0</v>
      </c>
    </row>
    <row r="275" ht="60.0" customHeight="1">
      <c r="A275" s="13" t="s">
        <v>1402</v>
      </c>
      <c r="B275" s="14">
        <v>2014.0</v>
      </c>
      <c r="C275" s="13" t="s">
        <v>1403</v>
      </c>
      <c r="D275" s="13" t="s">
        <v>1404</v>
      </c>
      <c r="E275" s="13" t="s">
        <v>1405</v>
      </c>
      <c r="F275" s="13" t="s">
        <v>1406</v>
      </c>
      <c r="G275" s="13" t="s">
        <v>144</v>
      </c>
      <c r="H275" s="13" t="s">
        <v>368</v>
      </c>
      <c r="I275" s="13" t="s">
        <v>906</v>
      </c>
      <c r="J275" s="13"/>
      <c r="K275" s="13" t="s">
        <v>1023</v>
      </c>
      <c r="L275" s="13" t="s">
        <v>1024</v>
      </c>
      <c r="M275" s="13"/>
      <c r="N275" s="9" t="str">
        <f>HYPERLINK("https://pubmed.ncbi.nlm.nih.gov/25053891/","abrir")</f>
        <v>abrir</v>
      </c>
      <c r="O275" s="10" t="b">
        <f t="shared" si="1"/>
        <v>0</v>
      </c>
    </row>
    <row r="276" ht="60.0" customHeight="1">
      <c r="A276" s="13" t="s">
        <v>1407</v>
      </c>
      <c r="B276" s="14">
        <v>2013.0</v>
      </c>
      <c r="C276" s="13" t="s">
        <v>1408</v>
      </c>
      <c r="D276" s="13" t="s">
        <v>1409</v>
      </c>
      <c r="E276" s="13" t="s">
        <v>1410</v>
      </c>
      <c r="F276" s="13" t="s">
        <v>113</v>
      </c>
      <c r="G276" s="13" t="s">
        <v>393</v>
      </c>
      <c r="H276" s="13" t="s">
        <v>368</v>
      </c>
      <c r="I276" s="13" t="s">
        <v>906</v>
      </c>
      <c r="J276" s="13"/>
      <c r="K276" s="13" t="s">
        <v>1023</v>
      </c>
      <c r="L276" s="13" t="s">
        <v>1024</v>
      </c>
      <c r="M276" s="13"/>
      <c r="N276" s="9" t="str">
        <f>HYPERLINK("https://pubmed.ncbi.nlm.nih.gov/23887195/","abrir")</f>
        <v>abrir</v>
      </c>
      <c r="O276" s="10" t="b">
        <f t="shared" si="1"/>
        <v>0</v>
      </c>
    </row>
    <row r="277" ht="60.0" customHeight="1">
      <c r="A277" s="13" t="s">
        <v>1411</v>
      </c>
      <c r="B277" s="14">
        <v>2013.0</v>
      </c>
      <c r="C277" s="13" t="s">
        <v>1412</v>
      </c>
      <c r="D277" s="13" t="s">
        <v>1413</v>
      </c>
      <c r="E277" s="13" t="s">
        <v>1414</v>
      </c>
      <c r="F277" s="13" t="s">
        <v>1415</v>
      </c>
      <c r="G277" s="13" t="s">
        <v>96</v>
      </c>
      <c r="H277" s="13" t="s">
        <v>368</v>
      </c>
      <c r="I277" s="13" t="s">
        <v>906</v>
      </c>
      <c r="J277" s="13"/>
      <c r="K277" s="13" t="s">
        <v>1023</v>
      </c>
      <c r="L277" s="13" t="s">
        <v>1024</v>
      </c>
      <c r="M277" s="13"/>
      <c r="N277" s="9" t="str">
        <f>HYPERLINK("https://pubmed.ncbi.nlm.nih.gov/24156088/","abrir")</f>
        <v>abrir</v>
      </c>
      <c r="O277" s="10" t="b">
        <f t="shared" si="1"/>
        <v>0</v>
      </c>
    </row>
    <row r="278" ht="60.0" customHeight="1">
      <c r="A278" s="13" t="s">
        <v>1416</v>
      </c>
      <c r="B278" s="14">
        <v>2011.0</v>
      </c>
      <c r="C278" s="13" t="s">
        <v>1417</v>
      </c>
      <c r="D278" s="13" t="s">
        <v>1418</v>
      </c>
      <c r="E278" s="13" t="s">
        <v>1419</v>
      </c>
      <c r="F278" s="13" t="s">
        <v>1420</v>
      </c>
      <c r="G278" s="13" t="s">
        <v>184</v>
      </c>
      <c r="H278" s="13" t="s">
        <v>368</v>
      </c>
      <c r="I278" s="13" t="s">
        <v>906</v>
      </c>
      <c r="J278" s="13"/>
      <c r="K278" s="13" t="s">
        <v>1023</v>
      </c>
      <c r="L278" s="13" t="s">
        <v>1024</v>
      </c>
      <c r="M278" s="13"/>
      <c r="N278" s="9" t="str">
        <f>HYPERLINK("https://pubmed.ncbi.nlm.nih.gov/21592687/","abrir")</f>
        <v>abrir</v>
      </c>
      <c r="O278" s="10" t="b">
        <f t="shared" si="1"/>
        <v>0</v>
      </c>
    </row>
    <row r="279" ht="60.0" customHeight="1">
      <c r="A279" s="13" t="s">
        <v>1421</v>
      </c>
      <c r="B279" s="14">
        <v>2010.0</v>
      </c>
      <c r="C279" s="13" t="s">
        <v>1422</v>
      </c>
      <c r="D279" s="13" t="s">
        <v>1423</v>
      </c>
      <c r="E279" s="13" t="s">
        <v>1424</v>
      </c>
      <c r="F279" s="13" t="s">
        <v>298</v>
      </c>
      <c r="G279" s="13" t="s">
        <v>184</v>
      </c>
      <c r="H279" s="13" t="s">
        <v>368</v>
      </c>
      <c r="I279" s="13" t="s">
        <v>906</v>
      </c>
      <c r="J279" s="13"/>
      <c r="K279" s="13" t="s">
        <v>1023</v>
      </c>
      <c r="L279" s="13" t="s">
        <v>1024</v>
      </c>
      <c r="M279" s="13"/>
      <c r="N279" s="9" t="str">
        <f>HYPERLINK("https://pubmed.ncbi.nlm.nih.gov/20730796/","abrir")</f>
        <v>abrir</v>
      </c>
      <c r="O279" s="10" t="b">
        <f t="shared" si="1"/>
        <v>0</v>
      </c>
    </row>
    <row r="280" ht="60.0" customHeight="1">
      <c r="A280" s="13" t="s">
        <v>1425</v>
      </c>
      <c r="B280" s="14">
        <v>2010.0</v>
      </c>
      <c r="C280" s="13" t="s">
        <v>1426</v>
      </c>
      <c r="D280" s="13" t="s">
        <v>1427</v>
      </c>
      <c r="E280" s="13" t="s">
        <v>1428</v>
      </c>
      <c r="F280" s="13" t="s">
        <v>298</v>
      </c>
      <c r="G280" s="13" t="s">
        <v>96</v>
      </c>
      <c r="H280" s="13" t="s">
        <v>368</v>
      </c>
      <c r="I280" s="13" t="s">
        <v>906</v>
      </c>
      <c r="J280" s="13"/>
      <c r="K280" s="13" t="s">
        <v>1023</v>
      </c>
      <c r="L280" s="13" t="s">
        <v>1024</v>
      </c>
      <c r="M280" s="13"/>
      <c r="N280" s="9" t="str">
        <f>HYPERLINK("https://pubmed.ncbi.nlm.nih.gov/20925041/","abrir")</f>
        <v>abrir</v>
      </c>
      <c r="O280" s="10" t="b">
        <f t="shared" si="1"/>
        <v>0</v>
      </c>
    </row>
    <row r="281" ht="60.0" customHeight="1">
      <c r="A281" s="13" t="s">
        <v>1429</v>
      </c>
      <c r="B281" s="14">
        <v>2010.0</v>
      </c>
      <c r="C281" s="13" t="s">
        <v>1430</v>
      </c>
      <c r="D281" s="13" t="s">
        <v>1431</v>
      </c>
      <c r="E281" s="13" t="s">
        <v>1432</v>
      </c>
      <c r="F281" s="13" t="s">
        <v>1378</v>
      </c>
      <c r="G281" s="13" t="s">
        <v>1433</v>
      </c>
      <c r="H281" s="13" t="s">
        <v>368</v>
      </c>
      <c r="I281" s="13" t="s">
        <v>906</v>
      </c>
      <c r="J281" s="13"/>
      <c r="K281" s="13" t="s">
        <v>1023</v>
      </c>
      <c r="L281" s="13" t="s">
        <v>1024</v>
      </c>
      <c r="M281" s="13"/>
      <c r="N281" s="9" t="str">
        <f>HYPERLINK("https://pubmed.ncbi.nlm.nih.gov/21961367/","abrir")</f>
        <v>abrir</v>
      </c>
      <c r="O281" s="10" t="b">
        <f t="shared" si="1"/>
        <v>0</v>
      </c>
    </row>
    <row r="282" ht="60.0" customHeight="1">
      <c r="A282" s="13" t="s">
        <v>1434</v>
      </c>
      <c r="B282" s="14">
        <v>2009.0</v>
      </c>
      <c r="C282" s="13" t="s">
        <v>1422</v>
      </c>
      <c r="D282" s="13" t="s">
        <v>1435</v>
      </c>
      <c r="E282" s="13" t="s">
        <v>1436</v>
      </c>
      <c r="F282" s="13" t="s">
        <v>1210</v>
      </c>
      <c r="G282" s="13" t="s">
        <v>96</v>
      </c>
      <c r="H282" s="13" t="s">
        <v>368</v>
      </c>
      <c r="I282" s="13" t="s">
        <v>906</v>
      </c>
      <c r="J282" s="13"/>
      <c r="K282" s="13" t="s">
        <v>1023</v>
      </c>
      <c r="L282" s="13" t="s">
        <v>1024</v>
      </c>
      <c r="M282" s="13"/>
      <c r="N282" s="9" t="str">
        <f>HYPERLINK("https://pubmed.ncbi.nlm.nih.gov/19546758/","abrir")</f>
        <v>abrir</v>
      </c>
      <c r="O282" s="10" t="b">
        <f t="shared" si="1"/>
        <v>0</v>
      </c>
    </row>
    <row r="283" ht="60.0" customHeight="1">
      <c r="A283" s="13" t="s">
        <v>1437</v>
      </c>
      <c r="B283" s="14">
        <v>2008.0</v>
      </c>
      <c r="C283" s="13" t="s">
        <v>1438</v>
      </c>
      <c r="D283" s="13" t="s">
        <v>1439</v>
      </c>
      <c r="E283" s="13" t="s">
        <v>1440</v>
      </c>
      <c r="F283" s="13" t="s">
        <v>1441</v>
      </c>
      <c r="G283" s="13" t="s">
        <v>96</v>
      </c>
      <c r="H283" s="13" t="s">
        <v>368</v>
      </c>
      <c r="I283" s="13" t="s">
        <v>906</v>
      </c>
      <c r="J283" s="13"/>
      <c r="K283" s="13" t="s">
        <v>1023</v>
      </c>
      <c r="L283" s="13" t="s">
        <v>1024</v>
      </c>
      <c r="M283" s="13"/>
      <c r="N283" s="9" t="str">
        <f>HYPERLINK("https://pubmed.ncbi.nlm.nih.gov/18239237/","abrir")</f>
        <v>abrir</v>
      </c>
      <c r="O283" s="10" t="b">
        <f t="shared" si="1"/>
        <v>0</v>
      </c>
    </row>
    <row r="284" ht="60.0" customHeight="1">
      <c r="A284" s="13" t="s">
        <v>1442</v>
      </c>
      <c r="B284" s="14">
        <v>2008.0</v>
      </c>
      <c r="C284" s="13" t="s">
        <v>1443</v>
      </c>
      <c r="D284" s="13" t="s">
        <v>1444</v>
      </c>
      <c r="E284" s="13" t="s">
        <v>1445</v>
      </c>
      <c r="F284" s="13" t="s">
        <v>1446</v>
      </c>
      <c r="G284" s="13" t="s">
        <v>96</v>
      </c>
      <c r="H284" s="13" t="s">
        <v>368</v>
      </c>
      <c r="I284" s="13" t="s">
        <v>906</v>
      </c>
      <c r="J284" s="13"/>
      <c r="K284" s="13" t="s">
        <v>1023</v>
      </c>
      <c r="L284" s="13" t="s">
        <v>1024</v>
      </c>
      <c r="M284" s="13"/>
      <c r="N284" s="9" t="str">
        <f>HYPERLINK("https://pubmed.ncbi.nlm.nih.gov/18697378/","abrir")</f>
        <v>abrir</v>
      </c>
      <c r="O284" s="10" t="b">
        <f t="shared" si="1"/>
        <v>0</v>
      </c>
    </row>
    <row r="285" ht="60.0" customHeight="1">
      <c r="A285" s="13" t="s">
        <v>1447</v>
      </c>
      <c r="B285" s="14">
        <v>2008.0</v>
      </c>
      <c r="C285" s="13" t="s">
        <v>1448</v>
      </c>
      <c r="D285" s="13" t="s">
        <v>1449</v>
      </c>
      <c r="E285" s="13" t="s">
        <v>1450</v>
      </c>
      <c r="F285" s="13" t="s">
        <v>95</v>
      </c>
      <c r="G285" s="13" t="s">
        <v>96</v>
      </c>
      <c r="H285" s="13" t="s">
        <v>97</v>
      </c>
      <c r="I285" s="13" t="s">
        <v>906</v>
      </c>
      <c r="J285" s="13"/>
      <c r="K285" s="13" t="s">
        <v>1023</v>
      </c>
      <c r="L285" s="13" t="s">
        <v>1024</v>
      </c>
      <c r="M285" s="13"/>
      <c r="N285" s="9" t="str">
        <f>HYPERLINK("https://pubmed.ncbi.nlm.nih.gov/18785270/","abrir")</f>
        <v>abrir</v>
      </c>
      <c r="O285" s="10" t="b">
        <f t="shared" si="1"/>
        <v>0</v>
      </c>
    </row>
    <row r="286" ht="60.0" customHeight="1">
      <c r="A286" s="13" t="s">
        <v>1451</v>
      </c>
      <c r="B286" s="14">
        <v>2008.0</v>
      </c>
      <c r="C286" s="13" t="s">
        <v>1452</v>
      </c>
      <c r="D286" s="13" t="s">
        <v>1453</v>
      </c>
      <c r="E286" s="13" t="s">
        <v>1454</v>
      </c>
      <c r="F286" s="13" t="s">
        <v>1455</v>
      </c>
      <c r="G286" s="13" t="s">
        <v>96</v>
      </c>
      <c r="H286" s="13" t="s">
        <v>368</v>
      </c>
      <c r="I286" s="13" t="s">
        <v>906</v>
      </c>
      <c r="J286" s="13"/>
      <c r="K286" s="13" t="s">
        <v>1023</v>
      </c>
      <c r="L286" s="13" t="s">
        <v>1024</v>
      </c>
      <c r="M286" s="13"/>
      <c r="N286" s="9" t="str">
        <f>HYPERLINK("https://pubmed.ncbi.nlm.nih.gov/18923654/","abrir")</f>
        <v>abrir</v>
      </c>
      <c r="O286" s="10" t="b">
        <f t="shared" si="1"/>
        <v>0</v>
      </c>
    </row>
    <row r="287" ht="60.0" customHeight="1">
      <c r="A287" s="13" t="s">
        <v>1456</v>
      </c>
      <c r="B287" s="14">
        <v>2007.0</v>
      </c>
      <c r="C287" s="13" t="s">
        <v>1457</v>
      </c>
      <c r="D287" s="13" t="s">
        <v>1458</v>
      </c>
      <c r="E287" s="13" t="s">
        <v>1459</v>
      </c>
      <c r="F287" s="13" t="s">
        <v>1139</v>
      </c>
      <c r="G287" s="13" t="s">
        <v>426</v>
      </c>
      <c r="H287" s="13" t="s">
        <v>368</v>
      </c>
      <c r="I287" s="13" t="s">
        <v>906</v>
      </c>
      <c r="J287" s="13"/>
      <c r="K287" s="13" t="s">
        <v>1023</v>
      </c>
      <c r="L287" s="13" t="s">
        <v>1024</v>
      </c>
      <c r="M287" s="13"/>
      <c r="N287" s="9" t="str">
        <f>HYPERLINK("https://pubmed.ncbi.nlm.nih.gov/17333228/","abrir")</f>
        <v>abrir</v>
      </c>
      <c r="O287" s="10" t="b">
        <f t="shared" si="1"/>
        <v>0</v>
      </c>
    </row>
    <row r="288" ht="60.0" customHeight="1">
      <c r="A288" s="13" t="s">
        <v>1460</v>
      </c>
      <c r="B288" s="14">
        <v>2007.0</v>
      </c>
      <c r="C288" s="13" t="s">
        <v>1461</v>
      </c>
      <c r="D288" s="13" t="s">
        <v>1462</v>
      </c>
      <c r="E288" s="13" t="s">
        <v>1463</v>
      </c>
      <c r="F288" s="13" t="s">
        <v>1464</v>
      </c>
      <c r="G288" s="13" t="s">
        <v>312</v>
      </c>
      <c r="H288" s="13" t="s">
        <v>368</v>
      </c>
      <c r="I288" s="13" t="s">
        <v>906</v>
      </c>
      <c r="J288" s="13"/>
      <c r="K288" s="13" t="s">
        <v>1023</v>
      </c>
      <c r="L288" s="13" t="s">
        <v>1024</v>
      </c>
      <c r="M288" s="13"/>
      <c r="N288" s="9" t="str">
        <f>HYPERLINK("https://pubmed.ncbi.nlm.nih.gov/17501960/","abrir")</f>
        <v>abrir</v>
      </c>
      <c r="O288" s="10" t="b">
        <f t="shared" si="1"/>
        <v>0</v>
      </c>
    </row>
    <row r="289" ht="60.0" customHeight="1">
      <c r="A289" s="13" t="s">
        <v>1465</v>
      </c>
      <c r="B289" s="14">
        <v>2007.0</v>
      </c>
      <c r="C289" s="13" t="s">
        <v>1466</v>
      </c>
      <c r="D289" s="13" t="s">
        <v>1467</v>
      </c>
      <c r="E289" s="13" t="s">
        <v>1468</v>
      </c>
      <c r="F289" s="13" t="s">
        <v>684</v>
      </c>
      <c r="G289" s="13" t="s">
        <v>96</v>
      </c>
      <c r="H289" s="13" t="s">
        <v>97</v>
      </c>
      <c r="I289" s="13" t="s">
        <v>906</v>
      </c>
      <c r="J289" s="13"/>
      <c r="K289" s="13" t="s">
        <v>1023</v>
      </c>
      <c r="L289" s="13" t="s">
        <v>1024</v>
      </c>
      <c r="M289" s="13"/>
      <c r="N289" s="9" t="str">
        <f>HYPERLINK("https://pubmed.ncbi.nlm.nih.gov/17963197/","abrir")</f>
        <v>abrir</v>
      </c>
      <c r="O289" s="10" t="b">
        <f t="shared" si="1"/>
        <v>0</v>
      </c>
    </row>
    <row r="290" ht="60.0" customHeight="1">
      <c r="A290" s="13" t="s">
        <v>1469</v>
      </c>
      <c r="B290" s="14">
        <v>2007.0</v>
      </c>
      <c r="C290" s="13" t="s">
        <v>1470</v>
      </c>
      <c r="D290" s="13" t="s">
        <v>1471</v>
      </c>
      <c r="E290" s="13" t="s">
        <v>1472</v>
      </c>
      <c r="F290" s="13" t="s">
        <v>1134</v>
      </c>
      <c r="G290" s="13" t="s">
        <v>96</v>
      </c>
      <c r="H290" s="13" t="s">
        <v>368</v>
      </c>
      <c r="I290" s="13" t="s">
        <v>906</v>
      </c>
      <c r="J290" s="13"/>
      <c r="K290" s="13" t="s">
        <v>1023</v>
      </c>
      <c r="L290" s="13" t="s">
        <v>1024</v>
      </c>
      <c r="M290" s="13"/>
      <c r="N290" s="9" t="str">
        <f>HYPERLINK("https://pubmed.ncbi.nlm.nih.gov/18182347/","abrir")</f>
        <v>abrir</v>
      </c>
      <c r="O290" s="10" t="b">
        <f t="shared" si="1"/>
        <v>0</v>
      </c>
    </row>
    <row r="291" ht="60.0" customHeight="1">
      <c r="A291" s="13" t="s">
        <v>1473</v>
      </c>
      <c r="B291" s="14">
        <v>2006.0</v>
      </c>
      <c r="C291" s="13" t="s">
        <v>1461</v>
      </c>
      <c r="D291" s="13" t="s">
        <v>1474</v>
      </c>
      <c r="E291" s="13" t="s">
        <v>1475</v>
      </c>
      <c r="F291" s="13" t="s">
        <v>549</v>
      </c>
      <c r="G291" s="13" t="s">
        <v>184</v>
      </c>
      <c r="H291" s="13" t="s">
        <v>368</v>
      </c>
      <c r="I291" s="13" t="s">
        <v>906</v>
      </c>
      <c r="J291" s="13"/>
      <c r="K291" s="13" t="s">
        <v>1023</v>
      </c>
      <c r="L291" s="13" t="s">
        <v>1024</v>
      </c>
      <c r="M291" s="13"/>
      <c r="N291" s="9" t="str">
        <f>HYPERLINK("https://pubmed.ncbi.nlm.nih.gov/16569299/","abrir")</f>
        <v>abrir</v>
      </c>
      <c r="O291" s="10" t="b">
        <f t="shared" si="1"/>
        <v>0</v>
      </c>
    </row>
    <row r="292" ht="60.0" customHeight="1">
      <c r="A292" s="13" t="s">
        <v>1476</v>
      </c>
      <c r="B292" s="14">
        <v>2005.0</v>
      </c>
      <c r="C292" s="13" t="s">
        <v>1477</v>
      </c>
      <c r="D292" s="13" t="s">
        <v>1478</v>
      </c>
      <c r="E292" s="13" t="s">
        <v>1479</v>
      </c>
      <c r="F292" s="13" t="s">
        <v>1336</v>
      </c>
      <c r="G292" s="13" t="s">
        <v>1480</v>
      </c>
      <c r="H292" s="13" t="s">
        <v>368</v>
      </c>
      <c r="I292" s="13" t="s">
        <v>906</v>
      </c>
      <c r="J292" s="13"/>
      <c r="K292" s="13" t="s">
        <v>1023</v>
      </c>
      <c r="L292" s="13" t="s">
        <v>1024</v>
      </c>
      <c r="M292" s="13"/>
      <c r="N292" s="9" t="str">
        <f>HYPERLINK("https://pubmed.ncbi.nlm.nih.gov/16238533/","abrir")</f>
        <v>abrir</v>
      </c>
      <c r="O292" s="10" t="b">
        <f t="shared" si="1"/>
        <v>0</v>
      </c>
    </row>
    <row r="293" ht="60.0" customHeight="1">
      <c r="A293" s="13" t="s">
        <v>1481</v>
      </c>
      <c r="B293" s="14">
        <v>2003.0</v>
      </c>
      <c r="C293" s="13" t="s">
        <v>1482</v>
      </c>
      <c r="D293" s="13" t="s">
        <v>1483</v>
      </c>
      <c r="E293" s="13" t="s">
        <v>1484</v>
      </c>
      <c r="F293" s="13" t="s">
        <v>298</v>
      </c>
      <c r="G293" s="13" t="s">
        <v>379</v>
      </c>
      <c r="H293" s="13" t="s">
        <v>368</v>
      </c>
      <c r="I293" s="13" t="s">
        <v>906</v>
      </c>
      <c r="J293" s="13"/>
      <c r="K293" s="13" t="s">
        <v>1023</v>
      </c>
      <c r="L293" s="13" t="s">
        <v>1024</v>
      </c>
      <c r="M293" s="13"/>
      <c r="N293" s="9" t="str">
        <f>HYPERLINK("https://pubmed.ncbi.nlm.nih.gov/14691994/","abrir")</f>
        <v>abrir</v>
      </c>
      <c r="O293" s="10" t="b">
        <f t="shared" si="1"/>
        <v>0</v>
      </c>
    </row>
    <row r="294" ht="60.0" customHeight="1">
      <c r="A294" s="13" t="s">
        <v>1485</v>
      </c>
      <c r="B294" s="14">
        <v>2002.0</v>
      </c>
      <c r="C294" s="13" t="s">
        <v>1486</v>
      </c>
      <c r="D294" s="13" t="s">
        <v>1487</v>
      </c>
      <c r="E294" s="13" t="s">
        <v>1488</v>
      </c>
      <c r="F294" s="13" t="s">
        <v>1489</v>
      </c>
      <c r="G294" s="13" t="s">
        <v>872</v>
      </c>
      <c r="H294" s="13" t="s">
        <v>368</v>
      </c>
      <c r="I294" s="13" t="s">
        <v>906</v>
      </c>
      <c r="J294" s="13"/>
      <c r="K294" s="13" t="s">
        <v>1023</v>
      </c>
      <c r="L294" s="13" t="s">
        <v>1024</v>
      </c>
      <c r="M294" s="13"/>
      <c r="N294" s="9" t="str">
        <f>HYPERLINK("https://pubmed.ncbi.nlm.nih.gov/12135803/","abrir")</f>
        <v>abrir</v>
      </c>
      <c r="O294" s="10" t="b">
        <f t="shared" si="1"/>
        <v>0</v>
      </c>
    </row>
    <row r="295" ht="60.0" customHeight="1">
      <c r="A295" s="13" t="s">
        <v>1490</v>
      </c>
      <c r="B295" s="14">
        <v>2001.0</v>
      </c>
      <c r="C295" s="13" t="s">
        <v>1491</v>
      </c>
      <c r="D295" s="13" t="s">
        <v>1492</v>
      </c>
      <c r="E295" s="13" t="s">
        <v>1493</v>
      </c>
      <c r="F295" s="13" t="s">
        <v>1494</v>
      </c>
      <c r="G295" s="13" t="s">
        <v>96</v>
      </c>
      <c r="H295" s="13" t="s">
        <v>368</v>
      </c>
      <c r="I295" s="13" t="s">
        <v>906</v>
      </c>
      <c r="J295" s="13"/>
      <c r="K295" s="13" t="s">
        <v>1023</v>
      </c>
      <c r="L295" s="13" t="s">
        <v>1024</v>
      </c>
      <c r="M295" s="13"/>
      <c r="N295" s="9" t="str">
        <f>HYPERLINK("https://pubmed.ncbi.nlm.nih.gov/11432311/","abrir")</f>
        <v>abrir</v>
      </c>
      <c r="O295" s="10" t="b">
        <f t="shared" si="1"/>
        <v>0</v>
      </c>
    </row>
    <row r="296" ht="60.0" customHeight="1">
      <c r="A296" s="13" t="s">
        <v>1495</v>
      </c>
      <c r="B296" s="14">
        <v>2001.0</v>
      </c>
      <c r="C296" s="13" t="s">
        <v>1496</v>
      </c>
      <c r="D296" s="13" t="s">
        <v>1497</v>
      </c>
      <c r="E296" s="13" t="s">
        <v>1498</v>
      </c>
      <c r="F296" s="13" t="s">
        <v>298</v>
      </c>
      <c r="G296" s="13" t="s">
        <v>96</v>
      </c>
      <c r="H296" s="13" t="s">
        <v>368</v>
      </c>
      <c r="I296" s="13" t="s">
        <v>906</v>
      </c>
      <c r="J296" s="13"/>
      <c r="K296" s="13" t="s">
        <v>1023</v>
      </c>
      <c r="L296" s="13" t="s">
        <v>1024</v>
      </c>
      <c r="M296" s="13"/>
      <c r="N296" s="9" t="str">
        <f>HYPERLINK("https://pubmed.ncbi.nlm.nih.gov/11494290/","abrir")</f>
        <v>abrir</v>
      </c>
      <c r="O296" s="10" t="b">
        <f t="shared" si="1"/>
        <v>0</v>
      </c>
    </row>
    <row r="297" ht="60.0" customHeight="1">
      <c r="A297" s="13" t="s">
        <v>1499</v>
      </c>
      <c r="B297" s="14">
        <v>2001.0</v>
      </c>
      <c r="C297" s="13" t="s">
        <v>1500</v>
      </c>
      <c r="D297" s="13" t="s">
        <v>1501</v>
      </c>
      <c r="E297" s="13" t="s">
        <v>1502</v>
      </c>
      <c r="F297" s="13" t="s">
        <v>1144</v>
      </c>
      <c r="G297" s="13" t="s">
        <v>96</v>
      </c>
      <c r="H297" s="13" t="s">
        <v>368</v>
      </c>
      <c r="I297" s="13" t="s">
        <v>906</v>
      </c>
      <c r="J297" s="13"/>
      <c r="K297" s="13" t="s">
        <v>1023</v>
      </c>
      <c r="L297" s="13" t="s">
        <v>1024</v>
      </c>
      <c r="M297" s="13"/>
      <c r="N297" s="9" t="str">
        <f>HYPERLINK("https://pubmed.ncbi.nlm.nih.gov/11518881/","abrir")</f>
        <v>abrir</v>
      </c>
      <c r="O297" s="10" t="b">
        <f t="shared" si="1"/>
        <v>0</v>
      </c>
    </row>
    <row r="298" ht="60.0" customHeight="1">
      <c r="A298" s="13" t="s">
        <v>1503</v>
      </c>
      <c r="B298" s="14">
        <v>2001.0</v>
      </c>
      <c r="C298" s="13" t="s">
        <v>1504</v>
      </c>
      <c r="D298" s="13" t="s">
        <v>1505</v>
      </c>
      <c r="E298" s="13" t="s">
        <v>1506</v>
      </c>
      <c r="F298" s="13" t="s">
        <v>1507</v>
      </c>
      <c r="G298" s="13" t="s">
        <v>1480</v>
      </c>
      <c r="H298" s="13" t="s">
        <v>368</v>
      </c>
      <c r="I298" s="13" t="s">
        <v>906</v>
      </c>
      <c r="J298" s="13"/>
      <c r="K298" s="13" t="s">
        <v>1023</v>
      </c>
      <c r="L298" s="13" t="s">
        <v>1024</v>
      </c>
      <c r="M298" s="13"/>
      <c r="N298" s="9" t="str">
        <f>HYPERLINK("https://pubmed.ncbi.nlm.nih.gov/11755107/","abrir")</f>
        <v>abrir</v>
      </c>
      <c r="O298" s="10" t="b">
        <f t="shared" si="1"/>
        <v>0</v>
      </c>
    </row>
    <row r="299" ht="60.0" customHeight="1">
      <c r="A299" s="13" t="s">
        <v>1508</v>
      </c>
      <c r="B299" s="14">
        <v>2000.0</v>
      </c>
      <c r="C299" s="13" t="s">
        <v>1509</v>
      </c>
      <c r="D299" s="13" t="s">
        <v>1510</v>
      </c>
      <c r="E299" s="13" t="s">
        <v>1511</v>
      </c>
      <c r="F299" s="13" t="s">
        <v>1512</v>
      </c>
      <c r="G299" s="13" t="s">
        <v>312</v>
      </c>
      <c r="H299" s="13" t="s">
        <v>368</v>
      </c>
      <c r="I299" s="13" t="s">
        <v>906</v>
      </c>
      <c r="J299" s="13"/>
      <c r="K299" s="13" t="s">
        <v>1023</v>
      </c>
      <c r="L299" s="13" t="s">
        <v>1024</v>
      </c>
      <c r="M299" s="13"/>
      <c r="N299" s="9" t="str">
        <f>HYPERLINK("https://pubmed.ncbi.nlm.nih.gov/11026581/","abrir")</f>
        <v>abrir</v>
      </c>
      <c r="O299" s="10" t="b">
        <f t="shared" si="1"/>
        <v>0</v>
      </c>
    </row>
    <row r="300" ht="60.0" customHeight="1">
      <c r="A300" s="13" t="s">
        <v>1513</v>
      </c>
      <c r="B300" s="14">
        <v>2000.0</v>
      </c>
      <c r="C300" s="13" t="s">
        <v>1514</v>
      </c>
      <c r="D300" s="13" t="s">
        <v>1515</v>
      </c>
      <c r="E300" s="13" t="s">
        <v>1516</v>
      </c>
      <c r="F300" s="13" t="s">
        <v>1464</v>
      </c>
      <c r="G300" s="13" t="s">
        <v>184</v>
      </c>
      <c r="H300" s="13" t="s">
        <v>368</v>
      </c>
      <c r="I300" s="13" t="s">
        <v>906</v>
      </c>
      <c r="J300" s="13"/>
      <c r="K300" s="13" t="s">
        <v>1023</v>
      </c>
      <c r="L300" s="13" t="s">
        <v>1024</v>
      </c>
      <c r="M300" s="13"/>
      <c r="N300" s="9" t="str">
        <f>HYPERLINK("https://pubmed.ncbi.nlm.nih.gov/11028580/","abrir")</f>
        <v>abrir</v>
      </c>
      <c r="O300" s="10" t="b">
        <f t="shared" si="1"/>
        <v>0</v>
      </c>
    </row>
    <row r="301" ht="60.0" customHeight="1">
      <c r="A301" s="13" t="s">
        <v>1517</v>
      </c>
      <c r="B301" s="14">
        <v>2026.0</v>
      </c>
      <c r="C301" s="13" t="s">
        <v>1518</v>
      </c>
      <c r="D301" s="13" t="s">
        <v>1519</v>
      </c>
      <c r="E301" s="13" t="s">
        <v>1520</v>
      </c>
      <c r="F301" s="13" t="s">
        <v>1521</v>
      </c>
      <c r="G301" s="13" t="s">
        <v>96</v>
      </c>
      <c r="H301" s="13" t="s">
        <v>126</v>
      </c>
      <c r="I301" s="13" t="s">
        <v>906</v>
      </c>
      <c r="J301" s="13"/>
      <c r="K301" s="13" t="s">
        <v>1522</v>
      </c>
      <c r="L301" s="13" t="s">
        <v>1523</v>
      </c>
      <c r="M301" s="13"/>
      <c r="N301" s="9" t="str">
        <f>HYPERLINK("https://pubmed.ncbi.nlm.nih.gov/41212742/","abrir")</f>
        <v>abrir</v>
      </c>
      <c r="O301" s="10" t="b">
        <f t="shared" si="1"/>
        <v>1</v>
      </c>
    </row>
    <row r="302" ht="60.0" customHeight="1">
      <c r="A302" s="13" t="s">
        <v>1524</v>
      </c>
      <c r="B302" s="14">
        <v>2026.0</v>
      </c>
      <c r="C302" s="13" t="s">
        <v>1525</v>
      </c>
      <c r="D302" s="13" t="s">
        <v>1526</v>
      </c>
      <c r="E302" s="13" t="s">
        <v>1527</v>
      </c>
      <c r="F302" s="13" t="s">
        <v>1188</v>
      </c>
      <c r="G302" s="13" t="s">
        <v>96</v>
      </c>
      <c r="H302" s="13" t="s">
        <v>368</v>
      </c>
      <c r="I302" s="13" t="s">
        <v>906</v>
      </c>
      <c r="J302" s="13"/>
      <c r="K302" s="13" t="s">
        <v>1522</v>
      </c>
      <c r="L302" s="13" t="s">
        <v>1523</v>
      </c>
      <c r="M302" s="13"/>
      <c r="N302" s="9" t="str">
        <f>HYPERLINK("https://pubmed.ncbi.nlm.nih.gov/41725333/","abrir")</f>
        <v>abrir</v>
      </c>
      <c r="O302" s="10" t="b">
        <f t="shared" si="1"/>
        <v>1</v>
      </c>
    </row>
    <row r="303" ht="60.0" customHeight="1">
      <c r="A303" s="13" t="s">
        <v>1528</v>
      </c>
      <c r="B303" s="14">
        <v>2026.0</v>
      </c>
      <c r="C303" s="13" t="s">
        <v>1529</v>
      </c>
      <c r="D303" s="13" t="s">
        <v>1530</v>
      </c>
      <c r="E303" s="13" t="s">
        <v>1531</v>
      </c>
      <c r="F303" s="13" t="s">
        <v>1532</v>
      </c>
      <c r="G303" s="13" t="s">
        <v>96</v>
      </c>
      <c r="H303" s="13" t="s">
        <v>368</v>
      </c>
      <c r="I303" s="13" t="s">
        <v>906</v>
      </c>
      <c r="J303" s="13"/>
      <c r="K303" s="13" t="s">
        <v>1522</v>
      </c>
      <c r="L303" s="13" t="s">
        <v>1523</v>
      </c>
      <c r="M303" s="13"/>
      <c r="N303" s="9" t="str">
        <f>HYPERLINK("https://pubmed.ncbi.nlm.nih.gov/41835691/","abrir")</f>
        <v>abrir</v>
      </c>
      <c r="O303" s="10" t="b">
        <f t="shared" si="1"/>
        <v>1</v>
      </c>
    </row>
    <row r="304" ht="60.0" customHeight="1">
      <c r="A304" s="13" t="s">
        <v>1533</v>
      </c>
      <c r="B304" s="14">
        <v>2026.0</v>
      </c>
      <c r="C304" s="13" t="s">
        <v>1534</v>
      </c>
      <c r="D304" s="13" t="s">
        <v>1535</v>
      </c>
      <c r="E304" s="13" t="s">
        <v>1536</v>
      </c>
      <c r="F304" s="13" t="s">
        <v>1537</v>
      </c>
      <c r="G304" s="13" t="s">
        <v>144</v>
      </c>
      <c r="H304" s="13" t="s">
        <v>368</v>
      </c>
      <c r="I304" s="13" t="s">
        <v>906</v>
      </c>
      <c r="J304" s="13"/>
      <c r="K304" s="13" t="s">
        <v>1522</v>
      </c>
      <c r="L304" s="13" t="s">
        <v>1523</v>
      </c>
      <c r="M304" s="13"/>
      <c r="N304" s="9" t="str">
        <f>HYPERLINK("https://pubmed.ncbi.nlm.nih.gov/41841538/","abrir")</f>
        <v>abrir</v>
      </c>
      <c r="O304" s="10" t="b">
        <f t="shared" si="1"/>
        <v>1</v>
      </c>
    </row>
    <row r="305" ht="60.0" customHeight="1">
      <c r="A305" s="13" t="s">
        <v>1538</v>
      </c>
      <c r="B305" s="14">
        <v>2026.0</v>
      </c>
      <c r="C305" s="13" t="s">
        <v>1539</v>
      </c>
      <c r="D305" s="13" t="s">
        <v>1540</v>
      </c>
      <c r="E305" s="13" t="s">
        <v>1541</v>
      </c>
      <c r="F305" s="13" t="s">
        <v>1542</v>
      </c>
      <c r="G305" s="13" t="s">
        <v>96</v>
      </c>
      <c r="H305" s="13" t="s">
        <v>368</v>
      </c>
      <c r="I305" s="13" t="s">
        <v>906</v>
      </c>
      <c r="J305" s="13"/>
      <c r="K305" s="13" t="s">
        <v>1522</v>
      </c>
      <c r="L305" s="13" t="s">
        <v>1523</v>
      </c>
      <c r="M305" s="13"/>
      <c r="N305" s="9" t="str">
        <f>HYPERLINK("https://pubmed.ncbi.nlm.nih.gov/42101568/","abrir")</f>
        <v>abrir</v>
      </c>
      <c r="O305" s="10" t="b">
        <f t="shared" si="1"/>
        <v>1</v>
      </c>
    </row>
    <row r="306" ht="60.0" customHeight="1">
      <c r="A306" s="13" t="s">
        <v>1543</v>
      </c>
      <c r="B306" s="14">
        <v>2026.0</v>
      </c>
      <c r="C306" s="13" t="s">
        <v>1544</v>
      </c>
      <c r="D306" s="13" t="s">
        <v>1545</v>
      </c>
      <c r="E306" s="13" t="s">
        <v>1546</v>
      </c>
      <c r="F306" s="13" t="s">
        <v>447</v>
      </c>
      <c r="G306" s="13" t="s">
        <v>1547</v>
      </c>
      <c r="H306" s="13" t="s">
        <v>368</v>
      </c>
      <c r="I306" s="13" t="s">
        <v>906</v>
      </c>
      <c r="J306" s="13"/>
      <c r="K306" s="13" t="s">
        <v>1522</v>
      </c>
      <c r="L306" s="13" t="s">
        <v>1523</v>
      </c>
      <c r="M306" s="13"/>
      <c r="N306" s="9" t="str">
        <f>HYPERLINK("https://pubmed.ncbi.nlm.nih.gov/42143260/","abrir")</f>
        <v>abrir</v>
      </c>
      <c r="O306" s="10" t="b">
        <f t="shared" si="1"/>
        <v>1</v>
      </c>
    </row>
    <row r="307" ht="60.0" customHeight="1">
      <c r="A307" s="13" t="s">
        <v>1548</v>
      </c>
      <c r="B307" s="14">
        <v>2026.0</v>
      </c>
      <c r="C307" s="13" t="s">
        <v>1549</v>
      </c>
      <c r="D307" s="13" t="s">
        <v>1550</v>
      </c>
      <c r="E307" s="13" t="s">
        <v>1551</v>
      </c>
      <c r="F307" s="13" t="s">
        <v>1552</v>
      </c>
      <c r="G307" s="13" t="s">
        <v>96</v>
      </c>
      <c r="H307" s="13" t="s">
        <v>368</v>
      </c>
      <c r="I307" s="13" t="s">
        <v>906</v>
      </c>
      <c r="J307" s="13"/>
      <c r="K307" s="13" t="s">
        <v>1522</v>
      </c>
      <c r="L307" s="13" t="s">
        <v>1523</v>
      </c>
      <c r="M307" s="13"/>
      <c r="N307" s="9" t="str">
        <f>HYPERLINK("https://pubmed.ncbi.nlm.nih.gov/42181563/","abrir")</f>
        <v>abrir</v>
      </c>
      <c r="O307" s="10" t="b">
        <f t="shared" si="1"/>
        <v>1</v>
      </c>
    </row>
    <row r="308" ht="60.0" customHeight="1">
      <c r="A308" s="13" t="s">
        <v>1553</v>
      </c>
      <c r="B308" s="14">
        <v>2026.0</v>
      </c>
      <c r="C308" s="13" t="s">
        <v>1554</v>
      </c>
      <c r="D308" s="13" t="s">
        <v>1555</v>
      </c>
      <c r="E308" s="13" t="s">
        <v>1556</v>
      </c>
      <c r="F308" s="13" t="s">
        <v>447</v>
      </c>
      <c r="G308" s="13" t="s">
        <v>96</v>
      </c>
      <c r="H308" s="13" t="s">
        <v>368</v>
      </c>
      <c r="I308" s="13" t="s">
        <v>906</v>
      </c>
      <c r="J308" s="13"/>
      <c r="K308" s="13" t="s">
        <v>1522</v>
      </c>
      <c r="L308" s="13" t="s">
        <v>1523</v>
      </c>
      <c r="M308" s="13"/>
      <c r="N308" s="9" t="str">
        <f>HYPERLINK("https://pubmed.ncbi.nlm.nih.gov/42443849/","abrir")</f>
        <v>abrir</v>
      </c>
      <c r="O308" s="10" t="b">
        <f t="shared" si="1"/>
        <v>1</v>
      </c>
    </row>
    <row r="309" ht="60.0" customHeight="1">
      <c r="A309" s="13" t="s">
        <v>1557</v>
      </c>
      <c r="B309" s="14">
        <v>2026.0</v>
      </c>
      <c r="C309" s="13" t="s">
        <v>1558</v>
      </c>
      <c r="D309" s="13" t="s">
        <v>1559</v>
      </c>
      <c r="E309" s="13" t="s">
        <v>1560</v>
      </c>
      <c r="F309" s="13" t="s">
        <v>947</v>
      </c>
      <c r="G309" s="13" t="s">
        <v>184</v>
      </c>
      <c r="H309" s="13" t="s">
        <v>368</v>
      </c>
      <c r="I309" s="13" t="s">
        <v>906</v>
      </c>
      <c r="J309" s="13"/>
      <c r="K309" s="13" t="s">
        <v>1522</v>
      </c>
      <c r="L309" s="13" t="s">
        <v>1523</v>
      </c>
      <c r="M309" s="13"/>
      <c r="N309" s="9" t="str">
        <f>HYPERLINK("https://pubmed.ncbi.nlm.nih.gov/42566411/","abrir")</f>
        <v>abrir</v>
      </c>
      <c r="O309" s="10" t="b">
        <f t="shared" si="1"/>
        <v>1</v>
      </c>
    </row>
    <row r="310" ht="60.0" customHeight="1">
      <c r="A310" s="13" t="s">
        <v>1561</v>
      </c>
      <c r="B310" s="14">
        <v>2025.0</v>
      </c>
      <c r="C310" s="13" t="s">
        <v>1562</v>
      </c>
      <c r="D310" s="13" t="s">
        <v>1563</v>
      </c>
      <c r="E310" s="13" t="s">
        <v>1564</v>
      </c>
      <c r="F310" s="13" t="s">
        <v>1565</v>
      </c>
      <c r="G310" s="13" t="s">
        <v>96</v>
      </c>
      <c r="H310" s="13" t="s">
        <v>368</v>
      </c>
      <c r="I310" s="13" t="s">
        <v>906</v>
      </c>
      <c r="J310" s="13"/>
      <c r="K310" s="13" t="s">
        <v>1522</v>
      </c>
      <c r="L310" s="13" t="s">
        <v>1523</v>
      </c>
      <c r="M310" s="13"/>
      <c r="N310" s="9" t="str">
        <f>HYPERLINK("https://pubmed.ncbi.nlm.nih.gov/39603640/","abrir")</f>
        <v>abrir</v>
      </c>
      <c r="O310" s="10" t="b">
        <f t="shared" si="1"/>
        <v>1</v>
      </c>
    </row>
    <row r="311" ht="60.0" customHeight="1">
      <c r="A311" s="13" t="s">
        <v>1566</v>
      </c>
      <c r="B311" s="14">
        <v>2025.0</v>
      </c>
      <c r="C311" s="13" t="s">
        <v>1567</v>
      </c>
      <c r="D311" s="13" t="s">
        <v>1568</v>
      </c>
      <c r="E311" s="13" t="s">
        <v>1569</v>
      </c>
      <c r="F311" s="13" t="s">
        <v>1570</v>
      </c>
      <c r="G311" s="13" t="s">
        <v>96</v>
      </c>
      <c r="H311" s="13" t="s">
        <v>368</v>
      </c>
      <c r="I311" s="13" t="s">
        <v>906</v>
      </c>
      <c r="J311" s="13"/>
      <c r="K311" s="13" t="s">
        <v>1522</v>
      </c>
      <c r="L311" s="13" t="s">
        <v>1523</v>
      </c>
      <c r="M311" s="13"/>
      <c r="N311" s="9" t="str">
        <f>HYPERLINK("https://pubmed.ncbi.nlm.nih.gov/39947583/","abrir")</f>
        <v>abrir</v>
      </c>
      <c r="O311" s="10" t="b">
        <f t="shared" si="1"/>
        <v>1</v>
      </c>
    </row>
    <row r="312" ht="60.0" customHeight="1">
      <c r="A312" s="13" t="s">
        <v>1571</v>
      </c>
      <c r="B312" s="14">
        <v>2025.0</v>
      </c>
      <c r="C312" s="13" t="s">
        <v>1572</v>
      </c>
      <c r="D312" s="13" t="s">
        <v>1573</v>
      </c>
      <c r="E312" s="13" t="s">
        <v>1574</v>
      </c>
      <c r="F312" s="13" t="s">
        <v>1575</v>
      </c>
      <c r="G312" s="13" t="s">
        <v>144</v>
      </c>
      <c r="H312" s="13" t="s">
        <v>368</v>
      </c>
      <c r="I312" s="13" t="s">
        <v>906</v>
      </c>
      <c r="J312" s="13"/>
      <c r="K312" s="13" t="s">
        <v>1522</v>
      </c>
      <c r="L312" s="13" t="s">
        <v>1523</v>
      </c>
      <c r="M312" s="13"/>
      <c r="N312" s="9" t="str">
        <f>HYPERLINK("https://pubmed.ncbi.nlm.nih.gov/40283396/","abrir")</f>
        <v>abrir</v>
      </c>
      <c r="O312" s="10" t="b">
        <f t="shared" si="1"/>
        <v>1</v>
      </c>
    </row>
    <row r="313" ht="60.0" customHeight="1">
      <c r="A313" s="13" t="s">
        <v>1576</v>
      </c>
      <c r="B313" s="14">
        <v>2025.0</v>
      </c>
      <c r="C313" s="13" t="s">
        <v>1577</v>
      </c>
      <c r="D313" s="13" t="s">
        <v>1578</v>
      </c>
      <c r="E313" s="13" t="s">
        <v>1579</v>
      </c>
      <c r="F313" s="13" t="s">
        <v>1580</v>
      </c>
      <c r="G313" s="13" t="s">
        <v>173</v>
      </c>
      <c r="H313" s="13" t="s">
        <v>368</v>
      </c>
      <c r="I313" s="13" t="s">
        <v>906</v>
      </c>
      <c r="J313" s="13"/>
      <c r="K313" s="13" t="s">
        <v>1522</v>
      </c>
      <c r="L313" s="13" t="s">
        <v>1523</v>
      </c>
      <c r="M313" s="13"/>
      <c r="N313" s="9" t="str">
        <f>HYPERLINK("https://pubmed.ncbi.nlm.nih.gov/40389136/","abrir")</f>
        <v>abrir</v>
      </c>
      <c r="O313" s="10" t="b">
        <f t="shared" si="1"/>
        <v>1</v>
      </c>
    </row>
    <row r="314" ht="60.0" customHeight="1">
      <c r="A314" s="13" t="s">
        <v>1581</v>
      </c>
      <c r="B314" s="14">
        <v>2025.0</v>
      </c>
      <c r="C314" s="13" t="s">
        <v>1582</v>
      </c>
      <c r="D314" s="13" t="s">
        <v>1583</v>
      </c>
      <c r="E314" s="13" t="s">
        <v>1584</v>
      </c>
      <c r="F314" s="13" t="s">
        <v>447</v>
      </c>
      <c r="G314" s="13" t="s">
        <v>96</v>
      </c>
      <c r="H314" s="13" t="s">
        <v>368</v>
      </c>
      <c r="I314" s="13" t="s">
        <v>906</v>
      </c>
      <c r="J314" s="13"/>
      <c r="K314" s="13" t="s">
        <v>1522</v>
      </c>
      <c r="L314" s="13" t="s">
        <v>1523</v>
      </c>
      <c r="M314" s="13"/>
      <c r="N314" s="9" t="str">
        <f>HYPERLINK("https://pubmed.ncbi.nlm.nih.gov/40610927/","abrir")</f>
        <v>abrir</v>
      </c>
      <c r="O314" s="10" t="b">
        <f t="shared" si="1"/>
        <v>1</v>
      </c>
    </row>
    <row r="315" ht="60.0" customHeight="1">
      <c r="A315" s="13" t="s">
        <v>1585</v>
      </c>
      <c r="B315" s="14">
        <v>2025.0</v>
      </c>
      <c r="C315" s="13" t="s">
        <v>1586</v>
      </c>
      <c r="D315" s="13" t="s">
        <v>1587</v>
      </c>
      <c r="E315" s="13" t="s">
        <v>1588</v>
      </c>
      <c r="F315" s="13" t="s">
        <v>1258</v>
      </c>
      <c r="G315" s="13" t="s">
        <v>96</v>
      </c>
      <c r="H315" s="13" t="s">
        <v>368</v>
      </c>
      <c r="I315" s="13" t="s">
        <v>906</v>
      </c>
      <c r="J315" s="13"/>
      <c r="K315" s="13" t="s">
        <v>1522</v>
      </c>
      <c r="L315" s="13" t="s">
        <v>1523</v>
      </c>
      <c r="M315" s="13"/>
      <c r="N315" s="9" t="str">
        <f>HYPERLINK("https://pubmed.ncbi.nlm.nih.gov/40652784/","abrir")</f>
        <v>abrir</v>
      </c>
      <c r="O315" s="10" t="b">
        <f t="shared" si="1"/>
        <v>1</v>
      </c>
    </row>
    <row r="316" ht="60.0" customHeight="1">
      <c r="A316" s="13" t="s">
        <v>1589</v>
      </c>
      <c r="B316" s="14">
        <v>2025.0</v>
      </c>
      <c r="C316" s="13" t="s">
        <v>1260</v>
      </c>
      <c r="D316" s="13" t="s">
        <v>1590</v>
      </c>
      <c r="E316" s="13" t="s">
        <v>1591</v>
      </c>
      <c r="F316" s="13" t="s">
        <v>1592</v>
      </c>
      <c r="G316" s="13" t="s">
        <v>96</v>
      </c>
      <c r="H316" s="13" t="s">
        <v>368</v>
      </c>
      <c r="I316" s="13" t="s">
        <v>906</v>
      </c>
      <c r="J316" s="13"/>
      <c r="K316" s="13" t="s">
        <v>1522</v>
      </c>
      <c r="L316" s="13" t="s">
        <v>1523</v>
      </c>
      <c r="M316" s="13"/>
      <c r="N316" s="9" t="str">
        <f>HYPERLINK("https://pubmed.ncbi.nlm.nih.gov/40762718/","abrir")</f>
        <v>abrir</v>
      </c>
      <c r="O316" s="10" t="b">
        <f t="shared" si="1"/>
        <v>1</v>
      </c>
    </row>
    <row r="317" ht="60.0" customHeight="1">
      <c r="A317" s="13" t="s">
        <v>1593</v>
      </c>
      <c r="B317" s="14">
        <v>2025.0</v>
      </c>
      <c r="C317" s="13" t="s">
        <v>1594</v>
      </c>
      <c r="D317" s="13" t="s">
        <v>1595</v>
      </c>
      <c r="E317" s="13" t="s">
        <v>1596</v>
      </c>
      <c r="F317" s="13" t="s">
        <v>1597</v>
      </c>
      <c r="G317" s="13" t="s">
        <v>96</v>
      </c>
      <c r="H317" s="13" t="s">
        <v>368</v>
      </c>
      <c r="I317" s="13" t="s">
        <v>906</v>
      </c>
      <c r="J317" s="13"/>
      <c r="K317" s="13" t="s">
        <v>1522</v>
      </c>
      <c r="L317" s="13" t="s">
        <v>1523</v>
      </c>
      <c r="M317" s="13"/>
      <c r="N317" s="9" t="str">
        <f>HYPERLINK("https://pubmed.ncbi.nlm.nih.gov/41020230/","abrir")</f>
        <v>abrir</v>
      </c>
      <c r="O317" s="10" t="b">
        <f t="shared" si="1"/>
        <v>1</v>
      </c>
    </row>
    <row r="318" ht="60.0" customHeight="1">
      <c r="A318" s="13" t="s">
        <v>1598</v>
      </c>
      <c r="B318" s="14">
        <v>2025.0</v>
      </c>
      <c r="C318" s="13" t="s">
        <v>1599</v>
      </c>
      <c r="D318" s="13" t="s">
        <v>1600</v>
      </c>
      <c r="E318" s="13" t="s">
        <v>1601</v>
      </c>
      <c r="F318" s="13" t="s">
        <v>1602</v>
      </c>
      <c r="G318" s="13" t="s">
        <v>144</v>
      </c>
      <c r="H318" s="13" t="s">
        <v>368</v>
      </c>
      <c r="I318" s="13" t="s">
        <v>906</v>
      </c>
      <c r="J318" s="13"/>
      <c r="K318" s="13" t="s">
        <v>1522</v>
      </c>
      <c r="L318" s="13" t="s">
        <v>1523</v>
      </c>
      <c r="M318" s="13"/>
      <c r="N318" s="9" t="str">
        <f>HYPERLINK("https://pubmed.ncbi.nlm.nih.gov/41133498/","abrir")</f>
        <v>abrir</v>
      </c>
      <c r="O318" s="10" t="b">
        <f t="shared" si="1"/>
        <v>1</v>
      </c>
    </row>
    <row r="319" ht="60.0" customHeight="1">
      <c r="A319" s="13" t="s">
        <v>1603</v>
      </c>
      <c r="B319" s="14">
        <v>2025.0</v>
      </c>
      <c r="C319" s="13" t="s">
        <v>1604</v>
      </c>
      <c r="D319" s="13" t="s">
        <v>1605</v>
      </c>
      <c r="E319" s="13" t="s">
        <v>1606</v>
      </c>
      <c r="F319" s="13" t="s">
        <v>1607</v>
      </c>
      <c r="G319" s="13" t="s">
        <v>96</v>
      </c>
      <c r="H319" s="13" t="s">
        <v>97</v>
      </c>
      <c r="I319" s="13" t="s">
        <v>906</v>
      </c>
      <c r="J319" s="13"/>
      <c r="K319" s="13" t="s">
        <v>1522</v>
      </c>
      <c r="L319" s="13" t="s">
        <v>1523</v>
      </c>
      <c r="M319" s="13"/>
      <c r="N319" s="9" t="str">
        <f>HYPERLINK("https://pubmed.ncbi.nlm.nih.gov/41496816/","abrir")</f>
        <v>abrir</v>
      </c>
      <c r="O319" s="10" t="b">
        <f t="shared" si="1"/>
        <v>1</v>
      </c>
    </row>
    <row r="320" ht="60.0" customHeight="1">
      <c r="A320" s="13" t="s">
        <v>1608</v>
      </c>
      <c r="B320" s="14">
        <v>2024.0</v>
      </c>
      <c r="C320" s="13" t="s">
        <v>1609</v>
      </c>
      <c r="D320" s="13" t="s">
        <v>1610</v>
      </c>
      <c r="E320" s="13" t="s">
        <v>1611</v>
      </c>
      <c r="F320" s="13" t="s">
        <v>1139</v>
      </c>
      <c r="G320" s="13" t="s">
        <v>96</v>
      </c>
      <c r="H320" s="13" t="s">
        <v>126</v>
      </c>
      <c r="I320" s="13" t="s">
        <v>906</v>
      </c>
      <c r="J320" s="13"/>
      <c r="K320" s="13" t="s">
        <v>1522</v>
      </c>
      <c r="L320" s="13" t="s">
        <v>1523</v>
      </c>
      <c r="M320" s="13"/>
      <c r="N320" s="9" t="str">
        <f>HYPERLINK("https://pubmed.ncbi.nlm.nih.gov/37326856/","abrir")</f>
        <v>abrir</v>
      </c>
      <c r="O320" s="10" t="b">
        <f t="shared" si="1"/>
        <v>1</v>
      </c>
    </row>
    <row r="321" ht="60.0" customHeight="1">
      <c r="A321" s="13" t="s">
        <v>1612</v>
      </c>
      <c r="B321" s="14">
        <v>2024.0</v>
      </c>
      <c r="C321" s="13" t="s">
        <v>1613</v>
      </c>
      <c r="D321" s="13" t="s">
        <v>1614</v>
      </c>
      <c r="E321" s="13" t="s">
        <v>1615</v>
      </c>
      <c r="F321" s="13" t="s">
        <v>1144</v>
      </c>
      <c r="G321" s="13" t="s">
        <v>1616</v>
      </c>
      <c r="H321" s="13" t="s">
        <v>368</v>
      </c>
      <c r="I321" s="13" t="s">
        <v>906</v>
      </c>
      <c r="J321" s="13"/>
      <c r="K321" s="13" t="s">
        <v>1522</v>
      </c>
      <c r="L321" s="13" t="s">
        <v>1523</v>
      </c>
      <c r="M321" s="13"/>
      <c r="N321" s="9" t="str">
        <f>HYPERLINK("https://pubmed.ncbi.nlm.nih.gov/37487855/","abrir")</f>
        <v>abrir</v>
      </c>
      <c r="O321" s="10" t="b">
        <f t="shared" si="1"/>
        <v>1</v>
      </c>
    </row>
    <row r="322" ht="60.0" customHeight="1">
      <c r="A322" s="13" t="s">
        <v>1617</v>
      </c>
      <c r="B322" s="14">
        <v>2024.0</v>
      </c>
      <c r="C322" s="13" t="s">
        <v>1618</v>
      </c>
      <c r="D322" s="13" t="s">
        <v>1619</v>
      </c>
      <c r="E322" s="13" t="s">
        <v>1620</v>
      </c>
      <c r="F322" s="13" t="s">
        <v>132</v>
      </c>
      <c r="G322" s="13" t="s">
        <v>96</v>
      </c>
      <c r="H322" s="13" t="s">
        <v>368</v>
      </c>
      <c r="I322" s="13" t="s">
        <v>906</v>
      </c>
      <c r="J322" s="13"/>
      <c r="K322" s="13" t="s">
        <v>1522</v>
      </c>
      <c r="L322" s="13" t="s">
        <v>1523</v>
      </c>
      <c r="M322" s="13"/>
      <c r="N322" s="9" t="str">
        <f>HYPERLINK("https://pubmed.ncbi.nlm.nih.gov/38570366/","abrir")</f>
        <v>abrir</v>
      </c>
      <c r="O322" s="10" t="b">
        <f t="shared" si="1"/>
        <v>1</v>
      </c>
    </row>
    <row r="323" ht="60.0" customHeight="1">
      <c r="A323" s="13" t="s">
        <v>1621</v>
      </c>
      <c r="B323" s="14">
        <v>2024.0</v>
      </c>
      <c r="C323" s="13" t="s">
        <v>1622</v>
      </c>
      <c r="D323" s="13" t="s">
        <v>1623</v>
      </c>
      <c r="E323" s="13" t="s">
        <v>1624</v>
      </c>
      <c r="F323" s="13" t="s">
        <v>137</v>
      </c>
      <c r="G323" s="13" t="s">
        <v>96</v>
      </c>
      <c r="H323" s="13" t="s">
        <v>368</v>
      </c>
      <c r="I323" s="13" t="s">
        <v>906</v>
      </c>
      <c r="J323" s="13"/>
      <c r="K323" s="13" t="s">
        <v>1522</v>
      </c>
      <c r="L323" s="13" t="s">
        <v>1523</v>
      </c>
      <c r="M323" s="13"/>
      <c r="N323" s="9" t="str">
        <f>HYPERLINK("https://pubmed.ncbi.nlm.nih.gov/38632851/","abrir")</f>
        <v>abrir</v>
      </c>
      <c r="O323" s="10" t="b">
        <f t="shared" si="1"/>
        <v>1</v>
      </c>
    </row>
    <row r="324" ht="60.0" customHeight="1">
      <c r="A324" s="13" t="s">
        <v>1625</v>
      </c>
      <c r="B324" s="14">
        <v>2024.0</v>
      </c>
      <c r="C324" s="13" t="s">
        <v>1260</v>
      </c>
      <c r="D324" s="13" t="s">
        <v>1626</v>
      </c>
      <c r="E324" s="13" t="s">
        <v>1627</v>
      </c>
      <c r="F324" s="13" t="s">
        <v>913</v>
      </c>
      <c r="G324" s="13" t="s">
        <v>184</v>
      </c>
      <c r="H324" s="13" t="s">
        <v>368</v>
      </c>
      <c r="I324" s="13" t="s">
        <v>906</v>
      </c>
      <c r="J324" s="13"/>
      <c r="K324" s="13" t="s">
        <v>1522</v>
      </c>
      <c r="L324" s="13" t="s">
        <v>1523</v>
      </c>
      <c r="M324" s="13"/>
      <c r="N324" s="9" t="str">
        <f>HYPERLINK("https://pubmed.ncbi.nlm.nih.gov/38649697/","abrir")</f>
        <v>abrir</v>
      </c>
      <c r="O324" s="10" t="b">
        <f t="shared" si="1"/>
        <v>1</v>
      </c>
    </row>
    <row r="325" ht="60.0" customHeight="1">
      <c r="A325" s="13" t="s">
        <v>1628</v>
      </c>
      <c r="B325" s="14">
        <v>2024.0</v>
      </c>
      <c r="C325" s="13" t="s">
        <v>1629</v>
      </c>
      <c r="D325" s="13" t="s">
        <v>1630</v>
      </c>
      <c r="E325" s="13" t="s">
        <v>1631</v>
      </c>
      <c r="F325" s="13" t="s">
        <v>108</v>
      </c>
      <c r="G325" s="13" t="s">
        <v>96</v>
      </c>
      <c r="H325" s="13" t="s">
        <v>368</v>
      </c>
      <c r="I325" s="13" t="s">
        <v>906</v>
      </c>
      <c r="J325" s="13"/>
      <c r="K325" s="13" t="s">
        <v>1522</v>
      </c>
      <c r="L325" s="13" t="s">
        <v>1523</v>
      </c>
      <c r="M325" s="13"/>
      <c r="N325" s="9" t="str">
        <f>HYPERLINK("https://pubmed.ncbi.nlm.nih.gov/39062246/","abrir")</f>
        <v>abrir</v>
      </c>
      <c r="O325" s="10" t="b">
        <f t="shared" si="1"/>
        <v>1</v>
      </c>
    </row>
    <row r="326" ht="60.0" customHeight="1">
      <c r="A326" s="13" t="s">
        <v>1632</v>
      </c>
      <c r="B326" s="14">
        <v>2024.0</v>
      </c>
      <c r="C326" s="13" t="s">
        <v>1633</v>
      </c>
      <c r="D326" s="13" t="s">
        <v>1634</v>
      </c>
      <c r="E326" s="13" t="s">
        <v>1635</v>
      </c>
      <c r="F326" s="13" t="s">
        <v>499</v>
      </c>
      <c r="G326" s="13" t="s">
        <v>96</v>
      </c>
      <c r="H326" s="13" t="s">
        <v>368</v>
      </c>
      <c r="I326" s="13" t="s">
        <v>906</v>
      </c>
      <c r="J326" s="13"/>
      <c r="K326" s="13" t="s">
        <v>1522</v>
      </c>
      <c r="L326" s="13" t="s">
        <v>1523</v>
      </c>
      <c r="M326" s="13"/>
      <c r="N326" s="9" t="str">
        <f>HYPERLINK("https://pubmed.ncbi.nlm.nih.gov/39630766/","abrir")</f>
        <v>abrir</v>
      </c>
      <c r="O326" s="10" t="b">
        <f t="shared" si="1"/>
        <v>1</v>
      </c>
    </row>
    <row r="327" ht="60.0" customHeight="1">
      <c r="A327" s="13" t="s">
        <v>1636</v>
      </c>
      <c r="B327" s="14">
        <v>2024.0</v>
      </c>
      <c r="C327" s="13" t="s">
        <v>1637</v>
      </c>
      <c r="D327" s="13" t="s">
        <v>1638</v>
      </c>
      <c r="E327" s="13" t="s">
        <v>1639</v>
      </c>
      <c r="F327" s="13" t="s">
        <v>1052</v>
      </c>
      <c r="G327" s="13" t="s">
        <v>96</v>
      </c>
      <c r="H327" s="13" t="s">
        <v>126</v>
      </c>
      <c r="I327" s="13" t="s">
        <v>906</v>
      </c>
      <c r="J327" s="13"/>
      <c r="K327" s="13" t="s">
        <v>1522</v>
      </c>
      <c r="L327" s="13" t="s">
        <v>1523</v>
      </c>
      <c r="M327" s="13"/>
      <c r="N327" s="9" t="str">
        <f>HYPERLINK("https://pubmed.ncbi.nlm.nih.gov/39767216/","abrir")</f>
        <v>abrir</v>
      </c>
      <c r="O327" s="10" t="b">
        <f t="shared" si="1"/>
        <v>1</v>
      </c>
    </row>
    <row r="328" ht="60.0" customHeight="1">
      <c r="A328" s="13" t="s">
        <v>1640</v>
      </c>
      <c r="B328" s="14">
        <v>2023.0</v>
      </c>
      <c r="C328" s="13" t="s">
        <v>1641</v>
      </c>
      <c r="D328" s="13" t="s">
        <v>1642</v>
      </c>
      <c r="E328" s="13" t="s">
        <v>1643</v>
      </c>
      <c r="F328" s="13" t="s">
        <v>1139</v>
      </c>
      <c r="G328" s="13" t="s">
        <v>184</v>
      </c>
      <c r="H328" s="13" t="s">
        <v>368</v>
      </c>
      <c r="I328" s="13" t="s">
        <v>906</v>
      </c>
      <c r="J328" s="13"/>
      <c r="K328" s="13" t="s">
        <v>1522</v>
      </c>
      <c r="L328" s="13" t="s">
        <v>1523</v>
      </c>
      <c r="M328" s="13"/>
      <c r="N328" s="9" t="str">
        <f>HYPERLINK("https://pubmed.ncbi.nlm.nih.gov/36269386/","abrir")</f>
        <v>abrir</v>
      </c>
      <c r="O328" s="10" t="b">
        <f t="shared" si="1"/>
        <v>0</v>
      </c>
    </row>
    <row r="329" ht="60.0" customHeight="1">
      <c r="A329" s="13" t="s">
        <v>1644</v>
      </c>
      <c r="B329" s="14">
        <v>2023.0</v>
      </c>
      <c r="C329" s="13" t="s">
        <v>1645</v>
      </c>
      <c r="D329" s="13" t="s">
        <v>1646</v>
      </c>
      <c r="E329" s="13" t="s">
        <v>1647</v>
      </c>
      <c r="F329" s="13" t="s">
        <v>1179</v>
      </c>
      <c r="G329" s="13" t="s">
        <v>96</v>
      </c>
      <c r="H329" s="13" t="s">
        <v>368</v>
      </c>
      <c r="I329" s="13" t="s">
        <v>906</v>
      </c>
      <c r="J329" s="13"/>
      <c r="K329" s="13" t="s">
        <v>1522</v>
      </c>
      <c r="L329" s="13" t="s">
        <v>1523</v>
      </c>
      <c r="M329" s="13"/>
      <c r="N329" s="9" t="str">
        <f>HYPERLINK("https://pubmed.ncbi.nlm.nih.gov/36582017/","abrir")</f>
        <v>abrir</v>
      </c>
      <c r="O329" s="10" t="b">
        <f t="shared" si="1"/>
        <v>0</v>
      </c>
    </row>
    <row r="330" ht="60.0" customHeight="1">
      <c r="A330" s="13" t="s">
        <v>1648</v>
      </c>
      <c r="B330" s="14">
        <v>2023.0</v>
      </c>
      <c r="C330" s="13" t="s">
        <v>1649</v>
      </c>
      <c r="D330" s="13" t="s">
        <v>1650</v>
      </c>
      <c r="E330" s="13" t="s">
        <v>1651</v>
      </c>
      <c r="F330" s="13" t="s">
        <v>1652</v>
      </c>
      <c r="G330" s="13" t="s">
        <v>96</v>
      </c>
      <c r="H330" s="13" t="s">
        <v>368</v>
      </c>
      <c r="I330" s="13" t="s">
        <v>906</v>
      </c>
      <c r="J330" s="13"/>
      <c r="K330" s="13" t="s">
        <v>1522</v>
      </c>
      <c r="L330" s="13" t="s">
        <v>1523</v>
      </c>
      <c r="M330" s="13"/>
      <c r="N330" s="9" t="str">
        <f>HYPERLINK("https://pubmed.ncbi.nlm.nih.gov/37052892/","abrir")</f>
        <v>abrir</v>
      </c>
      <c r="O330" s="10" t="b">
        <f t="shared" si="1"/>
        <v>0</v>
      </c>
    </row>
    <row r="331" ht="60.0" customHeight="1">
      <c r="A331" s="13" t="s">
        <v>1653</v>
      </c>
      <c r="B331" s="14">
        <v>2023.0</v>
      </c>
      <c r="C331" s="13" t="s">
        <v>1654</v>
      </c>
      <c r="D331" s="13" t="s">
        <v>1655</v>
      </c>
      <c r="E331" s="13" t="s">
        <v>1656</v>
      </c>
      <c r="F331" s="13" t="s">
        <v>1597</v>
      </c>
      <c r="G331" s="13" t="s">
        <v>96</v>
      </c>
      <c r="H331" s="13" t="s">
        <v>368</v>
      </c>
      <c r="I331" s="13" t="s">
        <v>906</v>
      </c>
      <c r="J331" s="13"/>
      <c r="K331" s="13" t="s">
        <v>1522</v>
      </c>
      <c r="L331" s="13" t="s">
        <v>1523</v>
      </c>
      <c r="M331" s="13"/>
      <c r="N331" s="9" t="str">
        <f>HYPERLINK("https://pubmed.ncbi.nlm.nih.gov/37287743/","abrir")</f>
        <v>abrir</v>
      </c>
      <c r="O331" s="10" t="b">
        <f t="shared" si="1"/>
        <v>0</v>
      </c>
    </row>
    <row r="332" ht="60.0" customHeight="1">
      <c r="A332" s="13" t="s">
        <v>1657</v>
      </c>
      <c r="B332" s="14">
        <v>2023.0</v>
      </c>
      <c r="C332" s="13" t="s">
        <v>1658</v>
      </c>
      <c r="D332" s="13" t="s">
        <v>1659</v>
      </c>
      <c r="E332" s="13" t="s">
        <v>1660</v>
      </c>
      <c r="F332" s="13" t="s">
        <v>298</v>
      </c>
      <c r="G332" s="13" t="s">
        <v>914</v>
      </c>
      <c r="H332" s="13" t="s">
        <v>97</v>
      </c>
      <c r="I332" s="13" t="s">
        <v>906</v>
      </c>
      <c r="J332" s="13"/>
      <c r="K332" s="13" t="s">
        <v>1522</v>
      </c>
      <c r="L332" s="13" t="s">
        <v>1523</v>
      </c>
      <c r="M332" s="13"/>
      <c r="N332" s="9" t="str">
        <f>HYPERLINK("https://pubmed.ncbi.nlm.nih.gov/37418285/","abrir")</f>
        <v>abrir</v>
      </c>
      <c r="O332" s="10" t="b">
        <f t="shared" si="1"/>
        <v>0</v>
      </c>
    </row>
    <row r="333" ht="60.0" customHeight="1">
      <c r="A333" s="13" t="s">
        <v>1661</v>
      </c>
      <c r="B333" s="14">
        <v>2023.0</v>
      </c>
      <c r="C333" s="13" t="s">
        <v>1662</v>
      </c>
      <c r="D333" s="13" t="s">
        <v>1663</v>
      </c>
      <c r="E333" s="13" t="s">
        <v>1664</v>
      </c>
      <c r="F333" s="13" t="s">
        <v>447</v>
      </c>
      <c r="G333" s="13" t="s">
        <v>96</v>
      </c>
      <c r="H333" s="13" t="s">
        <v>126</v>
      </c>
      <c r="I333" s="13" t="s">
        <v>906</v>
      </c>
      <c r="J333" s="13"/>
      <c r="K333" s="13" t="s">
        <v>1522</v>
      </c>
      <c r="L333" s="13" t="s">
        <v>1523</v>
      </c>
      <c r="M333" s="13"/>
      <c r="N333" s="9" t="str">
        <f>HYPERLINK("https://pubmed.ncbi.nlm.nih.gov/37726736/","abrir")</f>
        <v>abrir</v>
      </c>
      <c r="O333" s="10" t="b">
        <f t="shared" si="1"/>
        <v>0</v>
      </c>
    </row>
    <row r="334" ht="60.0" customHeight="1">
      <c r="A334" s="13" t="s">
        <v>1665</v>
      </c>
      <c r="B334" s="14">
        <v>2023.0</v>
      </c>
      <c r="C334" s="13" t="s">
        <v>1666</v>
      </c>
      <c r="D334" s="13" t="s">
        <v>1667</v>
      </c>
      <c r="E334" s="13" t="s">
        <v>1668</v>
      </c>
      <c r="F334" s="13" t="s">
        <v>1669</v>
      </c>
      <c r="G334" s="13" t="s">
        <v>96</v>
      </c>
      <c r="H334" s="13" t="s">
        <v>368</v>
      </c>
      <c r="I334" s="13" t="s">
        <v>906</v>
      </c>
      <c r="J334" s="13"/>
      <c r="K334" s="13" t="s">
        <v>1522</v>
      </c>
      <c r="L334" s="13" t="s">
        <v>1523</v>
      </c>
      <c r="M334" s="13"/>
      <c r="N334" s="9" t="str">
        <f>HYPERLINK("https://pubmed.ncbi.nlm.nih.gov/38296637/","abrir")</f>
        <v>abrir</v>
      </c>
      <c r="O334" s="10" t="b">
        <f t="shared" si="1"/>
        <v>0</v>
      </c>
    </row>
    <row r="335" ht="60.0" customHeight="1">
      <c r="A335" s="13" t="s">
        <v>1670</v>
      </c>
      <c r="B335" s="14">
        <v>2022.0</v>
      </c>
      <c r="C335" s="13" t="s">
        <v>1671</v>
      </c>
      <c r="D335" s="13" t="s">
        <v>1672</v>
      </c>
      <c r="E335" s="13" t="s">
        <v>1673</v>
      </c>
      <c r="F335" s="13" t="s">
        <v>447</v>
      </c>
      <c r="G335" s="13" t="s">
        <v>96</v>
      </c>
      <c r="H335" s="13" t="s">
        <v>368</v>
      </c>
      <c r="I335" s="13" t="s">
        <v>906</v>
      </c>
      <c r="J335" s="13"/>
      <c r="K335" s="13" t="s">
        <v>1522</v>
      </c>
      <c r="L335" s="13" t="s">
        <v>1523</v>
      </c>
      <c r="M335" s="13"/>
      <c r="N335" s="9" t="str">
        <f>HYPERLINK("https://pubmed.ncbi.nlm.nih.gov/35291955/","abrir")</f>
        <v>abrir</v>
      </c>
      <c r="O335" s="10" t="b">
        <f t="shared" si="1"/>
        <v>0</v>
      </c>
    </row>
    <row r="336" ht="60.0" customHeight="1">
      <c r="A336" s="13" t="s">
        <v>1674</v>
      </c>
      <c r="B336" s="14">
        <v>2021.0</v>
      </c>
      <c r="C336" s="13" t="s">
        <v>1675</v>
      </c>
      <c r="D336" s="13" t="s">
        <v>1676</v>
      </c>
      <c r="E336" s="13" t="s">
        <v>1677</v>
      </c>
      <c r="F336" s="13" t="s">
        <v>243</v>
      </c>
      <c r="G336" s="13" t="s">
        <v>96</v>
      </c>
      <c r="H336" s="13" t="s">
        <v>368</v>
      </c>
      <c r="I336" s="13" t="s">
        <v>906</v>
      </c>
      <c r="J336" s="13"/>
      <c r="K336" s="13" t="s">
        <v>1522</v>
      </c>
      <c r="L336" s="13" t="s">
        <v>1523</v>
      </c>
      <c r="M336" s="13"/>
      <c r="N336" s="9" t="str">
        <f>HYPERLINK("https://pubmed.ncbi.nlm.nih.gov/33914334/","abrir")</f>
        <v>abrir</v>
      </c>
      <c r="O336" s="10" t="b">
        <f t="shared" si="1"/>
        <v>0</v>
      </c>
    </row>
    <row r="337" ht="60.0" customHeight="1">
      <c r="A337" s="13" t="s">
        <v>1678</v>
      </c>
      <c r="B337" s="14">
        <v>2021.0</v>
      </c>
      <c r="C337" s="13" t="s">
        <v>1679</v>
      </c>
      <c r="D337" s="13" t="s">
        <v>1680</v>
      </c>
      <c r="E337" s="13" t="s">
        <v>1681</v>
      </c>
      <c r="F337" s="13" t="s">
        <v>1144</v>
      </c>
      <c r="G337" s="13" t="s">
        <v>1145</v>
      </c>
      <c r="H337" s="13" t="s">
        <v>368</v>
      </c>
      <c r="I337" s="13" t="s">
        <v>906</v>
      </c>
      <c r="J337" s="13"/>
      <c r="K337" s="13" t="s">
        <v>1522</v>
      </c>
      <c r="L337" s="13" t="s">
        <v>1523</v>
      </c>
      <c r="M337" s="13"/>
      <c r="N337" s="9" t="str">
        <f>HYPERLINK("https://pubmed.ncbi.nlm.nih.gov/34058167/","abrir")</f>
        <v>abrir</v>
      </c>
      <c r="O337" s="10" t="b">
        <f t="shared" si="1"/>
        <v>0</v>
      </c>
    </row>
    <row r="338" ht="60.0" customHeight="1">
      <c r="A338" s="13" t="s">
        <v>1682</v>
      </c>
      <c r="B338" s="14">
        <v>2020.0</v>
      </c>
      <c r="C338" s="13" t="s">
        <v>1683</v>
      </c>
      <c r="D338" s="13" t="s">
        <v>1684</v>
      </c>
      <c r="E338" s="13" t="s">
        <v>1685</v>
      </c>
      <c r="F338" s="13" t="s">
        <v>684</v>
      </c>
      <c r="G338" s="13" t="s">
        <v>96</v>
      </c>
      <c r="H338" s="13" t="s">
        <v>97</v>
      </c>
      <c r="I338" s="13" t="s">
        <v>906</v>
      </c>
      <c r="J338" s="13"/>
      <c r="K338" s="13" t="s">
        <v>1522</v>
      </c>
      <c r="L338" s="13" t="s">
        <v>1523</v>
      </c>
      <c r="M338" s="13"/>
      <c r="N338" s="9" t="str">
        <f>HYPERLINK("https://pubmed.ncbi.nlm.nih.gov/31180600/","abrir")</f>
        <v>abrir</v>
      </c>
      <c r="O338" s="10" t="b">
        <f t="shared" si="1"/>
        <v>0</v>
      </c>
    </row>
    <row r="339" ht="60.0" customHeight="1">
      <c r="A339" s="13" t="s">
        <v>1686</v>
      </c>
      <c r="B339" s="14">
        <v>2020.0</v>
      </c>
      <c r="C339" s="13" t="s">
        <v>1687</v>
      </c>
      <c r="D339" s="13" t="s">
        <v>1688</v>
      </c>
      <c r="E339" s="13" t="s">
        <v>1689</v>
      </c>
      <c r="F339" s="13" t="s">
        <v>204</v>
      </c>
      <c r="G339" s="13" t="s">
        <v>184</v>
      </c>
      <c r="H339" s="13" t="s">
        <v>97</v>
      </c>
      <c r="I339" s="13" t="s">
        <v>906</v>
      </c>
      <c r="J339" s="13"/>
      <c r="K339" s="13" t="s">
        <v>1522</v>
      </c>
      <c r="L339" s="13" t="s">
        <v>1523</v>
      </c>
      <c r="M339" s="13"/>
      <c r="N339" s="9" t="str">
        <f>HYPERLINK("https://pubmed.ncbi.nlm.nih.gov/31952847/","abrir")</f>
        <v>abrir</v>
      </c>
      <c r="O339" s="10" t="b">
        <f t="shared" si="1"/>
        <v>0</v>
      </c>
    </row>
    <row r="340" ht="60.0" customHeight="1">
      <c r="A340" s="13" t="s">
        <v>1690</v>
      </c>
      <c r="B340" s="14">
        <v>2020.0</v>
      </c>
      <c r="C340" s="13" t="s">
        <v>1691</v>
      </c>
      <c r="D340" s="13" t="s">
        <v>1692</v>
      </c>
      <c r="E340" s="13" t="s">
        <v>1693</v>
      </c>
      <c r="F340" s="13" t="s">
        <v>298</v>
      </c>
      <c r="G340" s="13" t="s">
        <v>96</v>
      </c>
      <c r="H340" s="13" t="s">
        <v>368</v>
      </c>
      <c r="I340" s="13" t="s">
        <v>906</v>
      </c>
      <c r="J340" s="13"/>
      <c r="K340" s="13" t="s">
        <v>1522</v>
      </c>
      <c r="L340" s="13" t="s">
        <v>1523</v>
      </c>
      <c r="M340" s="13"/>
      <c r="N340" s="9" t="str">
        <f>HYPERLINK("https://pubmed.ncbi.nlm.nih.gov/31955448/","abrir")</f>
        <v>abrir</v>
      </c>
      <c r="O340" s="10" t="b">
        <f t="shared" si="1"/>
        <v>0</v>
      </c>
    </row>
    <row r="341" ht="60.0" customHeight="1">
      <c r="A341" s="13" t="s">
        <v>1694</v>
      </c>
      <c r="B341" s="14">
        <v>2020.0</v>
      </c>
      <c r="C341" s="13" t="s">
        <v>1695</v>
      </c>
      <c r="D341" s="13" t="s">
        <v>1696</v>
      </c>
      <c r="E341" s="13" t="s">
        <v>1697</v>
      </c>
      <c r="F341" s="13" t="s">
        <v>1698</v>
      </c>
      <c r="G341" s="13" t="s">
        <v>379</v>
      </c>
      <c r="H341" s="13" t="s">
        <v>97</v>
      </c>
      <c r="I341" s="13" t="s">
        <v>906</v>
      </c>
      <c r="J341" s="13"/>
      <c r="K341" s="13" t="s">
        <v>1522</v>
      </c>
      <c r="L341" s="13" t="s">
        <v>1523</v>
      </c>
      <c r="M341" s="13"/>
      <c r="N341" s="9" t="str">
        <f>HYPERLINK("https://pubmed.ncbi.nlm.nih.gov/32219563/","abrir")</f>
        <v>abrir</v>
      </c>
      <c r="O341" s="10" t="b">
        <f t="shared" si="1"/>
        <v>0</v>
      </c>
    </row>
    <row r="342" ht="60.0" customHeight="1">
      <c r="A342" s="13" t="s">
        <v>1699</v>
      </c>
      <c r="B342" s="14">
        <v>2019.0</v>
      </c>
      <c r="C342" s="13" t="s">
        <v>1700</v>
      </c>
      <c r="D342" s="13" t="s">
        <v>1701</v>
      </c>
      <c r="E342" s="13" t="s">
        <v>1702</v>
      </c>
      <c r="F342" s="13" t="s">
        <v>1703</v>
      </c>
      <c r="G342" s="13" t="s">
        <v>872</v>
      </c>
      <c r="H342" s="13" t="s">
        <v>97</v>
      </c>
      <c r="I342" s="13" t="s">
        <v>906</v>
      </c>
      <c r="J342" s="13"/>
      <c r="K342" s="13" t="s">
        <v>1522</v>
      </c>
      <c r="L342" s="13" t="s">
        <v>1523</v>
      </c>
      <c r="M342" s="13"/>
      <c r="N342" s="9" t="str">
        <f>HYPERLINK("https://pubmed.ncbi.nlm.nih.gov/31000707/","abrir")</f>
        <v>abrir</v>
      </c>
      <c r="O342" s="10" t="b">
        <f t="shared" si="1"/>
        <v>0</v>
      </c>
    </row>
    <row r="343" ht="60.0" customHeight="1">
      <c r="A343" s="13" t="s">
        <v>1704</v>
      </c>
      <c r="B343" s="14">
        <v>2018.0</v>
      </c>
      <c r="C343" s="13" t="s">
        <v>1705</v>
      </c>
      <c r="D343" s="13" t="s">
        <v>1706</v>
      </c>
      <c r="E343" s="13" t="s">
        <v>1707</v>
      </c>
      <c r="F343" s="13" t="s">
        <v>1188</v>
      </c>
      <c r="G343" s="13" t="s">
        <v>96</v>
      </c>
      <c r="H343" s="13" t="s">
        <v>368</v>
      </c>
      <c r="I343" s="13" t="s">
        <v>906</v>
      </c>
      <c r="J343" s="13"/>
      <c r="K343" s="13" t="s">
        <v>1522</v>
      </c>
      <c r="L343" s="13" t="s">
        <v>1523</v>
      </c>
      <c r="M343" s="13"/>
      <c r="N343" s="9" t="str">
        <f>HYPERLINK("https://pubmed.ncbi.nlm.nih.gov/29164604/","abrir")</f>
        <v>abrir</v>
      </c>
      <c r="O343" s="10" t="b">
        <f t="shared" si="1"/>
        <v>0</v>
      </c>
    </row>
    <row r="344" ht="60.0" customHeight="1">
      <c r="A344" s="13" t="s">
        <v>1708</v>
      </c>
      <c r="B344" s="14">
        <v>2018.0</v>
      </c>
      <c r="C344" s="13" t="s">
        <v>1709</v>
      </c>
      <c r="D344" s="13" t="s">
        <v>1710</v>
      </c>
      <c r="E344" s="13" t="s">
        <v>1711</v>
      </c>
      <c r="F344" s="13" t="s">
        <v>1712</v>
      </c>
      <c r="G344" s="13" t="s">
        <v>96</v>
      </c>
      <c r="H344" s="13" t="s">
        <v>368</v>
      </c>
      <c r="I344" s="13" t="s">
        <v>906</v>
      </c>
      <c r="J344" s="13"/>
      <c r="K344" s="13" t="s">
        <v>1522</v>
      </c>
      <c r="L344" s="13" t="s">
        <v>1523</v>
      </c>
      <c r="M344" s="13"/>
      <c r="N344" s="9" t="str">
        <f>HYPERLINK("https://pubmed.ncbi.nlm.nih.gov/30133550/","abrir")</f>
        <v>abrir</v>
      </c>
      <c r="O344" s="10" t="b">
        <f t="shared" si="1"/>
        <v>0</v>
      </c>
    </row>
    <row r="345" ht="60.0" customHeight="1">
      <c r="A345" s="13" t="s">
        <v>1713</v>
      </c>
      <c r="B345" s="14">
        <v>2017.0</v>
      </c>
      <c r="C345" s="13" t="s">
        <v>1714</v>
      </c>
      <c r="D345" s="13" t="s">
        <v>1715</v>
      </c>
      <c r="E345" s="13" t="s">
        <v>1716</v>
      </c>
      <c r="F345" s="13" t="s">
        <v>1717</v>
      </c>
      <c r="G345" s="13" t="s">
        <v>1547</v>
      </c>
      <c r="H345" s="13" t="s">
        <v>368</v>
      </c>
      <c r="I345" s="13" t="s">
        <v>906</v>
      </c>
      <c r="J345" s="13"/>
      <c r="K345" s="13" t="s">
        <v>1522</v>
      </c>
      <c r="L345" s="13" t="s">
        <v>1523</v>
      </c>
      <c r="M345" s="13"/>
      <c r="N345" s="9" t="str">
        <f>HYPERLINK("https://pubmed.ncbi.nlm.nih.gov/27889224/","abrir")</f>
        <v>abrir</v>
      </c>
      <c r="O345" s="10" t="b">
        <f t="shared" si="1"/>
        <v>0</v>
      </c>
    </row>
    <row r="346" ht="60.0" customHeight="1">
      <c r="A346" s="13" t="s">
        <v>1718</v>
      </c>
      <c r="B346" s="14">
        <v>2017.0</v>
      </c>
      <c r="C346" s="13" t="s">
        <v>1719</v>
      </c>
      <c r="D346" s="13" t="s">
        <v>1720</v>
      </c>
      <c r="E346" s="13" t="s">
        <v>1721</v>
      </c>
      <c r="F346" s="13" t="s">
        <v>1722</v>
      </c>
      <c r="G346" s="13" t="s">
        <v>96</v>
      </c>
      <c r="H346" s="13" t="s">
        <v>126</v>
      </c>
      <c r="I346" s="13" t="s">
        <v>906</v>
      </c>
      <c r="J346" s="13"/>
      <c r="K346" s="13" t="s">
        <v>1522</v>
      </c>
      <c r="L346" s="13" t="s">
        <v>1523</v>
      </c>
      <c r="M346" s="13"/>
      <c r="N346" s="9" t="str">
        <f>HYPERLINK("https://pubmed.ncbi.nlm.nih.gov/27987078/","abrir")</f>
        <v>abrir</v>
      </c>
      <c r="O346" s="10" t="b">
        <f t="shared" si="1"/>
        <v>0</v>
      </c>
    </row>
    <row r="347" ht="60.0" customHeight="1">
      <c r="A347" s="13" t="s">
        <v>1723</v>
      </c>
      <c r="B347" s="14">
        <v>2017.0</v>
      </c>
      <c r="C347" s="13" t="s">
        <v>1724</v>
      </c>
      <c r="D347" s="13" t="s">
        <v>1725</v>
      </c>
      <c r="E347" s="13" t="s">
        <v>1726</v>
      </c>
      <c r="F347" s="13" t="s">
        <v>1258</v>
      </c>
      <c r="G347" s="13" t="s">
        <v>379</v>
      </c>
      <c r="H347" s="13" t="s">
        <v>368</v>
      </c>
      <c r="I347" s="13" t="s">
        <v>906</v>
      </c>
      <c r="J347" s="13"/>
      <c r="K347" s="13" t="s">
        <v>1522</v>
      </c>
      <c r="L347" s="13" t="s">
        <v>1523</v>
      </c>
      <c r="M347" s="13"/>
      <c r="N347" s="9" t="str">
        <f>HYPERLINK("https://pubmed.ncbi.nlm.nih.gov/28391132/","abrir")</f>
        <v>abrir</v>
      </c>
      <c r="O347" s="10" t="b">
        <f t="shared" si="1"/>
        <v>0</v>
      </c>
    </row>
    <row r="348" ht="60.0" customHeight="1">
      <c r="A348" s="13" t="s">
        <v>1727</v>
      </c>
      <c r="B348" s="14">
        <v>2017.0</v>
      </c>
      <c r="C348" s="13" t="s">
        <v>1728</v>
      </c>
      <c r="D348" s="13" t="s">
        <v>1729</v>
      </c>
      <c r="E348" s="13" t="s">
        <v>1730</v>
      </c>
      <c r="F348" s="13" t="s">
        <v>137</v>
      </c>
      <c r="G348" s="13" t="s">
        <v>96</v>
      </c>
      <c r="H348" s="13" t="s">
        <v>97</v>
      </c>
      <c r="I348" s="13" t="s">
        <v>906</v>
      </c>
      <c r="J348" s="13"/>
      <c r="K348" s="13" t="s">
        <v>1522</v>
      </c>
      <c r="L348" s="13" t="s">
        <v>1523</v>
      </c>
      <c r="M348" s="13"/>
      <c r="N348" s="9" t="str">
        <f>HYPERLINK("https://pubmed.ncbi.nlm.nih.gov/28627098/","abrir")</f>
        <v>abrir</v>
      </c>
      <c r="O348" s="10" t="b">
        <f t="shared" si="1"/>
        <v>0</v>
      </c>
    </row>
    <row r="349" ht="60.0" customHeight="1">
      <c r="A349" s="13" t="s">
        <v>1731</v>
      </c>
      <c r="B349" s="14">
        <v>2017.0</v>
      </c>
      <c r="C349" s="13" t="s">
        <v>1732</v>
      </c>
      <c r="D349" s="13" t="s">
        <v>1733</v>
      </c>
      <c r="E349" s="13" t="s">
        <v>1734</v>
      </c>
      <c r="F349" s="13" t="s">
        <v>1047</v>
      </c>
      <c r="G349" s="13" t="s">
        <v>163</v>
      </c>
      <c r="H349" s="13" t="s">
        <v>368</v>
      </c>
      <c r="I349" s="13" t="s">
        <v>906</v>
      </c>
      <c r="J349" s="13"/>
      <c r="K349" s="13" t="s">
        <v>1522</v>
      </c>
      <c r="L349" s="13" t="s">
        <v>1523</v>
      </c>
      <c r="M349" s="13"/>
      <c r="N349" s="9" t="str">
        <f>HYPERLINK("https://pubmed.ncbi.nlm.nih.gov/28723764/","abrir")</f>
        <v>abrir</v>
      </c>
      <c r="O349" s="10" t="b">
        <f t="shared" si="1"/>
        <v>0</v>
      </c>
    </row>
    <row r="350" ht="60.0" customHeight="1">
      <c r="A350" s="13" t="s">
        <v>1735</v>
      </c>
      <c r="B350" s="14">
        <v>2017.0</v>
      </c>
      <c r="C350" s="13" t="s">
        <v>1736</v>
      </c>
      <c r="D350" s="13" t="s">
        <v>1737</v>
      </c>
      <c r="E350" s="13" t="s">
        <v>1738</v>
      </c>
      <c r="F350" s="13" t="s">
        <v>1739</v>
      </c>
      <c r="G350" s="13" t="s">
        <v>96</v>
      </c>
      <c r="H350" s="13" t="s">
        <v>97</v>
      </c>
      <c r="I350" s="13" t="s">
        <v>906</v>
      </c>
      <c r="J350" s="13"/>
      <c r="K350" s="13" t="s">
        <v>1522</v>
      </c>
      <c r="L350" s="13" t="s">
        <v>1523</v>
      </c>
      <c r="M350" s="13"/>
      <c r="N350" s="9" t="str">
        <f>HYPERLINK("https://pubmed.ncbi.nlm.nih.gov/28770124/","abrir")</f>
        <v>abrir</v>
      </c>
      <c r="O350" s="10" t="b">
        <f t="shared" si="1"/>
        <v>0</v>
      </c>
    </row>
    <row r="351" ht="60.0" customHeight="1">
      <c r="A351" s="13" t="s">
        <v>1740</v>
      </c>
      <c r="B351" s="14">
        <v>2017.0</v>
      </c>
      <c r="C351" s="13" t="s">
        <v>1741</v>
      </c>
      <c r="D351" s="13" t="s">
        <v>1742</v>
      </c>
      <c r="E351" s="13" t="s">
        <v>1743</v>
      </c>
      <c r="F351" s="13" t="s">
        <v>1744</v>
      </c>
      <c r="G351" s="13" t="s">
        <v>96</v>
      </c>
      <c r="H351" s="13" t="s">
        <v>368</v>
      </c>
      <c r="I351" s="13" t="s">
        <v>906</v>
      </c>
      <c r="J351" s="13"/>
      <c r="K351" s="13" t="s">
        <v>1522</v>
      </c>
      <c r="L351" s="13" t="s">
        <v>1523</v>
      </c>
      <c r="M351" s="13"/>
      <c r="N351" s="9" t="str">
        <f>HYPERLINK("https://pubmed.ncbi.nlm.nih.gov/28879597/","abrir")</f>
        <v>abrir</v>
      </c>
      <c r="O351" s="10" t="b">
        <f t="shared" si="1"/>
        <v>0</v>
      </c>
    </row>
    <row r="352" ht="60.0" customHeight="1">
      <c r="A352" s="13" t="s">
        <v>1745</v>
      </c>
      <c r="B352" s="14">
        <v>2016.0</v>
      </c>
      <c r="C352" s="13" t="s">
        <v>1333</v>
      </c>
      <c r="D352" s="13" t="s">
        <v>1746</v>
      </c>
      <c r="E352" s="13" t="s">
        <v>1747</v>
      </c>
      <c r="F352" s="13" t="s">
        <v>1336</v>
      </c>
      <c r="G352" s="13" t="s">
        <v>96</v>
      </c>
      <c r="H352" s="13" t="s">
        <v>368</v>
      </c>
      <c r="I352" s="13" t="s">
        <v>906</v>
      </c>
      <c r="J352" s="13"/>
      <c r="K352" s="13" t="s">
        <v>1522</v>
      </c>
      <c r="L352" s="13" t="s">
        <v>1523</v>
      </c>
      <c r="M352" s="13"/>
      <c r="N352" s="9" t="str">
        <f>HYPERLINK("https://pubmed.ncbi.nlm.nih.gov/25720039/","abrir")</f>
        <v>abrir</v>
      </c>
      <c r="O352" s="10" t="b">
        <f t="shared" si="1"/>
        <v>0</v>
      </c>
    </row>
    <row r="353" ht="60.0" customHeight="1">
      <c r="A353" s="13" t="s">
        <v>1748</v>
      </c>
      <c r="B353" s="14">
        <v>2016.0</v>
      </c>
      <c r="C353" s="13" t="s">
        <v>1749</v>
      </c>
      <c r="D353" s="13" t="s">
        <v>1750</v>
      </c>
      <c r="E353" s="13" t="s">
        <v>1751</v>
      </c>
      <c r="F353" s="13" t="s">
        <v>1752</v>
      </c>
      <c r="G353" s="13" t="s">
        <v>96</v>
      </c>
      <c r="H353" s="13" t="s">
        <v>126</v>
      </c>
      <c r="I353" s="13" t="s">
        <v>906</v>
      </c>
      <c r="J353" s="13"/>
      <c r="K353" s="13" t="s">
        <v>1522</v>
      </c>
      <c r="L353" s="13" t="s">
        <v>1523</v>
      </c>
      <c r="M353" s="13"/>
      <c r="N353" s="9" t="str">
        <f>HYPERLINK("https://pubmed.ncbi.nlm.nih.gov/26214050/","abrir")</f>
        <v>abrir</v>
      </c>
      <c r="O353" s="10" t="b">
        <f t="shared" si="1"/>
        <v>0</v>
      </c>
    </row>
    <row r="354" ht="60.0" customHeight="1">
      <c r="A354" s="13" t="s">
        <v>1753</v>
      </c>
      <c r="B354" s="14">
        <v>2016.0</v>
      </c>
      <c r="C354" s="13" t="s">
        <v>1754</v>
      </c>
      <c r="D354" s="13" t="s">
        <v>1755</v>
      </c>
      <c r="E354" s="13" t="s">
        <v>1756</v>
      </c>
      <c r="F354" s="13" t="s">
        <v>576</v>
      </c>
      <c r="G354" s="13" t="s">
        <v>96</v>
      </c>
      <c r="H354" s="13" t="s">
        <v>368</v>
      </c>
      <c r="I354" s="13" t="s">
        <v>906</v>
      </c>
      <c r="J354" s="13"/>
      <c r="K354" s="13" t="s">
        <v>1522</v>
      </c>
      <c r="L354" s="13" t="s">
        <v>1523</v>
      </c>
      <c r="M354" s="13"/>
      <c r="N354" s="9" t="str">
        <f>HYPERLINK("https://pubmed.ncbi.nlm.nih.gov/26372104/","abrir")</f>
        <v>abrir</v>
      </c>
      <c r="O354" s="10" t="b">
        <f t="shared" si="1"/>
        <v>0</v>
      </c>
    </row>
    <row r="355" ht="60.0" customHeight="1">
      <c r="A355" s="13" t="s">
        <v>1757</v>
      </c>
      <c r="B355" s="14">
        <v>2016.0</v>
      </c>
      <c r="C355" s="13" t="s">
        <v>1758</v>
      </c>
      <c r="D355" s="13" t="s">
        <v>1759</v>
      </c>
      <c r="E355" s="13" t="s">
        <v>1760</v>
      </c>
      <c r="F355" s="13" t="s">
        <v>1698</v>
      </c>
      <c r="G355" s="13" t="s">
        <v>184</v>
      </c>
      <c r="H355" s="13" t="s">
        <v>97</v>
      </c>
      <c r="I355" s="13" t="s">
        <v>906</v>
      </c>
      <c r="J355" s="13"/>
      <c r="K355" s="13" t="s">
        <v>1522</v>
      </c>
      <c r="L355" s="13" t="s">
        <v>1523</v>
      </c>
      <c r="M355" s="13"/>
      <c r="N355" s="9" t="str">
        <f>HYPERLINK("https://pubmed.ncbi.nlm.nih.gov/26519042/","abrir")</f>
        <v>abrir</v>
      </c>
      <c r="O355" s="10" t="b">
        <f t="shared" si="1"/>
        <v>0</v>
      </c>
    </row>
    <row r="356" ht="60.0" customHeight="1">
      <c r="A356" s="13" t="s">
        <v>1761</v>
      </c>
      <c r="B356" s="14">
        <v>2016.0</v>
      </c>
      <c r="C356" s="13" t="s">
        <v>1762</v>
      </c>
      <c r="D356" s="13" t="s">
        <v>1763</v>
      </c>
      <c r="E356" s="13" t="s">
        <v>1764</v>
      </c>
      <c r="F356" s="13" t="s">
        <v>298</v>
      </c>
      <c r="G356" s="13" t="s">
        <v>96</v>
      </c>
      <c r="H356" s="13" t="s">
        <v>97</v>
      </c>
      <c r="I356" s="13" t="s">
        <v>906</v>
      </c>
      <c r="J356" s="13"/>
      <c r="K356" s="13" t="s">
        <v>1522</v>
      </c>
      <c r="L356" s="13" t="s">
        <v>1523</v>
      </c>
      <c r="M356" s="13"/>
      <c r="N356" s="9" t="str">
        <f>HYPERLINK("https://pubmed.ncbi.nlm.nih.gov/26739350/","abrir")</f>
        <v>abrir</v>
      </c>
      <c r="O356" s="10" t="b">
        <f t="shared" si="1"/>
        <v>0</v>
      </c>
    </row>
    <row r="357" ht="60.0" customHeight="1">
      <c r="A357" s="13" t="s">
        <v>1765</v>
      </c>
      <c r="B357" s="14">
        <v>2016.0</v>
      </c>
      <c r="C357" s="13" t="s">
        <v>1766</v>
      </c>
      <c r="D357" s="13" t="s">
        <v>1767</v>
      </c>
      <c r="E357" s="13" t="s">
        <v>1768</v>
      </c>
      <c r="F357" s="13" t="s">
        <v>298</v>
      </c>
      <c r="G357" s="13" t="s">
        <v>96</v>
      </c>
      <c r="H357" s="13" t="s">
        <v>368</v>
      </c>
      <c r="I357" s="13" t="s">
        <v>906</v>
      </c>
      <c r="J357" s="13"/>
      <c r="K357" s="13" t="s">
        <v>1522</v>
      </c>
      <c r="L357" s="13" t="s">
        <v>1523</v>
      </c>
      <c r="M357" s="13"/>
      <c r="N357" s="9" t="str">
        <f>HYPERLINK("https://pubmed.ncbi.nlm.nih.gov/26934494/","abrir")</f>
        <v>abrir</v>
      </c>
      <c r="O357" s="10" t="b">
        <f t="shared" si="1"/>
        <v>0</v>
      </c>
    </row>
    <row r="358" ht="60.0" customHeight="1">
      <c r="A358" s="13" t="s">
        <v>1769</v>
      </c>
      <c r="B358" s="14">
        <v>2015.0</v>
      </c>
      <c r="C358" s="13" t="s">
        <v>1770</v>
      </c>
      <c r="D358" s="13" t="s">
        <v>1771</v>
      </c>
      <c r="E358" s="13" t="s">
        <v>1772</v>
      </c>
      <c r="F358" s="13" t="s">
        <v>1773</v>
      </c>
      <c r="G358" s="13" t="s">
        <v>96</v>
      </c>
      <c r="H358" s="13" t="s">
        <v>368</v>
      </c>
      <c r="I358" s="13" t="s">
        <v>906</v>
      </c>
      <c r="J358" s="13"/>
      <c r="K358" s="13" t="s">
        <v>1522</v>
      </c>
      <c r="L358" s="13" t="s">
        <v>1523</v>
      </c>
      <c r="M358" s="13"/>
      <c r="N358" s="9" t="str">
        <f>HYPERLINK("https://pubmed.ncbi.nlm.nih.gov/25968321/","abrir")</f>
        <v>abrir</v>
      </c>
      <c r="O358" s="10" t="b">
        <f t="shared" si="1"/>
        <v>0</v>
      </c>
    </row>
    <row r="359" ht="60.0" customHeight="1">
      <c r="A359" s="13" t="s">
        <v>1774</v>
      </c>
      <c r="B359" s="14">
        <v>2014.0</v>
      </c>
      <c r="C359" s="13" t="s">
        <v>1775</v>
      </c>
      <c r="D359" s="13" t="s">
        <v>1776</v>
      </c>
      <c r="E359" s="13" t="s">
        <v>1777</v>
      </c>
      <c r="F359" s="13" t="s">
        <v>684</v>
      </c>
      <c r="G359" s="13" t="s">
        <v>96</v>
      </c>
      <c r="H359" s="13" t="s">
        <v>368</v>
      </c>
      <c r="I359" s="13" t="s">
        <v>906</v>
      </c>
      <c r="J359" s="13"/>
      <c r="K359" s="13" t="s">
        <v>1522</v>
      </c>
      <c r="L359" s="13" t="s">
        <v>1523</v>
      </c>
      <c r="M359" s="13"/>
      <c r="N359" s="9" t="str">
        <f>HYPERLINK("https://pubmed.ncbi.nlm.nih.gov/24357398/","abrir")</f>
        <v>abrir</v>
      </c>
      <c r="O359" s="10" t="b">
        <f t="shared" si="1"/>
        <v>0</v>
      </c>
    </row>
    <row r="360" ht="60.0" customHeight="1">
      <c r="A360" s="13" t="s">
        <v>1778</v>
      </c>
      <c r="B360" s="14">
        <v>2014.0</v>
      </c>
      <c r="C360" s="13" t="s">
        <v>858</v>
      </c>
      <c r="D360" s="13" t="s">
        <v>1779</v>
      </c>
      <c r="E360" s="13" t="s">
        <v>1780</v>
      </c>
      <c r="F360" s="13" t="s">
        <v>612</v>
      </c>
      <c r="G360" s="13" t="s">
        <v>184</v>
      </c>
      <c r="H360" s="13" t="s">
        <v>126</v>
      </c>
      <c r="I360" s="13" t="s">
        <v>906</v>
      </c>
      <c r="J360" s="13"/>
      <c r="K360" s="13" t="s">
        <v>1522</v>
      </c>
      <c r="L360" s="13" t="s">
        <v>1523</v>
      </c>
      <c r="M360" s="13"/>
      <c r="N360" s="9" t="str">
        <f>HYPERLINK("https://pubmed.ncbi.nlm.nih.gov/25178262/","abrir")</f>
        <v>abrir</v>
      </c>
      <c r="O360" s="10" t="b">
        <f t="shared" si="1"/>
        <v>0</v>
      </c>
    </row>
    <row r="361" ht="60.0" customHeight="1">
      <c r="A361" s="13" t="s">
        <v>1781</v>
      </c>
      <c r="B361" s="14">
        <v>2014.0</v>
      </c>
      <c r="C361" s="13" t="s">
        <v>1782</v>
      </c>
      <c r="D361" s="13" t="s">
        <v>1783</v>
      </c>
      <c r="E361" s="13" t="s">
        <v>1784</v>
      </c>
      <c r="F361" s="13" t="s">
        <v>1785</v>
      </c>
      <c r="G361" s="13" t="s">
        <v>96</v>
      </c>
      <c r="H361" s="13" t="s">
        <v>97</v>
      </c>
      <c r="I361" s="13" t="s">
        <v>906</v>
      </c>
      <c r="J361" s="13"/>
      <c r="K361" s="13" t="s">
        <v>1522</v>
      </c>
      <c r="L361" s="13" t="s">
        <v>1523</v>
      </c>
      <c r="M361" s="13"/>
      <c r="N361" s="9" t="str">
        <f>HYPERLINK("https://pubmed.ncbi.nlm.nih.gov/26176034/","abrir")</f>
        <v>abrir</v>
      </c>
      <c r="O361" s="10" t="b">
        <f t="shared" si="1"/>
        <v>0</v>
      </c>
    </row>
    <row r="362" ht="60.0" customHeight="1">
      <c r="A362" s="13" t="s">
        <v>1786</v>
      </c>
      <c r="B362" s="14">
        <v>2012.0</v>
      </c>
      <c r="C362" s="13" t="s">
        <v>1787</v>
      </c>
      <c r="D362" s="13" t="s">
        <v>1788</v>
      </c>
      <c r="E362" s="13" t="s">
        <v>1789</v>
      </c>
      <c r="F362" s="13" t="s">
        <v>784</v>
      </c>
      <c r="G362" s="13" t="s">
        <v>144</v>
      </c>
      <c r="H362" s="13" t="s">
        <v>368</v>
      </c>
      <c r="I362" s="13" t="s">
        <v>906</v>
      </c>
      <c r="J362" s="13"/>
      <c r="K362" s="13" t="s">
        <v>1522</v>
      </c>
      <c r="L362" s="13" t="s">
        <v>1523</v>
      </c>
      <c r="M362" s="13"/>
      <c r="N362" s="9" t="str">
        <f>HYPERLINK("https://pubmed.ncbi.nlm.nih.gov/22277886/","abrir")</f>
        <v>abrir</v>
      </c>
      <c r="O362" s="10" t="b">
        <f t="shared" si="1"/>
        <v>0</v>
      </c>
    </row>
    <row r="363" ht="60.0" customHeight="1">
      <c r="A363" s="13" t="s">
        <v>1790</v>
      </c>
      <c r="B363" s="14">
        <v>2012.0</v>
      </c>
      <c r="C363" s="13" t="s">
        <v>1791</v>
      </c>
      <c r="D363" s="13" t="s">
        <v>1792</v>
      </c>
      <c r="E363" s="13" t="s">
        <v>1793</v>
      </c>
      <c r="F363" s="13" t="s">
        <v>1794</v>
      </c>
      <c r="G363" s="13" t="s">
        <v>96</v>
      </c>
      <c r="H363" s="13" t="s">
        <v>97</v>
      </c>
      <c r="I363" s="13" t="s">
        <v>906</v>
      </c>
      <c r="J363" s="13"/>
      <c r="K363" s="13" t="s">
        <v>1522</v>
      </c>
      <c r="L363" s="13" t="s">
        <v>1523</v>
      </c>
      <c r="M363" s="13"/>
      <c r="N363" s="9" t="str">
        <f>HYPERLINK("https://pubmed.ncbi.nlm.nih.gov/23250856/","abrir")</f>
        <v>abrir</v>
      </c>
      <c r="O363" s="10" t="b">
        <f t="shared" si="1"/>
        <v>0</v>
      </c>
    </row>
    <row r="364" ht="60.0" customHeight="1">
      <c r="A364" s="13" t="s">
        <v>1795</v>
      </c>
      <c r="B364" s="14">
        <v>2011.0</v>
      </c>
      <c r="C364" s="13" t="s">
        <v>1796</v>
      </c>
      <c r="D364" s="13" t="s">
        <v>1797</v>
      </c>
      <c r="E364" s="13" t="s">
        <v>1798</v>
      </c>
      <c r="F364" s="13" t="s">
        <v>684</v>
      </c>
      <c r="G364" s="13" t="s">
        <v>96</v>
      </c>
      <c r="H364" s="13" t="s">
        <v>368</v>
      </c>
      <c r="I364" s="13" t="s">
        <v>906</v>
      </c>
      <c r="J364" s="13"/>
      <c r="K364" s="13" t="s">
        <v>1522</v>
      </c>
      <c r="L364" s="13" t="s">
        <v>1523</v>
      </c>
      <c r="M364" s="13"/>
      <c r="N364" s="9" t="str">
        <f>HYPERLINK("https://pubmed.ncbi.nlm.nih.gov/20922779/","abrir")</f>
        <v>abrir</v>
      </c>
      <c r="O364" s="10" t="b">
        <f t="shared" si="1"/>
        <v>0</v>
      </c>
    </row>
    <row r="365" ht="60.0" customHeight="1">
      <c r="A365" s="13" t="s">
        <v>1799</v>
      </c>
      <c r="B365" s="14">
        <v>2011.0</v>
      </c>
      <c r="C365" s="13" t="s">
        <v>1800</v>
      </c>
      <c r="D365" s="13" t="s">
        <v>1801</v>
      </c>
      <c r="E365" s="13" t="s">
        <v>1802</v>
      </c>
      <c r="F365" s="13" t="s">
        <v>298</v>
      </c>
      <c r="G365" s="13" t="s">
        <v>96</v>
      </c>
      <c r="H365" s="13" t="s">
        <v>368</v>
      </c>
      <c r="I365" s="13" t="s">
        <v>906</v>
      </c>
      <c r="J365" s="13"/>
      <c r="K365" s="13" t="s">
        <v>1522</v>
      </c>
      <c r="L365" s="13" t="s">
        <v>1523</v>
      </c>
      <c r="M365" s="13"/>
      <c r="N365" s="9" t="str">
        <f>HYPERLINK("https://pubmed.ncbi.nlm.nih.gov/21234973/","abrir")</f>
        <v>abrir</v>
      </c>
      <c r="O365" s="10" t="b">
        <f t="shared" si="1"/>
        <v>0</v>
      </c>
    </row>
    <row r="366" ht="60.0" customHeight="1">
      <c r="A366" s="13" t="s">
        <v>1803</v>
      </c>
      <c r="B366" s="14">
        <v>2011.0</v>
      </c>
      <c r="C366" s="13" t="s">
        <v>1804</v>
      </c>
      <c r="D366" s="13" t="s">
        <v>1805</v>
      </c>
      <c r="E366" s="13" t="s">
        <v>1806</v>
      </c>
      <c r="F366" s="13" t="s">
        <v>1512</v>
      </c>
      <c r="G366" s="13" t="s">
        <v>96</v>
      </c>
      <c r="H366" s="13" t="s">
        <v>368</v>
      </c>
      <c r="I366" s="13" t="s">
        <v>906</v>
      </c>
      <c r="J366" s="13"/>
      <c r="K366" s="13" t="s">
        <v>1522</v>
      </c>
      <c r="L366" s="13" t="s">
        <v>1523</v>
      </c>
      <c r="M366" s="13"/>
      <c r="N366" s="9" t="str">
        <f>HYPERLINK("https://pubmed.ncbi.nlm.nih.gov/21705735/","abrir")</f>
        <v>abrir</v>
      </c>
      <c r="O366" s="10" t="b">
        <f t="shared" si="1"/>
        <v>0</v>
      </c>
    </row>
    <row r="367" ht="60.0" customHeight="1">
      <c r="A367" s="13" t="s">
        <v>1807</v>
      </c>
      <c r="B367" s="14">
        <v>2011.0</v>
      </c>
      <c r="C367" s="13" t="s">
        <v>1808</v>
      </c>
      <c r="D367" s="13" t="s">
        <v>1809</v>
      </c>
      <c r="E367" s="13" t="s">
        <v>1810</v>
      </c>
      <c r="F367" s="13" t="s">
        <v>1773</v>
      </c>
      <c r="G367" s="13" t="s">
        <v>96</v>
      </c>
      <c r="H367" s="13" t="s">
        <v>368</v>
      </c>
      <c r="I367" s="13" t="s">
        <v>906</v>
      </c>
      <c r="J367" s="13"/>
      <c r="K367" s="13" t="s">
        <v>1522</v>
      </c>
      <c r="L367" s="13" t="s">
        <v>1523</v>
      </c>
      <c r="M367" s="13"/>
      <c r="N367" s="9" t="str">
        <f>HYPERLINK("https://pubmed.ncbi.nlm.nih.gov/21709401/","abrir")</f>
        <v>abrir</v>
      </c>
      <c r="O367" s="10" t="b">
        <f t="shared" si="1"/>
        <v>0</v>
      </c>
    </row>
    <row r="368" ht="60.0" customHeight="1">
      <c r="A368" s="13" t="s">
        <v>1811</v>
      </c>
      <c r="B368" s="14">
        <v>2010.0</v>
      </c>
      <c r="C368" s="13" t="s">
        <v>1812</v>
      </c>
      <c r="D368" s="13" t="s">
        <v>1813</v>
      </c>
      <c r="E368" s="13" t="s">
        <v>1814</v>
      </c>
      <c r="F368" s="13" t="s">
        <v>684</v>
      </c>
      <c r="G368" s="13" t="s">
        <v>184</v>
      </c>
      <c r="H368" s="13" t="s">
        <v>368</v>
      </c>
      <c r="I368" s="13" t="s">
        <v>906</v>
      </c>
      <c r="J368" s="13"/>
      <c r="K368" s="13" t="s">
        <v>1522</v>
      </c>
      <c r="L368" s="13" t="s">
        <v>1523</v>
      </c>
      <c r="M368" s="13"/>
      <c r="N368" s="9" t="str">
        <f>HYPERLINK("https://pubmed.ncbi.nlm.nih.gov/20549772/","abrir")</f>
        <v>abrir</v>
      </c>
      <c r="O368" s="10" t="b">
        <f t="shared" si="1"/>
        <v>0</v>
      </c>
    </row>
    <row r="369" ht="60.0" customHeight="1">
      <c r="A369" s="13" t="s">
        <v>1815</v>
      </c>
      <c r="B369" s="14">
        <v>2009.0</v>
      </c>
      <c r="C369" s="13" t="s">
        <v>1816</v>
      </c>
      <c r="D369" s="13" t="s">
        <v>1817</v>
      </c>
      <c r="E369" s="13" t="s">
        <v>1818</v>
      </c>
      <c r="F369" s="13" t="s">
        <v>1819</v>
      </c>
      <c r="G369" s="13" t="s">
        <v>96</v>
      </c>
      <c r="H369" s="13" t="s">
        <v>368</v>
      </c>
      <c r="I369" s="13" t="s">
        <v>906</v>
      </c>
      <c r="J369" s="13"/>
      <c r="K369" s="13" t="s">
        <v>1522</v>
      </c>
      <c r="L369" s="13" t="s">
        <v>1523</v>
      </c>
      <c r="M369" s="13"/>
      <c r="N369" s="9" t="str">
        <f>HYPERLINK("https://pubmed.ncbi.nlm.nih.gov/19688956/","abrir")</f>
        <v>abrir</v>
      </c>
      <c r="O369" s="10" t="b">
        <f t="shared" si="1"/>
        <v>0</v>
      </c>
    </row>
    <row r="370" ht="60.0" customHeight="1">
      <c r="A370" s="13" t="s">
        <v>1820</v>
      </c>
      <c r="B370" s="14">
        <v>2009.0</v>
      </c>
      <c r="C370" s="13" t="s">
        <v>1821</v>
      </c>
      <c r="D370" s="13" t="s">
        <v>1822</v>
      </c>
      <c r="E370" s="13" t="s">
        <v>1823</v>
      </c>
      <c r="F370" s="13" t="s">
        <v>684</v>
      </c>
      <c r="G370" s="13" t="s">
        <v>96</v>
      </c>
      <c r="H370" s="13" t="s">
        <v>368</v>
      </c>
      <c r="I370" s="13" t="s">
        <v>906</v>
      </c>
      <c r="J370" s="13"/>
      <c r="K370" s="13" t="s">
        <v>1522</v>
      </c>
      <c r="L370" s="13" t="s">
        <v>1523</v>
      </c>
      <c r="M370" s="13"/>
      <c r="N370" s="9" t="str">
        <f>HYPERLINK("https://pubmed.ncbi.nlm.nih.gov/19697393/","abrir")</f>
        <v>abrir</v>
      </c>
      <c r="O370" s="10" t="b">
        <f t="shared" si="1"/>
        <v>0</v>
      </c>
    </row>
    <row r="371" ht="60.0" customHeight="1">
      <c r="A371" s="13" t="s">
        <v>1824</v>
      </c>
      <c r="B371" s="14">
        <v>2008.0</v>
      </c>
      <c r="C371" s="13" t="s">
        <v>1825</v>
      </c>
      <c r="D371" s="13" t="s">
        <v>1826</v>
      </c>
      <c r="E371" s="13" t="s">
        <v>1827</v>
      </c>
      <c r="F371" s="13" t="s">
        <v>298</v>
      </c>
      <c r="G371" s="13" t="s">
        <v>144</v>
      </c>
      <c r="H371" s="13" t="s">
        <v>97</v>
      </c>
      <c r="I371" s="13" t="s">
        <v>906</v>
      </c>
      <c r="J371" s="13"/>
      <c r="K371" s="13" t="s">
        <v>1522</v>
      </c>
      <c r="L371" s="13" t="s">
        <v>1523</v>
      </c>
      <c r="M371" s="13"/>
      <c r="N371" s="9" t="str">
        <f>HYPERLINK("https://pubmed.ncbi.nlm.nih.gov/18302317/","abrir")</f>
        <v>abrir</v>
      </c>
      <c r="O371" s="10" t="b">
        <f t="shared" si="1"/>
        <v>0</v>
      </c>
    </row>
    <row r="372" ht="60.0" customHeight="1">
      <c r="A372" s="13" t="s">
        <v>1828</v>
      </c>
      <c r="B372" s="14">
        <v>2008.0</v>
      </c>
      <c r="C372" s="13" t="s">
        <v>1829</v>
      </c>
      <c r="D372" s="13" t="s">
        <v>1830</v>
      </c>
      <c r="E372" s="13" t="s">
        <v>1831</v>
      </c>
      <c r="F372" s="13" t="s">
        <v>1698</v>
      </c>
      <c r="G372" s="13" t="s">
        <v>96</v>
      </c>
      <c r="H372" s="13" t="s">
        <v>97</v>
      </c>
      <c r="I372" s="13" t="s">
        <v>906</v>
      </c>
      <c r="J372" s="13"/>
      <c r="K372" s="13" t="s">
        <v>1522</v>
      </c>
      <c r="L372" s="13" t="s">
        <v>1523</v>
      </c>
      <c r="M372" s="13"/>
      <c r="N372" s="9" t="str">
        <f>HYPERLINK("https://pubmed.ncbi.nlm.nih.gov/18427812/","abrir")</f>
        <v>abrir</v>
      </c>
      <c r="O372" s="10" t="b">
        <f t="shared" si="1"/>
        <v>0</v>
      </c>
    </row>
    <row r="373" ht="60.0" customHeight="1">
      <c r="A373" s="13" t="s">
        <v>1832</v>
      </c>
      <c r="B373" s="14">
        <v>2007.0</v>
      </c>
      <c r="C373" s="13" t="s">
        <v>1833</v>
      </c>
      <c r="D373" s="13" t="s">
        <v>1834</v>
      </c>
      <c r="E373" s="13" t="s">
        <v>1835</v>
      </c>
      <c r="F373" s="13" t="s">
        <v>298</v>
      </c>
      <c r="G373" s="13" t="s">
        <v>1836</v>
      </c>
      <c r="H373" s="13" t="s">
        <v>368</v>
      </c>
      <c r="I373" s="13" t="s">
        <v>906</v>
      </c>
      <c r="J373" s="13"/>
      <c r="K373" s="13" t="s">
        <v>1522</v>
      </c>
      <c r="L373" s="13" t="s">
        <v>1523</v>
      </c>
      <c r="M373" s="13"/>
      <c r="N373" s="9" t="str">
        <f>HYPERLINK("https://pubmed.ncbi.nlm.nih.gov/17286308/","abrir")</f>
        <v>abrir</v>
      </c>
      <c r="O373" s="10" t="b">
        <f t="shared" si="1"/>
        <v>0</v>
      </c>
    </row>
    <row r="374" ht="60.0" customHeight="1">
      <c r="A374" s="13" t="s">
        <v>1837</v>
      </c>
      <c r="B374" s="14">
        <v>2006.0</v>
      </c>
      <c r="C374" s="13" t="s">
        <v>1838</v>
      </c>
      <c r="D374" s="13" t="s">
        <v>1839</v>
      </c>
      <c r="E374" s="13" t="s">
        <v>1840</v>
      </c>
      <c r="F374" s="13" t="s">
        <v>1841</v>
      </c>
      <c r="G374" s="13" t="s">
        <v>96</v>
      </c>
      <c r="H374" s="13" t="s">
        <v>97</v>
      </c>
      <c r="I374" s="13" t="s">
        <v>906</v>
      </c>
      <c r="J374" s="13"/>
      <c r="K374" s="13" t="s">
        <v>1522</v>
      </c>
      <c r="L374" s="13" t="s">
        <v>1523</v>
      </c>
      <c r="M374" s="13"/>
      <c r="N374" s="9" t="str">
        <f>HYPERLINK("https://pubmed.ncbi.nlm.nih.gov/17168984/","abrir")</f>
        <v>abrir</v>
      </c>
      <c r="O374" s="10" t="b">
        <f t="shared" si="1"/>
        <v>0</v>
      </c>
    </row>
    <row r="375" ht="60.0" customHeight="1">
      <c r="A375" s="13" t="s">
        <v>1842</v>
      </c>
      <c r="B375" s="14">
        <v>2005.0</v>
      </c>
      <c r="C375" s="13" t="s">
        <v>1843</v>
      </c>
      <c r="D375" s="13" t="s">
        <v>1844</v>
      </c>
      <c r="E375" s="13" t="s">
        <v>1845</v>
      </c>
      <c r="F375" s="13" t="s">
        <v>1258</v>
      </c>
      <c r="G375" s="13" t="s">
        <v>96</v>
      </c>
      <c r="H375" s="13" t="s">
        <v>368</v>
      </c>
      <c r="I375" s="13" t="s">
        <v>906</v>
      </c>
      <c r="J375" s="13"/>
      <c r="K375" s="13" t="s">
        <v>1522</v>
      </c>
      <c r="L375" s="13" t="s">
        <v>1523</v>
      </c>
      <c r="M375" s="13"/>
      <c r="N375" s="9" t="str">
        <f>HYPERLINK("https://pubmed.ncbi.nlm.nih.gov/15596271/","abrir")</f>
        <v>abrir</v>
      </c>
      <c r="O375" s="10" t="b">
        <f t="shared" si="1"/>
        <v>0</v>
      </c>
    </row>
    <row r="376" ht="60.0" customHeight="1">
      <c r="A376" s="13" t="s">
        <v>1846</v>
      </c>
      <c r="B376" s="14">
        <v>2005.0</v>
      </c>
      <c r="C376" s="13" t="s">
        <v>1847</v>
      </c>
      <c r="D376" s="13" t="s">
        <v>1848</v>
      </c>
      <c r="E376" s="13" t="s">
        <v>1849</v>
      </c>
      <c r="F376" s="13" t="s">
        <v>298</v>
      </c>
      <c r="G376" s="13" t="s">
        <v>184</v>
      </c>
      <c r="H376" s="13" t="s">
        <v>368</v>
      </c>
      <c r="I376" s="13" t="s">
        <v>906</v>
      </c>
      <c r="J376" s="13"/>
      <c r="K376" s="13" t="s">
        <v>1522</v>
      </c>
      <c r="L376" s="13" t="s">
        <v>1523</v>
      </c>
      <c r="M376" s="13"/>
      <c r="N376" s="9" t="str">
        <f>HYPERLINK("https://pubmed.ncbi.nlm.nih.gov/15662669/","abrir")</f>
        <v>abrir</v>
      </c>
      <c r="O376" s="10" t="b">
        <f t="shared" si="1"/>
        <v>0</v>
      </c>
    </row>
    <row r="377" ht="60.0" customHeight="1">
      <c r="A377" s="13" t="s">
        <v>1850</v>
      </c>
      <c r="B377" s="14">
        <v>2005.0</v>
      </c>
      <c r="C377" s="13" t="s">
        <v>1851</v>
      </c>
      <c r="D377" s="13" t="s">
        <v>1852</v>
      </c>
      <c r="E377" s="13" t="s">
        <v>1853</v>
      </c>
      <c r="F377" s="13" t="s">
        <v>1210</v>
      </c>
      <c r="G377" s="13" t="s">
        <v>1854</v>
      </c>
      <c r="H377" s="13" t="s">
        <v>126</v>
      </c>
      <c r="I377" s="13" t="s">
        <v>906</v>
      </c>
      <c r="J377" s="13"/>
      <c r="K377" s="13" t="s">
        <v>1522</v>
      </c>
      <c r="L377" s="13" t="s">
        <v>1523</v>
      </c>
      <c r="M377" s="13"/>
      <c r="N377" s="9" t="str">
        <f>HYPERLINK("https://pubmed.ncbi.nlm.nih.gov/16055577/","abrir")</f>
        <v>abrir</v>
      </c>
      <c r="O377" s="10" t="b">
        <f t="shared" si="1"/>
        <v>0</v>
      </c>
    </row>
    <row r="378" ht="60.0" customHeight="1">
      <c r="A378" s="13" t="s">
        <v>1855</v>
      </c>
      <c r="B378" s="14">
        <v>2005.0</v>
      </c>
      <c r="C378" s="13" t="s">
        <v>1856</v>
      </c>
      <c r="D378" s="13" t="s">
        <v>1857</v>
      </c>
      <c r="E378" s="13" t="s">
        <v>1858</v>
      </c>
      <c r="F378" s="13" t="s">
        <v>1512</v>
      </c>
      <c r="G378" s="13" t="s">
        <v>96</v>
      </c>
      <c r="H378" s="13" t="s">
        <v>368</v>
      </c>
      <c r="I378" s="13" t="s">
        <v>906</v>
      </c>
      <c r="J378" s="13"/>
      <c r="K378" s="13" t="s">
        <v>1522</v>
      </c>
      <c r="L378" s="13" t="s">
        <v>1523</v>
      </c>
      <c r="M378" s="13"/>
      <c r="N378" s="9" t="str">
        <f>HYPERLINK("https://pubmed.ncbi.nlm.nih.gov/16123179/","abrir")</f>
        <v>abrir</v>
      </c>
      <c r="O378" s="10" t="b">
        <f t="shared" si="1"/>
        <v>0</v>
      </c>
    </row>
    <row r="379" ht="60.0" customHeight="1">
      <c r="A379" s="13" t="s">
        <v>1859</v>
      </c>
      <c r="B379" s="14">
        <v>2005.0</v>
      </c>
      <c r="C379" s="13" t="s">
        <v>1860</v>
      </c>
      <c r="D379" s="13" t="s">
        <v>1861</v>
      </c>
      <c r="E379" s="13" t="s">
        <v>1862</v>
      </c>
      <c r="F379" s="13" t="s">
        <v>684</v>
      </c>
      <c r="G379" s="13" t="s">
        <v>426</v>
      </c>
      <c r="H379" s="13" t="s">
        <v>368</v>
      </c>
      <c r="I379" s="13" t="s">
        <v>906</v>
      </c>
      <c r="J379" s="13"/>
      <c r="K379" s="13" t="s">
        <v>1522</v>
      </c>
      <c r="L379" s="13" t="s">
        <v>1523</v>
      </c>
      <c r="M379" s="13"/>
      <c r="N379" s="9" t="str">
        <f>HYPERLINK("https://pubmed.ncbi.nlm.nih.gov/16145648/","abrir")</f>
        <v>abrir</v>
      </c>
      <c r="O379" s="10" t="b">
        <f t="shared" si="1"/>
        <v>0</v>
      </c>
    </row>
    <row r="380" ht="60.0" customHeight="1">
      <c r="A380" s="13" t="s">
        <v>1863</v>
      </c>
      <c r="B380" s="14">
        <v>2005.0</v>
      </c>
      <c r="C380" s="13" t="s">
        <v>1864</v>
      </c>
      <c r="D380" s="13" t="s">
        <v>1865</v>
      </c>
      <c r="E380" s="13" t="s">
        <v>1866</v>
      </c>
      <c r="F380" s="13" t="s">
        <v>684</v>
      </c>
      <c r="G380" s="13" t="s">
        <v>426</v>
      </c>
      <c r="H380" s="13" t="s">
        <v>126</v>
      </c>
      <c r="I380" s="13" t="s">
        <v>906</v>
      </c>
      <c r="J380" s="13"/>
      <c r="K380" s="13" t="s">
        <v>1522</v>
      </c>
      <c r="L380" s="13" t="s">
        <v>1523</v>
      </c>
      <c r="M380" s="13"/>
      <c r="N380" s="9" t="str">
        <f>HYPERLINK("https://pubmed.ncbi.nlm.nih.gov/16184512/","abrir")</f>
        <v>abrir</v>
      </c>
      <c r="O380" s="10" t="b">
        <f t="shared" si="1"/>
        <v>0</v>
      </c>
    </row>
    <row r="381" ht="60.0" customHeight="1">
      <c r="A381" s="13" t="s">
        <v>1867</v>
      </c>
      <c r="B381" s="14">
        <v>2003.0</v>
      </c>
      <c r="C381" s="13" t="s">
        <v>1868</v>
      </c>
      <c r="D381" s="13" t="s">
        <v>1869</v>
      </c>
      <c r="E381" s="13" t="s">
        <v>1870</v>
      </c>
      <c r="F381" s="13" t="s">
        <v>1336</v>
      </c>
      <c r="G381" s="13" t="s">
        <v>96</v>
      </c>
      <c r="H381" s="13" t="s">
        <v>97</v>
      </c>
      <c r="I381" s="13" t="s">
        <v>906</v>
      </c>
      <c r="J381" s="13"/>
      <c r="K381" s="13" t="s">
        <v>1522</v>
      </c>
      <c r="L381" s="13" t="s">
        <v>1523</v>
      </c>
      <c r="M381" s="13"/>
      <c r="N381" s="9" t="str">
        <f>HYPERLINK("https://pubmed.ncbi.nlm.nih.gov/12747226/","abrir")</f>
        <v>abrir</v>
      </c>
      <c r="O381" s="10" t="b">
        <f t="shared" si="1"/>
        <v>0</v>
      </c>
    </row>
    <row r="382" ht="60.0" customHeight="1">
      <c r="A382" s="13" t="s">
        <v>1871</v>
      </c>
      <c r="B382" s="14">
        <v>2002.0</v>
      </c>
      <c r="C382" s="13" t="s">
        <v>1872</v>
      </c>
      <c r="D382" s="13" t="s">
        <v>1873</v>
      </c>
      <c r="E382" s="13" t="s">
        <v>1874</v>
      </c>
      <c r="F382" s="13" t="s">
        <v>228</v>
      </c>
      <c r="G382" s="13" t="s">
        <v>426</v>
      </c>
      <c r="H382" s="13" t="s">
        <v>97</v>
      </c>
      <c r="I382" s="13" t="s">
        <v>906</v>
      </c>
      <c r="J382" s="13"/>
      <c r="K382" s="13" t="s">
        <v>1522</v>
      </c>
      <c r="L382" s="13" t="s">
        <v>1523</v>
      </c>
      <c r="M382" s="13"/>
      <c r="N382" s="9" t="str">
        <f>HYPERLINK("https://pubmed.ncbi.nlm.nih.gov/11922436/","abrir")</f>
        <v>abrir</v>
      </c>
      <c r="O382" s="10" t="b">
        <f t="shared" si="1"/>
        <v>0</v>
      </c>
    </row>
    <row r="383" ht="60.0" customHeight="1">
      <c r="A383" s="13" t="s">
        <v>1875</v>
      </c>
      <c r="B383" s="14">
        <v>2002.0</v>
      </c>
      <c r="C383" s="13" t="s">
        <v>1876</v>
      </c>
      <c r="D383" s="13" t="s">
        <v>1877</v>
      </c>
      <c r="E383" s="13" t="s">
        <v>1878</v>
      </c>
      <c r="F383" s="13" t="s">
        <v>1144</v>
      </c>
      <c r="G383" s="13" t="s">
        <v>96</v>
      </c>
      <c r="H383" s="13" t="s">
        <v>368</v>
      </c>
      <c r="I383" s="13" t="s">
        <v>906</v>
      </c>
      <c r="J383" s="13"/>
      <c r="K383" s="13" t="s">
        <v>1522</v>
      </c>
      <c r="L383" s="13" t="s">
        <v>1523</v>
      </c>
      <c r="M383" s="13"/>
      <c r="N383" s="9" t="str">
        <f>HYPERLINK("https://pubmed.ncbi.nlm.nih.gov/12501073/","abrir")</f>
        <v>abrir</v>
      </c>
      <c r="O383" s="10" t="b">
        <f t="shared" si="1"/>
        <v>0</v>
      </c>
    </row>
    <row r="384" ht="60.0" customHeight="1">
      <c r="A384" s="13" t="s">
        <v>1879</v>
      </c>
      <c r="B384" s="14">
        <v>2001.0</v>
      </c>
      <c r="C384" s="13" t="s">
        <v>1880</v>
      </c>
      <c r="D384" s="13" t="s">
        <v>1881</v>
      </c>
      <c r="E384" s="13" t="s">
        <v>1882</v>
      </c>
      <c r="F384" s="13" t="s">
        <v>1773</v>
      </c>
      <c r="G384" s="13" t="s">
        <v>379</v>
      </c>
      <c r="H384" s="13" t="s">
        <v>368</v>
      </c>
      <c r="I384" s="13" t="s">
        <v>906</v>
      </c>
      <c r="J384" s="13"/>
      <c r="K384" s="13" t="s">
        <v>1522</v>
      </c>
      <c r="L384" s="13" t="s">
        <v>1523</v>
      </c>
      <c r="M384" s="13"/>
      <c r="N384" s="9" t="str">
        <f>HYPERLINK("https://pubmed.ncbi.nlm.nih.gov/11316935/","abrir")</f>
        <v>abrir</v>
      </c>
      <c r="O384" s="10" t="b">
        <f t="shared" si="1"/>
        <v>0</v>
      </c>
    </row>
    <row r="385" ht="60.0" customHeight="1">
      <c r="A385" s="13" t="s">
        <v>1883</v>
      </c>
      <c r="B385" s="14">
        <v>2001.0</v>
      </c>
      <c r="C385" s="13" t="s">
        <v>1884</v>
      </c>
      <c r="D385" s="13" t="s">
        <v>1885</v>
      </c>
      <c r="E385" s="13" t="s">
        <v>1886</v>
      </c>
      <c r="F385" s="13" t="s">
        <v>168</v>
      </c>
      <c r="G385" s="13" t="s">
        <v>426</v>
      </c>
      <c r="H385" s="13" t="s">
        <v>97</v>
      </c>
      <c r="I385" s="13" t="s">
        <v>906</v>
      </c>
      <c r="J385" s="13"/>
      <c r="K385" s="13" t="s">
        <v>1522</v>
      </c>
      <c r="L385" s="13" t="s">
        <v>1523</v>
      </c>
      <c r="M385" s="13"/>
      <c r="N385" s="9" t="str">
        <f>HYPERLINK("https://pubmed.ncbi.nlm.nih.gov/11528619/","abrir")</f>
        <v>abrir</v>
      </c>
      <c r="O385" s="10" t="b">
        <f t="shared" si="1"/>
        <v>0</v>
      </c>
    </row>
    <row r="386" ht="60.0" customHeight="1">
      <c r="A386" s="13" t="s">
        <v>1887</v>
      </c>
      <c r="B386" s="14">
        <v>2001.0</v>
      </c>
      <c r="C386" s="13" t="s">
        <v>1843</v>
      </c>
      <c r="D386" s="13" t="s">
        <v>1888</v>
      </c>
      <c r="E386" s="13" t="s">
        <v>1889</v>
      </c>
      <c r="F386" s="13" t="s">
        <v>421</v>
      </c>
      <c r="G386" s="13" t="s">
        <v>96</v>
      </c>
      <c r="H386" s="13" t="s">
        <v>368</v>
      </c>
      <c r="I386" s="13" t="s">
        <v>906</v>
      </c>
      <c r="J386" s="13"/>
      <c r="K386" s="13" t="s">
        <v>1522</v>
      </c>
      <c r="L386" s="13" t="s">
        <v>1523</v>
      </c>
      <c r="M386" s="13"/>
      <c r="N386" s="9" t="str">
        <f>HYPERLINK("https://pubmed.ncbi.nlm.nih.gov/11733855/","abrir")</f>
        <v>abrir</v>
      </c>
      <c r="O386" s="10" t="b">
        <f t="shared" si="1"/>
        <v>0</v>
      </c>
    </row>
    <row r="387" ht="60.0" customHeight="1">
      <c r="A387" s="13" t="s">
        <v>1890</v>
      </c>
      <c r="B387" s="14">
        <v>2000.0</v>
      </c>
      <c r="C387" s="13" t="s">
        <v>1891</v>
      </c>
      <c r="D387" s="13" t="s">
        <v>1892</v>
      </c>
      <c r="E387" s="13" t="s">
        <v>1893</v>
      </c>
      <c r="F387" s="13" t="s">
        <v>1894</v>
      </c>
      <c r="G387" s="13" t="s">
        <v>96</v>
      </c>
      <c r="H387" s="13" t="s">
        <v>97</v>
      </c>
      <c r="I387" s="13" t="s">
        <v>906</v>
      </c>
      <c r="J387" s="13"/>
      <c r="K387" s="13" t="s">
        <v>1522</v>
      </c>
      <c r="L387" s="13" t="s">
        <v>1523</v>
      </c>
      <c r="M387" s="13"/>
      <c r="N387" s="9" t="str">
        <f>HYPERLINK("https://pubmed.ncbi.nlm.nih.gov/11076432/","abrir")</f>
        <v>abrir</v>
      </c>
      <c r="O387" s="10" t="b">
        <f t="shared" si="1"/>
        <v>0</v>
      </c>
    </row>
    <row r="388" ht="60.0" customHeight="1">
      <c r="A388" s="13" t="s">
        <v>1895</v>
      </c>
      <c r="B388" s="14">
        <v>2026.0</v>
      </c>
      <c r="C388" s="13" t="s">
        <v>1896</v>
      </c>
      <c r="D388" s="13" t="s">
        <v>1897</v>
      </c>
      <c r="E388" s="13" t="s">
        <v>1898</v>
      </c>
      <c r="F388" s="13" t="s">
        <v>1052</v>
      </c>
      <c r="G388" s="13" t="s">
        <v>144</v>
      </c>
      <c r="H388" s="13" t="s">
        <v>97</v>
      </c>
      <c r="I388" s="13" t="s">
        <v>906</v>
      </c>
      <c r="J388" s="13"/>
      <c r="K388" s="13" t="s">
        <v>1899</v>
      </c>
      <c r="L388" s="13" t="s">
        <v>1900</v>
      </c>
      <c r="M388" s="13"/>
      <c r="N388" s="9" t="str">
        <f>HYPERLINK("https://pubmed.ncbi.nlm.nih.gov/41975697/","abrir")</f>
        <v>abrir</v>
      </c>
      <c r="O388" s="10" t="b">
        <f t="shared" si="1"/>
        <v>1</v>
      </c>
    </row>
    <row r="389" ht="60.0" customHeight="1">
      <c r="A389" s="13" t="s">
        <v>1901</v>
      </c>
      <c r="B389" s="14">
        <v>2025.0</v>
      </c>
      <c r="C389" s="13" t="s">
        <v>1902</v>
      </c>
      <c r="D389" s="13" t="s">
        <v>1903</v>
      </c>
      <c r="E389" s="13" t="s">
        <v>1904</v>
      </c>
      <c r="F389" s="13" t="s">
        <v>1703</v>
      </c>
      <c r="G389" s="13" t="s">
        <v>144</v>
      </c>
      <c r="H389" s="13" t="s">
        <v>97</v>
      </c>
      <c r="I389" s="13" t="s">
        <v>906</v>
      </c>
      <c r="J389" s="13"/>
      <c r="K389" s="13" t="s">
        <v>1899</v>
      </c>
      <c r="L389" s="13" t="s">
        <v>1900</v>
      </c>
      <c r="M389" s="13"/>
      <c r="N389" s="9" t="str">
        <f>HYPERLINK("https://pubmed.ncbi.nlm.nih.gov/40404742/","abrir")</f>
        <v>abrir</v>
      </c>
      <c r="O389" s="10" t="b">
        <f t="shared" si="1"/>
        <v>1</v>
      </c>
    </row>
    <row r="390" ht="60.0" customHeight="1">
      <c r="A390" s="13" t="s">
        <v>1905</v>
      </c>
      <c r="B390" s="14">
        <v>2025.0</v>
      </c>
      <c r="C390" s="13" t="s">
        <v>1906</v>
      </c>
      <c r="D390" s="13" t="s">
        <v>1907</v>
      </c>
      <c r="E390" s="13" t="s">
        <v>1908</v>
      </c>
      <c r="F390" s="13" t="s">
        <v>1909</v>
      </c>
      <c r="G390" s="13" t="s">
        <v>96</v>
      </c>
      <c r="H390" s="13" t="s">
        <v>97</v>
      </c>
      <c r="I390" s="13" t="s">
        <v>906</v>
      </c>
      <c r="J390" s="13"/>
      <c r="K390" s="13" t="s">
        <v>1899</v>
      </c>
      <c r="L390" s="13" t="s">
        <v>1900</v>
      </c>
      <c r="M390" s="13"/>
      <c r="N390" s="9" t="str">
        <f>HYPERLINK("https://pubmed.ncbi.nlm.nih.gov/41355336/","abrir")</f>
        <v>abrir</v>
      </c>
      <c r="O390" s="10" t="b">
        <f t="shared" si="1"/>
        <v>1</v>
      </c>
    </row>
    <row r="391" ht="60.0" customHeight="1">
      <c r="A391" s="13" t="s">
        <v>1910</v>
      </c>
      <c r="B391" s="14">
        <v>2024.0</v>
      </c>
      <c r="C391" s="13" t="s">
        <v>1911</v>
      </c>
      <c r="D391" s="13" t="s">
        <v>1912</v>
      </c>
      <c r="E391" s="13" t="s">
        <v>1913</v>
      </c>
      <c r="F391" s="13" t="s">
        <v>1914</v>
      </c>
      <c r="G391" s="13" t="s">
        <v>96</v>
      </c>
      <c r="H391" s="13" t="s">
        <v>97</v>
      </c>
      <c r="I391" s="13" t="s">
        <v>906</v>
      </c>
      <c r="J391" s="13"/>
      <c r="K391" s="13" t="s">
        <v>1899</v>
      </c>
      <c r="L391" s="13" t="s">
        <v>1900</v>
      </c>
      <c r="M391" s="13"/>
      <c r="N391" s="9" t="str">
        <f>HYPERLINK("https://pubmed.ncbi.nlm.nih.gov/38884762/","abrir")</f>
        <v>abrir</v>
      </c>
      <c r="O391" s="10" t="b">
        <f t="shared" si="1"/>
        <v>1</v>
      </c>
    </row>
    <row r="392" ht="60.0" customHeight="1">
      <c r="A392" s="13" t="s">
        <v>1915</v>
      </c>
      <c r="B392" s="14">
        <v>2022.0</v>
      </c>
      <c r="C392" s="13" t="s">
        <v>1916</v>
      </c>
      <c r="D392" s="13" t="s">
        <v>1917</v>
      </c>
      <c r="E392" s="13" t="s">
        <v>1918</v>
      </c>
      <c r="F392" s="13" t="s">
        <v>95</v>
      </c>
      <c r="G392" s="13" t="s">
        <v>712</v>
      </c>
      <c r="H392" s="13" t="s">
        <v>97</v>
      </c>
      <c r="I392" s="13" t="s">
        <v>906</v>
      </c>
      <c r="J392" s="13"/>
      <c r="K392" s="13" t="s">
        <v>1899</v>
      </c>
      <c r="L392" s="13" t="s">
        <v>1900</v>
      </c>
      <c r="M392" s="13"/>
      <c r="N392" s="9" t="str">
        <f>HYPERLINK("https://pubmed.ncbi.nlm.nih.gov/35478319/","abrir")</f>
        <v>abrir</v>
      </c>
      <c r="O392" s="10" t="b">
        <f t="shared" si="1"/>
        <v>0</v>
      </c>
    </row>
    <row r="393" ht="60.0" customHeight="1">
      <c r="A393" s="13" t="s">
        <v>1919</v>
      </c>
      <c r="B393" s="14">
        <v>2022.0</v>
      </c>
      <c r="C393" s="13"/>
      <c r="D393" s="13" t="s">
        <v>1920</v>
      </c>
      <c r="E393" s="13" t="s">
        <v>1921</v>
      </c>
      <c r="F393" s="13" t="s">
        <v>1922</v>
      </c>
      <c r="G393" s="13" t="s">
        <v>96</v>
      </c>
      <c r="H393" s="13" t="s">
        <v>368</v>
      </c>
      <c r="I393" s="13" t="s">
        <v>906</v>
      </c>
      <c r="J393" s="13"/>
      <c r="K393" s="13" t="s">
        <v>1899</v>
      </c>
      <c r="L393" s="13" t="s">
        <v>1900</v>
      </c>
      <c r="M393" s="13"/>
      <c r="N393" s="9" t="str">
        <f>HYPERLINK("https://pubmed.ncbi.nlm.nih.gov/36241341/","abrir")</f>
        <v>abrir</v>
      </c>
      <c r="O393" s="10" t="b">
        <f t="shared" si="1"/>
        <v>0</v>
      </c>
    </row>
    <row r="394" ht="60.0" customHeight="1">
      <c r="A394" s="13" t="s">
        <v>1923</v>
      </c>
      <c r="B394" s="14">
        <v>2021.0</v>
      </c>
      <c r="C394" s="13" t="s">
        <v>1924</v>
      </c>
      <c r="D394" s="13" t="s">
        <v>1925</v>
      </c>
      <c r="E394" s="13" t="s">
        <v>1926</v>
      </c>
      <c r="F394" s="13" t="s">
        <v>1927</v>
      </c>
      <c r="G394" s="13" t="s">
        <v>1379</v>
      </c>
      <c r="H394" s="13" t="s">
        <v>97</v>
      </c>
      <c r="I394" s="13" t="s">
        <v>906</v>
      </c>
      <c r="J394" s="13"/>
      <c r="K394" s="13" t="s">
        <v>1899</v>
      </c>
      <c r="L394" s="13" t="s">
        <v>1900</v>
      </c>
      <c r="M394" s="13"/>
      <c r="N394" s="9" t="str">
        <f>HYPERLINK("https://pubmed.ncbi.nlm.nih.gov/37727523/","abrir")</f>
        <v>abrir</v>
      </c>
      <c r="O394" s="10" t="b">
        <f t="shared" si="1"/>
        <v>0</v>
      </c>
    </row>
    <row r="395" ht="60.0" customHeight="1">
      <c r="A395" s="13" t="s">
        <v>1928</v>
      </c>
      <c r="B395" s="14">
        <v>2020.0</v>
      </c>
      <c r="C395" s="13" t="s">
        <v>1929</v>
      </c>
      <c r="D395" s="13" t="s">
        <v>1930</v>
      </c>
      <c r="E395" s="13" t="s">
        <v>1931</v>
      </c>
      <c r="F395" s="13" t="s">
        <v>513</v>
      </c>
      <c r="G395" s="13" t="s">
        <v>96</v>
      </c>
      <c r="H395" s="13" t="s">
        <v>126</v>
      </c>
      <c r="I395" s="13" t="s">
        <v>906</v>
      </c>
      <c r="J395" s="13"/>
      <c r="K395" s="13" t="s">
        <v>1899</v>
      </c>
      <c r="L395" s="13" t="s">
        <v>1900</v>
      </c>
      <c r="M395" s="13"/>
      <c r="N395" s="9" t="str">
        <f>HYPERLINK("https://pubmed.ncbi.nlm.nih.gov/31868316/","abrir")</f>
        <v>abrir</v>
      </c>
      <c r="O395" s="10" t="b">
        <f t="shared" si="1"/>
        <v>0</v>
      </c>
    </row>
    <row r="396" ht="60.0" customHeight="1">
      <c r="A396" s="13" t="s">
        <v>1932</v>
      </c>
      <c r="B396" s="14">
        <v>2020.0</v>
      </c>
      <c r="C396" s="13" t="s">
        <v>1933</v>
      </c>
      <c r="D396" s="13" t="s">
        <v>1934</v>
      </c>
      <c r="E396" s="13" t="s">
        <v>1935</v>
      </c>
      <c r="F396" s="13" t="s">
        <v>132</v>
      </c>
      <c r="G396" s="13" t="s">
        <v>96</v>
      </c>
      <c r="H396" s="13" t="s">
        <v>97</v>
      </c>
      <c r="I396" s="13" t="s">
        <v>906</v>
      </c>
      <c r="J396" s="13"/>
      <c r="K396" s="13" t="s">
        <v>1899</v>
      </c>
      <c r="L396" s="13" t="s">
        <v>1900</v>
      </c>
      <c r="M396" s="13"/>
      <c r="N396" s="9" t="str">
        <f>HYPERLINK("https://pubmed.ncbi.nlm.nih.gov/32419096/","abrir")</f>
        <v>abrir</v>
      </c>
      <c r="O396" s="10" t="b">
        <f t="shared" si="1"/>
        <v>0</v>
      </c>
    </row>
    <row r="397" ht="60.0" customHeight="1">
      <c r="A397" s="13" t="s">
        <v>1936</v>
      </c>
      <c r="B397" s="14">
        <v>2016.0</v>
      </c>
      <c r="C397" s="13" t="s">
        <v>1937</v>
      </c>
      <c r="D397" s="13" t="s">
        <v>1938</v>
      </c>
      <c r="E397" s="13" t="s">
        <v>1939</v>
      </c>
      <c r="F397" s="13" t="s">
        <v>1940</v>
      </c>
      <c r="G397" s="13" t="s">
        <v>144</v>
      </c>
      <c r="H397" s="13" t="s">
        <v>97</v>
      </c>
      <c r="I397" s="13" t="s">
        <v>906</v>
      </c>
      <c r="J397" s="13"/>
      <c r="K397" s="13" t="s">
        <v>1899</v>
      </c>
      <c r="L397" s="13" t="s">
        <v>1900</v>
      </c>
      <c r="M397" s="13"/>
      <c r="N397" s="9" t="str">
        <f>HYPERLINK("https://pubmed.ncbi.nlm.nih.gov/27087248/","abrir")</f>
        <v>abrir</v>
      </c>
      <c r="O397" s="10" t="b">
        <f t="shared" si="1"/>
        <v>0</v>
      </c>
    </row>
    <row r="398" ht="60.0" customHeight="1">
      <c r="A398" s="13" t="s">
        <v>1941</v>
      </c>
      <c r="B398" s="14">
        <v>2008.0</v>
      </c>
      <c r="C398" s="13" t="s">
        <v>1942</v>
      </c>
      <c r="D398" s="13" t="s">
        <v>1943</v>
      </c>
      <c r="E398" s="13" t="s">
        <v>1944</v>
      </c>
      <c r="F398" s="13" t="s">
        <v>1922</v>
      </c>
      <c r="G398" s="13" t="s">
        <v>705</v>
      </c>
      <c r="H398" s="13" t="s">
        <v>368</v>
      </c>
      <c r="I398" s="13" t="s">
        <v>906</v>
      </c>
      <c r="J398" s="13"/>
      <c r="K398" s="13" t="s">
        <v>1899</v>
      </c>
      <c r="L398" s="13" t="s">
        <v>1900</v>
      </c>
      <c r="M398" s="13"/>
      <c r="N398" s="9" t="str">
        <f>HYPERLINK("https://pubmed.ncbi.nlm.nih.gov/19038077/","abrir")</f>
        <v>abrir</v>
      </c>
      <c r="O398" s="10" t="b">
        <f t="shared" si="1"/>
        <v>0</v>
      </c>
    </row>
    <row r="399" ht="60.0" customHeight="1">
      <c r="A399" s="13" t="s">
        <v>1945</v>
      </c>
      <c r="B399" s="14">
        <v>2007.0</v>
      </c>
      <c r="C399" s="13" t="s">
        <v>1946</v>
      </c>
      <c r="D399" s="13" t="s">
        <v>1947</v>
      </c>
      <c r="E399" s="13" t="s">
        <v>1948</v>
      </c>
      <c r="F399" s="13" t="s">
        <v>1134</v>
      </c>
      <c r="G399" s="13" t="s">
        <v>144</v>
      </c>
      <c r="H399" s="13" t="s">
        <v>368</v>
      </c>
      <c r="I399" s="13" t="s">
        <v>906</v>
      </c>
      <c r="J399" s="13"/>
      <c r="K399" s="13" t="s">
        <v>1899</v>
      </c>
      <c r="L399" s="13" t="s">
        <v>1900</v>
      </c>
      <c r="M399" s="13"/>
      <c r="N399" s="9" t="str">
        <f>HYPERLINK("https://pubmed.ncbi.nlm.nih.gov/18182338/","abrir")</f>
        <v>abrir</v>
      </c>
      <c r="O399" s="10" t="b">
        <f t="shared" si="1"/>
        <v>0</v>
      </c>
    </row>
    <row r="400" ht="60.0" customHeight="1">
      <c r="A400" s="13" t="s">
        <v>1949</v>
      </c>
      <c r="B400" s="14">
        <v>2026.0</v>
      </c>
      <c r="C400" s="13" t="s">
        <v>1950</v>
      </c>
      <c r="D400" s="13" t="s">
        <v>1951</v>
      </c>
      <c r="E400" s="13" t="s">
        <v>1952</v>
      </c>
      <c r="F400" s="13" t="s">
        <v>1532</v>
      </c>
      <c r="G400" s="13" t="s">
        <v>96</v>
      </c>
      <c r="H400" s="13" t="s">
        <v>368</v>
      </c>
      <c r="I400" s="13" t="s">
        <v>906</v>
      </c>
      <c r="J400" s="13"/>
      <c r="K400" s="13" t="s">
        <v>1953</v>
      </c>
      <c r="L400" s="13" t="s">
        <v>1954</v>
      </c>
      <c r="M400" s="13"/>
      <c r="N400" s="9" t="str">
        <f>HYPERLINK("https://pubmed.ncbi.nlm.nih.gov/41994687/","abrir")</f>
        <v>abrir</v>
      </c>
      <c r="O400" s="10" t="b">
        <f t="shared" si="1"/>
        <v>1</v>
      </c>
    </row>
    <row r="401" ht="60.0" customHeight="1">
      <c r="A401" s="13" t="s">
        <v>1955</v>
      </c>
      <c r="B401" s="14">
        <v>2026.0</v>
      </c>
      <c r="C401" s="13" t="s">
        <v>1956</v>
      </c>
      <c r="D401" s="13" t="s">
        <v>1957</v>
      </c>
      <c r="E401" s="13" t="s">
        <v>1958</v>
      </c>
      <c r="F401" s="13" t="s">
        <v>1959</v>
      </c>
      <c r="G401" s="13" t="s">
        <v>96</v>
      </c>
      <c r="H401" s="13" t="s">
        <v>97</v>
      </c>
      <c r="I401" s="13" t="s">
        <v>906</v>
      </c>
      <c r="J401" s="13"/>
      <c r="K401" s="13" t="s">
        <v>1953</v>
      </c>
      <c r="L401" s="13" t="s">
        <v>1954</v>
      </c>
      <c r="M401" s="13"/>
      <c r="N401" s="9" t="str">
        <f>HYPERLINK("https://pubmed.ncbi.nlm.nih.gov/42056489/","abrir")</f>
        <v>abrir</v>
      </c>
      <c r="O401" s="10" t="b">
        <f t="shared" si="1"/>
        <v>1</v>
      </c>
    </row>
    <row r="402" ht="60.0" customHeight="1">
      <c r="A402" s="13" t="s">
        <v>1960</v>
      </c>
      <c r="B402" s="14">
        <v>2026.0</v>
      </c>
      <c r="C402" s="13" t="s">
        <v>1961</v>
      </c>
      <c r="D402" s="13" t="s">
        <v>1962</v>
      </c>
      <c r="E402" s="13" t="s">
        <v>1963</v>
      </c>
      <c r="F402" s="13" t="s">
        <v>1964</v>
      </c>
      <c r="G402" s="13" t="s">
        <v>96</v>
      </c>
      <c r="H402" s="13" t="s">
        <v>97</v>
      </c>
      <c r="I402" s="13" t="s">
        <v>906</v>
      </c>
      <c r="J402" s="13"/>
      <c r="K402" s="13" t="s">
        <v>1953</v>
      </c>
      <c r="L402" s="13" t="s">
        <v>1954</v>
      </c>
      <c r="M402" s="13"/>
      <c r="N402" s="9" t="str">
        <f>HYPERLINK("https://pubmed.ncbi.nlm.nih.gov/42605489/","abrir")</f>
        <v>abrir</v>
      </c>
      <c r="O402" s="10" t="b">
        <f t="shared" si="1"/>
        <v>1</v>
      </c>
    </row>
    <row r="403" ht="60.0" customHeight="1">
      <c r="A403" s="13" t="s">
        <v>1965</v>
      </c>
      <c r="B403" s="14">
        <v>2025.0</v>
      </c>
      <c r="C403" s="13" t="s">
        <v>1966</v>
      </c>
      <c r="D403" s="13" t="s">
        <v>1967</v>
      </c>
      <c r="E403" s="13" t="s">
        <v>1968</v>
      </c>
      <c r="F403" s="13" t="s">
        <v>1969</v>
      </c>
      <c r="G403" s="13" t="s">
        <v>96</v>
      </c>
      <c r="H403" s="13" t="s">
        <v>97</v>
      </c>
      <c r="I403" s="13" t="s">
        <v>906</v>
      </c>
      <c r="J403" s="13"/>
      <c r="K403" s="13" t="s">
        <v>1953</v>
      </c>
      <c r="L403" s="13" t="s">
        <v>1954</v>
      </c>
      <c r="M403" s="13"/>
      <c r="N403" s="9" t="str">
        <f>HYPERLINK("https://pubmed.ncbi.nlm.nih.gov/41257854/","abrir")</f>
        <v>abrir</v>
      </c>
      <c r="O403" s="10" t="b">
        <f t="shared" si="1"/>
        <v>1</v>
      </c>
    </row>
    <row r="404" ht="60.0" customHeight="1">
      <c r="A404" s="13" t="s">
        <v>1970</v>
      </c>
      <c r="B404" s="14">
        <v>2024.0</v>
      </c>
      <c r="C404" s="13" t="s">
        <v>1971</v>
      </c>
      <c r="D404" s="13" t="s">
        <v>1972</v>
      </c>
      <c r="E404" s="13" t="s">
        <v>1973</v>
      </c>
      <c r="F404" s="13" t="s">
        <v>1974</v>
      </c>
      <c r="G404" s="13" t="s">
        <v>96</v>
      </c>
      <c r="H404" s="13" t="s">
        <v>97</v>
      </c>
      <c r="I404" s="13" t="s">
        <v>906</v>
      </c>
      <c r="J404" s="13"/>
      <c r="K404" s="13" t="s">
        <v>1953</v>
      </c>
      <c r="L404" s="13" t="s">
        <v>1954</v>
      </c>
      <c r="M404" s="13"/>
      <c r="N404" s="9" t="str">
        <f>HYPERLINK("https://pubmed.ncbi.nlm.nih.gov/37937891/","abrir")</f>
        <v>abrir</v>
      </c>
      <c r="O404" s="10" t="b">
        <f t="shared" si="1"/>
        <v>1</v>
      </c>
    </row>
    <row r="405" ht="60.0" customHeight="1">
      <c r="A405" s="13" t="s">
        <v>1975</v>
      </c>
      <c r="B405" s="14">
        <v>2024.0</v>
      </c>
      <c r="C405" s="13" t="s">
        <v>1976</v>
      </c>
      <c r="D405" s="13" t="s">
        <v>1977</v>
      </c>
      <c r="E405" s="13" t="s">
        <v>1978</v>
      </c>
      <c r="F405" s="13" t="s">
        <v>1979</v>
      </c>
      <c r="G405" s="13" t="s">
        <v>741</v>
      </c>
      <c r="H405" s="13" t="s">
        <v>97</v>
      </c>
      <c r="I405" s="13" t="s">
        <v>906</v>
      </c>
      <c r="J405" s="13"/>
      <c r="K405" s="13" t="s">
        <v>1953</v>
      </c>
      <c r="L405" s="13" t="s">
        <v>1954</v>
      </c>
      <c r="M405" s="13"/>
      <c r="N405" s="9" t="str">
        <f>HYPERLINK("https://pubmed.ncbi.nlm.nih.gov/38038141/","abrir")</f>
        <v>abrir</v>
      </c>
      <c r="O405" s="10" t="b">
        <f t="shared" si="1"/>
        <v>1</v>
      </c>
    </row>
    <row r="406" ht="60.0" customHeight="1">
      <c r="A406" s="13" t="s">
        <v>1980</v>
      </c>
      <c r="B406" s="14">
        <v>2024.0</v>
      </c>
      <c r="C406" s="13" t="s">
        <v>1981</v>
      </c>
      <c r="D406" s="13" t="s">
        <v>1982</v>
      </c>
      <c r="E406" s="13" t="s">
        <v>1983</v>
      </c>
      <c r="F406" s="13" t="s">
        <v>95</v>
      </c>
      <c r="G406" s="13" t="s">
        <v>184</v>
      </c>
      <c r="H406" s="13" t="s">
        <v>97</v>
      </c>
      <c r="I406" s="13" t="s">
        <v>906</v>
      </c>
      <c r="J406" s="13"/>
      <c r="K406" s="13" t="s">
        <v>1953</v>
      </c>
      <c r="L406" s="13" t="s">
        <v>1954</v>
      </c>
      <c r="M406" s="13"/>
      <c r="N406" s="9" t="str">
        <f>HYPERLINK("https://pubmed.ncbi.nlm.nih.gov/38062644/","abrir")</f>
        <v>abrir</v>
      </c>
      <c r="O406" s="10" t="b">
        <f t="shared" si="1"/>
        <v>1</v>
      </c>
    </row>
    <row r="407" ht="60.0" customHeight="1">
      <c r="A407" s="13" t="s">
        <v>1984</v>
      </c>
      <c r="B407" s="14">
        <v>2024.0</v>
      </c>
      <c r="C407" s="13" t="s">
        <v>1985</v>
      </c>
      <c r="D407" s="13" t="s">
        <v>1986</v>
      </c>
      <c r="E407" s="13" t="s">
        <v>1987</v>
      </c>
      <c r="F407" s="13" t="s">
        <v>168</v>
      </c>
      <c r="G407" s="13" t="s">
        <v>1547</v>
      </c>
      <c r="H407" s="13" t="s">
        <v>97</v>
      </c>
      <c r="I407" s="13" t="s">
        <v>906</v>
      </c>
      <c r="J407" s="13"/>
      <c r="K407" s="13" t="s">
        <v>1953</v>
      </c>
      <c r="L407" s="13" t="s">
        <v>1954</v>
      </c>
      <c r="M407" s="13"/>
      <c r="N407" s="9" t="str">
        <f>HYPERLINK("https://pubmed.ncbi.nlm.nih.gov/38955626/","abrir")</f>
        <v>abrir</v>
      </c>
      <c r="O407" s="10" t="b">
        <f t="shared" si="1"/>
        <v>1</v>
      </c>
    </row>
    <row r="408" ht="60.0" customHeight="1">
      <c r="A408" s="13" t="s">
        <v>1988</v>
      </c>
      <c r="B408" s="14">
        <v>2023.0</v>
      </c>
      <c r="C408" s="13" t="s">
        <v>1989</v>
      </c>
      <c r="D408" s="13" t="s">
        <v>1990</v>
      </c>
      <c r="E408" s="13" t="s">
        <v>1991</v>
      </c>
      <c r="F408" s="13" t="s">
        <v>1992</v>
      </c>
      <c r="G408" s="13" t="s">
        <v>1993</v>
      </c>
      <c r="H408" s="13" t="s">
        <v>97</v>
      </c>
      <c r="I408" s="13" t="s">
        <v>906</v>
      </c>
      <c r="J408" s="13"/>
      <c r="K408" s="13" t="s">
        <v>1953</v>
      </c>
      <c r="L408" s="13" t="s">
        <v>1954</v>
      </c>
      <c r="M408" s="13"/>
      <c r="N408" s="9" t="str">
        <f>HYPERLINK("https://pubmed.ncbi.nlm.nih.gov/37158261/","abrir")</f>
        <v>abrir</v>
      </c>
      <c r="O408" s="10" t="b">
        <f t="shared" si="1"/>
        <v>0</v>
      </c>
    </row>
    <row r="409" ht="60.0" customHeight="1">
      <c r="A409" s="13" t="s">
        <v>1994</v>
      </c>
      <c r="B409" s="14">
        <v>2023.0</v>
      </c>
      <c r="C409" s="13" t="s">
        <v>1995</v>
      </c>
      <c r="D409" s="13" t="s">
        <v>1996</v>
      </c>
      <c r="E409" s="13" t="s">
        <v>1997</v>
      </c>
      <c r="F409" s="13" t="s">
        <v>95</v>
      </c>
      <c r="G409" s="13" t="s">
        <v>96</v>
      </c>
      <c r="H409" s="13" t="s">
        <v>97</v>
      </c>
      <c r="I409" s="13" t="s">
        <v>906</v>
      </c>
      <c r="J409" s="13"/>
      <c r="K409" s="13" t="s">
        <v>1953</v>
      </c>
      <c r="L409" s="13" t="s">
        <v>1954</v>
      </c>
      <c r="M409" s="13"/>
      <c r="N409" s="9" t="str">
        <f>HYPERLINK("https://pubmed.ncbi.nlm.nih.gov/37303261/","abrir")</f>
        <v>abrir</v>
      </c>
      <c r="O409" s="10" t="b">
        <f t="shared" si="1"/>
        <v>0</v>
      </c>
    </row>
    <row r="410" ht="60.0" customHeight="1">
      <c r="A410" s="13" t="s">
        <v>1998</v>
      </c>
      <c r="B410" s="14">
        <v>2022.0</v>
      </c>
      <c r="C410" s="13" t="s">
        <v>1999</v>
      </c>
      <c r="D410" s="13" t="s">
        <v>2000</v>
      </c>
      <c r="E410" s="13" t="s">
        <v>2001</v>
      </c>
      <c r="F410" s="13" t="s">
        <v>2002</v>
      </c>
      <c r="G410" s="13" t="s">
        <v>184</v>
      </c>
      <c r="H410" s="13" t="s">
        <v>97</v>
      </c>
      <c r="I410" s="13" t="s">
        <v>906</v>
      </c>
      <c r="J410" s="13"/>
      <c r="K410" s="13" t="s">
        <v>1953</v>
      </c>
      <c r="L410" s="13" t="s">
        <v>1954</v>
      </c>
      <c r="M410" s="13"/>
      <c r="N410" s="9" t="str">
        <f>HYPERLINK("https://pubmed.ncbi.nlm.nih.gov/36401256/","abrir")</f>
        <v>abrir</v>
      </c>
      <c r="O410" s="10" t="b">
        <f t="shared" si="1"/>
        <v>0</v>
      </c>
    </row>
    <row r="411" ht="60.0" customHeight="1">
      <c r="A411" s="13" t="s">
        <v>2003</v>
      </c>
      <c r="B411" s="14">
        <v>2021.0</v>
      </c>
      <c r="C411" s="13" t="s">
        <v>2004</v>
      </c>
      <c r="D411" s="13" t="s">
        <v>2005</v>
      </c>
      <c r="E411" s="13" t="s">
        <v>2006</v>
      </c>
      <c r="F411" s="13" t="s">
        <v>729</v>
      </c>
      <c r="G411" s="13" t="s">
        <v>96</v>
      </c>
      <c r="H411" s="13" t="s">
        <v>97</v>
      </c>
      <c r="I411" s="13" t="s">
        <v>906</v>
      </c>
      <c r="J411" s="13"/>
      <c r="K411" s="13" t="s">
        <v>1953</v>
      </c>
      <c r="L411" s="13" t="s">
        <v>1954</v>
      </c>
      <c r="M411" s="13"/>
      <c r="N411" s="9" t="str">
        <f>HYPERLINK("https://pubmed.ncbi.nlm.nih.gov/32981701/","abrir")</f>
        <v>abrir</v>
      </c>
      <c r="O411" s="10" t="b">
        <f t="shared" si="1"/>
        <v>0</v>
      </c>
    </row>
    <row r="412" ht="60.0" customHeight="1">
      <c r="A412" s="13" t="s">
        <v>2007</v>
      </c>
      <c r="B412" s="14">
        <v>2021.0</v>
      </c>
      <c r="C412" s="13" t="s">
        <v>2008</v>
      </c>
      <c r="D412" s="13" t="s">
        <v>2009</v>
      </c>
      <c r="E412" s="13" t="s">
        <v>2010</v>
      </c>
      <c r="F412" s="13" t="s">
        <v>279</v>
      </c>
      <c r="G412" s="13" t="s">
        <v>96</v>
      </c>
      <c r="H412" s="13" t="s">
        <v>97</v>
      </c>
      <c r="I412" s="13" t="s">
        <v>906</v>
      </c>
      <c r="J412" s="13"/>
      <c r="K412" s="13" t="s">
        <v>1953</v>
      </c>
      <c r="L412" s="13" t="s">
        <v>1954</v>
      </c>
      <c r="M412" s="13"/>
      <c r="N412" s="9" t="str">
        <f>HYPERLINK("https://pubmed.ncbi.nlm.nih.gov/33644930/","abrir")</f>
        <v>abrir</v>
      </c>
      <c r="O412" s="10" t="b">
        <f t="shared" si="1"/>
        <v>0</v>
      </c>
    </row>
    <row r="413" ht="60.0" customHeight="1">
      <c r="A413" s="13" t="s">
        <v>2011</v>
      </c>
      <c r="B413" s="14">
        <v>2020.0</v>
      </c>
      <c r="C413" s="13" t="s">
        <v>2012</v>
      </c>
      <c r="D413" s="13" t="s">
        <v>2013</v>
      </c>
      <c r="E413" s="13" t="s">
        <v>2014</v>
      </c>
      <c r="F413" s="13" t="s">
        <v>2015</v>
      </c>
      <c r="G413" s="13" t="s">
        <v>96</v>
      </c>
      <c r="H413" s="13" t="s">
        <v>97</v>
      </c>
      <c r="I413" s="13" t="s">
        <v>906</v>
      </c>
      <c r="J413" s="13"/>
      <c r="K413" s="13" t="s">
        <v>1953</v>
      </c>
      <c r="L413" s="13" t="s">
        <v>1954</v>
      </c>
      <c r="M413" s="13"/>
      <c r="N413" s="9" t="str">
        <f>HYPERLINK("https://pubmed.ncbi.nlm.nih.gov/32522368/","abrir")</f>
        <v>abrir</v>
      </c>
      <c r="O413" s="10" t="b">
        <f t="shared" si="1"/>
        <v>0</v>
      </c>
    </row>
    <row r="414" ht="60.0" customHeight="1">
      <c r="A414" s="13" t="s">
        <v>2016</v>
      </c>
      <c r="B414" s="14">
        <v>2017.0</v>
      </c>
      <c r="C414" s="13" t="s">
        <v>2017</v>
      </c>
      <c r="D414" s="13" t="s">
        <v>2018</v>
      </c>
      <c r="E414" s="13" t="s">
        <v>2019</v>
      </c>
      <c r="F414" s="13" t="s">
        <v>2020</v>
      </c>
      <c r="G414" s="13" t="s">
        <v>184</v>
      </c>
      <c r="H414" s="13" t="s">
        <v>97</v>
      </c>
      <c r="I414" s="13" t="s">
        <v>906</v>
      </c>
      <c r="J414" s="13"/>
      <c r="K414" s="13" t="s">
        <v>1953</v>
      </c>
      <c r="L414" s="13" t="s">
        <v>1954</v>
      </c>
      <c r="M414" s="13"/>
      <c r="N414" s="9" t="str">
        <f>HYPERLINK("https://pubmed.ncbi.nlm.nih.gov/29049012/","abrir")</f>
        <v>abrir</v>
      </c>
      <c r="O414" s="10" t="b">
        <f t="shared" si="1"/>
        <v>0</v>
      </c>
    </row>
    <row r="415" ht="60.0" customHeight="1">
      <c r="A415" s="13" t="s">
        <v>2021</v>
      </c>
      <c r="B415" s="14">
        <v>2016.0</v>
      </c>
      <c r="C415" s="13" t="s">
        <v>2022</v>
      </c>
      <c r="D415" s="13" t="s">
        <v>2023</v>
      </c>
      <c r="E415" s="13" t="s">
        <v>2024</v>
      </c>
      <c r="F415" s="13" t="s">
        <v>513</v>
      </c>
      <c r="G415" s="13" t="s">
        <v>1547</v>
      </c>
      <c r="H415" s="13" t="s">
        <v>97</v>
      </c>
      <c r="I415" s="13" t="s">
        <v>906</v>
      </c>
      <c r="J415" s="13"/>
      <c r="K415" s="13" t="s">
        <v>1953</v>
      </c>
      <c r="L415" s="13" t="s">
        <v>1954</v>
      </c>
      <c r="M415" s="13"/>
      <c r="N415" s="9" t="str">
        <f>HYPERLINK("https://pubmed.ncbi.nlm.nih.gov/27474103/","abrir")</f>
        <v>abrir</v>
      </c>
      <c r="O415" s="10" t="b">
        <f t="shared" si="1"/>
        <v>0</v>
      </c>
    </row>
    <row r="416" ht="60.0" customHeight="1">
      <c r="A416" s="13" t="s">
        <v>2025</v>
      </c>
      <c r="B416" s="14">
        <v>2016.0</v>
      </c>
      <c r="C416" s="13" t="s">
        <v>2026</v>
      </c>
      <c r="D416" s="13" t="s">
        <v>2027</v>
      </c>
      <c r="E416" s="13" t="s">
        <v>2028</v>
      </c>
      <c r="F416" s="13" t="s">
        <v>513</v>
      </c>
      <c r="G416" s="13" t="s">
        <v>96</v>
      </c>
      <c r="H416" s="13" t="s">
        <v>97</v>
      </c>
      <c r="I416" s="13" t="s">
        <v>906</v>
      </c>
      <c r="J416" s="13"/>
      <c r="K416" s="13" t="s">
        <v>1953</v>
      </c>
      <c r="L416" s="13" t="s">
        <v>1954</v>
      </c>
      <c r="M416" s="13"/>
      <c r="N416" s="9" t="str">
        <f>HYPERLINK("https://pubmed.ncbi.nlm.nih.gov/27545023/","abrir")</f>
        <v>abrir</v>
      </c>
      <c r="O416" s="10" t="b">
        <f t="shared" si="1"/>
        <v>0</v>
      </c>
    </row>
    <row r="417" ht="60.0" customHeight="1">
      <c r="A417" s="13" t="s">
        <v>2029</v>
      </c>
      <c r="B417" s="14">
        <v>2015.0</v>
      </c>
      <c r="C417" s="13" t="s">
        <v>2030</v>
      </c>
      <c r="D417" s="13" t="s">
        <v>2031</v>
      </c>
      <c r="E417" s="13" t="s">
        <v>2032</v>
      </c>
      <c r="F417" s="13" t="s">
        <v>2033</v>
      </c>
      <c r="G417" s="13" t="s">
        <v>96</v>
      </c>
      <c r="H417" s="13" t="s">
        <v>97</v>
      </c>
      <c r="I417" s="13" t="s">
        <v>906</v>
      </c>
      <c r="J417" s="13"/>
      <c r="K417" s="13" t="s">
        <v>1953</v>
      </c>
      <c r="L417" s="13" t="s">
        <v>1954</v>
      </c>
      <c r="M417" s="13"/>
      <c r="N417" s="9" t="str">
        <f>HYPERLINK("https://pubmed.ncbi.nlm.nih.gov/26375930/","abrir")</f>
        <v>abrir</v>
      </c>
      <c r="O417" s="10" t="b">
        <f t="shared" si="1"/>
        <v>0</v>
      </c>
    </row>
    <row r="418" ht="60.0" customHeight="1">
      <c r="A418" s="13" t="s">
        <v>2034</v>
      </c>
      <c r="B418" s="14">
        <v>2014.0</v>
      </c>
      <c r="C418" s="13" t="s">
        <v>2035</v>
      </c>
      <c r="D418" s="13" t="s">
        <v>2036</v>
      </c>
      <c r="E418" s="13" t="s">
        <v>2037</v>
      </c>
      <c r="F418" s="13" t="s">
        <v>2038</v>
      </c>
      <c r="G418" s="13" t="s">
        <v>184</v>
      </c>
      <c r="H418" s="13" t="s">
        <v>97</v>
      </c>
      <c r="I418" s="13" t="s">
        <v>906</v>
      </c>
      <c r="J418" s="13"/>
      <c r="K418" s="13" t="s">
        <v>1953</v>
      </c>
      <c r="L418" s="13" t="s">
        <v>1954</v>
      </c>
      <c r="M418" s="13"/>
      <c r="N418" s="9" t="str">
        <f>HYPERLINK("https://pubmed.ncbi.nlm.nih.gov/24080483/","abrir")</f>
        <v>abrir</v>
      </c>
      <c r="O418" s="10" t="b">
        <f t="shared" si="1"/>
        <v>0</v>
      </c>
    </row>
    <row r="419" ht="60.0" customHeight="1">
      <c r="A419" s="13" t="s">
        <v>2039</v>
      </c>
      <c r="B419" s="14">
        <v>2014.0</v>
      </c>
      <c r="C419" s="13" t="s">
        <v>2040</v>
      </c>
      <c r="D419" s="13" t="s">
        <v>2041</v>
      </c>
      <c r="E419" s="13" t="s">
        <v>2042</v>
      </c>
      <c r="F419" s="13" t="s">
        <v>913</v>
      </c>
      <c r="G419" s="13" t="s">
        <v>184</v>
      </c>
      <c r="H419" s="13" t="s">
        <v>97</v>
      </c>
      <c r="I419" s="13" t="s">
        <v>906</v>
      </c>
      <c r="J419" s="13"/>
      <c r="K419" s="13" t="s">
        <v>1953</v>
      </c>
      <c r="L419" s="13" t="s">
        <v>1954</v>
      </c>
      <c r="M419" s="13"/>
      <c r="N419" s="9" t="str">
        <f>HYPERLINK("https://pubmed.ncbi.nlm.nih.gov/24424506/","abrir")</f>
        <v>abrir</v>
      </c>
      <c r="O419" s="10" t="b">
        <f t="shared" si="1"/>
        <v>0</v>
      </c>
    </row>
    <row r="420" ht="60.0" customHeight="1">
      <c r="A420" s="13" t="s">
        <v>2043</v>
      </c>
      <c r="B420" s="14">
        <v>2012.0</v>
      </c>
      <c r="C420" s="13" t="s">
        <v>2044</v>
      </c>
      <c r="D420" s="13" t="s">
        <v>2045</v>
      </c>
      <c r="E420" s="13" t="s">
        <v>2046</v>
      </c>
      <c r="F420" s="13" t="s">
        <v>576</v>
      </c>
      <c r="G420" s="13" t="s">
        <v>2047</v>
      </c>
      <c r="H420" s="13" t="s">
        <v>368</v>
      </c>
      <c r="I420" s="13" t="s">
        <v>906</v>
      </c>
      <c r="J420" s="13"/>
      <c r="K420" s="13" t="s">
        <v>1953</v>
      </c>
      <c r="L420" s="13" t="s">
        <v>1954</v>
      </c>
      <c r="M420" s="13"/>
      <c r="N420" s="9" t="str">
        <f>HYPERLINK("https://pubmed.ncbi.nlm.nih.gov/21627552/","abrir")</f>
        <v>abrir</v>
      </c>
      <c r="O420" s="10" t="b">
        <f t="shared" si="1"/>
        <v>0</v>
      </c>
    </row>
    <row r="421" ht="60.0" customHeight="1">
      <c r="A421" s="13" t="s">
        <v>2048</v>
      </c>
      <c r="B421" s="14">
        <v>2011.0</v>
      </c>
      <c r="C421" s="13" t="s">
        <v>2049</v>
      </c>
      <c r="D421" s="13" t="s">
        <v>2050</v>
      </c>
      <c r="E421" s="13" t="s">
        <v>2051</v>
      </c>
      <c r="F421" s="13" t="s">
        <v>2052</v>
      </c>
      <c r="G421" s="13" t="s">
        <v>393</v>
      </c>
      <c r="H421" s="13" t="s">
        <v>97</v>
      </c>
      <c r="I421" s="13" t="s">
        <v>906</v>
      </c>
      <c r="J421" s="13"/>
      <c r="K421" s="13" t="s">
        <v>1953</v>
      </c>
      <c r="L421" s="13" t="s">
        <v>1954</v>
      </c>
      <c r="M421" s="13"/>
      <c r="N421" s="9" t="str">
        <f>HYPERLINK("https://pubmed.ncbi.nlm.nih.gov/21152935/","abrir")</f>
        <v>abrir</v>
      </c>
      <c r="O421" s="10" t="b">
        <f t="shared" si="1"/>
        <v>0</v>
      </c>
    </row>
    <row r="422" ht="60.0" customHeight="1">
      <c r="A422" s="13" t="s">
        <v>2053</v>
      </c>
      <c r="B422" s="14">
        <v>2010.0</v>
      </c>
      <c r="C422" s="13" t="s">
        <v>470</v>
      </c>
      <c r="D422" s="13" t="s">
        <v>2054</v>
      </c>
      <c r="E422" s="13" t="s">
        <v>2055</v>
      </c>
      <c r="F422" s="13" t="s">
        <v>2056</v>
      </c>
      <c r="G422" s="13" t="s">
        <v>184</v>
      </c>
      <c r="H422" s="13" t="s">
        <v>97</v>
      </c>
      <c r="I422" s="13" t="s">
        <v>906</v>
      </c>
      <c r="J422" s="13"/>
      <c r="K422" s="13" t="s">
        <v>1953</v>
      </c>
      <c r="L422" s="13" t="s">
        <v>1954</v>
      </c>
      <c r="M422" s="13"/>
      <c r="N422" s="9" t="str">
        <f>HYPERLINK("https://pubmed.ncbi.nlm.nih.gov/20150778/","abrir")</f>
        <v>abrir</v>
      </c>
      <c r="O422" s="10" t="b">
        <f t="shared" si="1"/>
        <v>0</v>
      </c>
    </row>
    <row r="423" ht="60.0" customHeight="1">
      <c r="A423" s="13" t="s">
        <v>2057</v>
      </c>
      <c r="B423" s="14">
        <v>2007.0</v>
      </c>
      <c r="C423" s="13" t="s">
        <v>2058</v>
      </c>
      <c r="D423" s="13" t="s">
        <v>2059</v>
      </c>
      <c r="E423" s="13" t="s">
        <v>2060</v>
      </c>
      <c r="F423" s="13" t="s">
        <v>2061</v>
      </c>
      <c r="G423" s="13" t="s">
        <v>184</v>
      </c>
      <c r="H423" s="13" t="s">
        <v>97</v>
      </c>
      <c r="I423" s="13" t="s">
        <v>906</v>
      </c>
      <c r="J423" s="13"/>
      <c r="K423" s="13" t="s">
        <v>1953</v>
      </c>
      <c r="L423" s="13" t="s">
        <v>1954</v>
      </c>
      <c r="M423" s="13"/>
      <c r="N423" s="9" t="str">
        <f>HYPERLINK("https://pubmed.ncbi.nlm.nih.gov/18253026/","abrir")</f>
        <v>abrir</v>
      </c>
      <c r="O423" s="10" t="b">
        <f t="shared" si="1"/>
        <v>0</v>
      </c>
    </row>
    <row r="424" ht="60.0" customHeight="1">
      <c r="A424" s="13" t="s">
        <v>2062</v>
      </c>
      <c r="B424" s="14">
        <v>2004.0</v>
      </c>
      <c r="C424" s="13" t="s">
        <v>2063</v>
      </c>
      <c r="D424" s="13" t="s">
        <v>2064</v>
      </c>
      <c r="E424" s="13" t="s">
        <v>2065</v>
      </c>
      <c r="F424" s="13" t="s">
        <v>95</v>
      </c>
      <c r="G424" s="13" t="s">
        <v>184</v>
      </c>
      <c r="H424" s="13" t="s">
        <v>368</v>
      </c>
      <c r="I424" s="13" t="s">
        <v>906</v>
      </c>
      <c r="J424" s="13"/>
      <c r="K424" s="13" t="s">
        <v>1953</v>
      </c>
      <c r="L424" s="13" t="s">
        <v>1954</v>
      </c>
      <c r="M424" s="13"/>
      <c r="N424" s="9" t="str">
        <f>HYPERLINK("https://pubmed.ncbi.nlm.nih.gov/15150771/","abrir")</f>
        <v>abrir</v>
      </c>
      <c r="O424" s="10" t="b">
        <f t="shared" si="1"/>
        <v>0</v>
      </c>
    </row>
    <row r="425" ht="60.0" customHeight="1">
      <c r="A425" s="13" t="s">
        <v>2066</v>
      </c>
      <c r="B425" s="14">
        <v>2002.0</v>
      </c>
      <c r="C425" s="13" t="s">
        <v>2067</v>
      </c>
      <c r="D425" s="13" t="s">
        <v>2068</v>
      </c>
      <c r="E425" s="13" t="s">
        <v>2069</v>
      </c>
      <c r="F425" s="13" t="s">
        <v>298</v>
      </c>
      <c r="G425" s="13" t="s">
        <v>96</v>
      </c>
      <c r="H425" s="13" t="s">
        <v>368</v>
      </c>
      <c r="I425" s="13" t="s">
        <v>906</v>
      </c>
      <c r="J425" s="13"/>
      <c r="K425" s="13" t="s">
        <v>1953</v>
      </c>
      <c r="L425" s="13" t="s">
        <v>1954</v>
      </c>
      <c r="M425" s="13"/>
      <c r="N425" s="9" t="str">
        <f>HYPERLINK("https://pubmed.ncbi.nlm.nih.gov/12116301/","abrir")</f>
        <v>abrir</v>
      </c>
      <c r="O425" s="10" t="b">
        <f t="shared" si="1"/>
        <v>0</v>
      </c>
    </row>
    <row r="426" ht="60.0" customHeight="1">
      <c r="A426" s="13" t="s">
        <v>2070</v>
      </c>
      <c r="B426" s="14">
        <v>2001.0</v>
      </c>
      <c r="C426" s="13" t="s">
        <v>2071</v>
      </c>
      <c r="D426" s="13" t="s">
        <v>2072</v>
      </c>
      <c r="E426" s="13" t="s">
        <v>2073</v>
      </c>
      <c r="F426" s="13" t="s">
        <v>1290</v>
      </c>
      <c r="G426" s="13" t="s">
        <v>96</v>
      </c>
      <c r="H426" s="13" t="s">
        <v>97</v>
      </c>
      <c r="I426" s="13" t="s">
        <v>906</v>
      </c>
      <c r="J426" s="13"/>
      <c r="K426" s="13" t="s">
        <v>1953</v>
      </c>
      <c r="L426" s="13" t="s">
        <v>1954</v>
      </c>
      <c r="M426" s="13"/>
      <c r="N426" s="9" t="str">
        <f>HYPERLINK("https://pubmed.ncbi.nlm.nih.gov/11313773/","abrir")</f>
        <v>abrir</v>
      </c>
      <c r="O426" s="10" t="b">
        <f t="shared" si="1"/>
        <v>0</v>
      </c>
    </row>
    <row r="427" ht="60.0" customHeight="1">
      <c r="A427" s="13" t="s">
        <v>2074</v>
      </c>
      <c r="B427" s="14">
        <v>2000.0</v>
      </c>
      <c r="C427" s="13" t="s">
        <v>2075</v>
      </c>
      <c r="D427" s="13" t="s">
        <v>2076</v>
      </c>
      <c r="E427" s="13" t="s">
        <v>2077</v>
      </c>
      <c r="F427" s="13" t="s">
        <v>1290</v>
      </c>
      <c r="G427" s="13" t="s">
        <v>96</v>
      </c>
      <c r="H427" s="13" t="s">
        <v>97</v>
      </c>
      <c r="I427" s="13" t="s">
        <v>906</v>
      </c>
      <c r="J427" s="13"/>
      <c r="K427" s="13" t="s">
        <v>1953</v>
      </c>
      <c r="L427" s="13" t="s">
        <v>1954</v>
      </c>
      <c r="M427" s="13"/>
      <c r="N427" s="9" t="str">
        <f>HYPERLINK("https://pubmed.ncbi.nlm.nih.gov/10780789/","abrir")</f>
        <v>abrir</v>
      </c>
      <c r="O427" s="10" t="b">
        <f t="shared" si="1"/>
        <v>0</v>
      </c>
    </row>
    <row r="428" ht="60.0" customHeight="1">
      <c r="A428" s="13" t="s">
        <v>2078</v>
      </c>
      <c r="B428" s="14">
        <v>2026.0</v>
      </c>
      <c r="C428" s="13" t="s">
        <v>2079</v>
      </c>
      <c r="D428" s="13" t="s">
        <v>2080</v>
      </c>
      <c r="E428" s="13" t="s">
        <v>2081</v>
      </c>
      <c r="F428" s="13" t="s">
        <v>2082</v>
      </c>
      <c r="G428" s="13" t="s">
        <v>96</v>
      </c>
      <c r="H428" s="13" t="s">
        <v>97</v>
      </c>
      <c r="I428" s="13" t="s">
        <v>906</v>
      </c>
      <c r="J428" s="13"/>
      <c r="K428" s="13" t="s">
        <v>2083</v>
      </c>
      <c r="L428" s="13" t="s">
        <v>2084</v>
      </c>
      <c r="M428" s="13"/>
      <c r="N428" s="9" t="str">
        <f>HYPERLINK("https://pubmed.ncbi.nlm.nih.gov/41728082/","abrir")</f>
        <v>abrir</v>
      </c>
      <c r="O428" s="10" t="b">
        <f t="shared" si="1"/>
        <v>1</v>
      </c>
    </row>
    <row r="429" ht="60.0" customHeight="1">
      <c r="A429" s="13" t="s">
        <v>2085</v>
      </c>
      <c r="B429" s="14">
        <v>2025.0</v>
      </c>
      <c r="C429" s="13" t="s">
        <v>2086</v>
      </c>
      <c r="D429" s="13" t="s">
        <v>2087</v>
      </c>
      <c r="E429" s="13"/>
      <c r="F429" s="13" t="s">
        <v>2086</v>
      </c>
      <c r="G429" s="13" t="s">
        <v>2088</v>
      </c>
      <c r="H429" s="13" t="s">
        <v>368</v>
      </c>
      <c r="I429" s="13" t="s">
        <v>906</v>
      </c>
      <c r="J429" s="13"/>
      <c r="K429" s="13" t="s">
        <v>2083</v>
      </c>
      <c r="L429" s="13" t="s">
        <v>2084</v>
      </c>
      <c r="M429" s="13"/>
      <c r="N429" s="9" t="str">
        <f>HYPERLINK("https://pubmed.ncbi.nlm.nih.gov/33085440/","abrir")</f>
        <v>abrir</v>
      </c>
      <c r="O429" s="10" t="b">
        <f t="shared" si="1"/>
        <v>1</v>
      </c>
    </row>
    <row r="430" ht="60.0" customHeight="1">
      <c r="A430" s="13" t="s">
        <v>2089</v>
      </c>
      <c r="B430" s="14">
        <v>2024.0</v>
      </c>
      <c r="C430" s="13" t="s">
        <v>2086</v>
      </c>
      <c r="D430" s="13" t="s">
        <v>2090</v>
      </c>
      <c r="E430" s="13"/>
      <c r="F430" s="13" t="s">
        <v>2086</v>
      </c>
      <c r="G430" s="13" t="s">
        <v>2088</v>
      </c>
      <c r="H430" s="13" t="s">
        <v>97</v>
      </c>
      <c r="I430" s="13" t="s">
        <v>906</v>
      </c>
      <c r="J430" s="13"/>
      <c r="K430" s="13" t="s">
        <v>2083</v>
      </c>
      <c r="L430" s="13" t="s">
        <v>2084</v>
      </c>
      <c r="M430" s="13"/>
      <c r="N430" s="9" t="str">
        <f>HYPERLINK("https://pubmed.ncbi.nlm.nih.gov/31536302/","abrir")</f>
        <v>abrir</v>
      </c>
      <c r="O430" s="10" t="b">
        <f t="shared" si="1"/>
        <v>1</v>
      </c>
    </row>
    <row r="431" ht="60.0" customHeight="1">
      <c r="A431" s="13" t="s">
        <v>2091</v>
      </c>
      <c r="B431" s="14">
        <v>2023.0</v>
      </c>
      <c r="C431" s="13" t="s">
        <v>2092</v>
      </c>
      <c r="D431" s="13" t="s">
        <v>2093</v>
      </c>
      <c r="E431" s="13" t="s">
        <v>2094</v>
      </c>
      <c r="F431" s="13" t="s">
        <v>2095</v>
      </c>
      <c r="G431" s="13" t="s">
        <v>96</v>
      </c>
      <c r="H431" s="13" t="s">
        <v>97</v>
      </c>
      <c r="I431" s="13" t="s">
        <v>906</v>
      </c>
      <c r="J431" s="13"/>
      <c r="K431" s="13" t="s">
        <v>2083</v>
      </c>
      <c r="L431" s="13" t="s">
        <v>2084</v>
      </c>
      <c r="M431" s="13"/>
      <c r="N431" s="9" t="str">
        <f>HYPERLINK("https://pubmed.ncbi.nlm.nih.gov/37831225/","abrir")</f>
        <v>abrir</v>
      </c>
      <c r="O431" s="10" t="b">
        <f t="shared" si="1"/>
        <v>0</v>
      </c>
    </row>
    <row r="432" ht="60.0" customHeight="1">
      <c r="A432" s="13" t="s">
        <v>2096</v>
      </c>
      <c r="B432" s="14">
        <v>2012.0</v>
      </c>
      <c r="C432" s="13" t="s">
        <v>2097</v>
      </c>
      <c r="D432" s="13" t="s">
        <v>2098</v>
      </c>
      <c r="E432" s="13" t="s">
        <v>2099</v>
      </c>
      <c r="F432" s="13" t="s">
        <v>2100</v>
      </c>
      <c r="G432" s="13" t="s">
        <v>96</v>
      </c>
      <c r="H432" s="13" t="s">
        <v>368</v>
      </c>
      <c r="I432" s="13" t="s">
        <v>906</v>
      </c>
      <c r="J432" s="13"/>
      <c r="K432" s="13" t="s">
        <v>2083</v>
      </c>
      <c r="L432" s="13" t="s">
        <v>2084</v>
      </c>
      <c r="M432" s="13"/>
      <c r="N432" s="9" t="str">
        <f>HYPERLINK("https://pubmed.ncbi.nlm.nih.gov/23113216/","abrir")</f>
        <v>abrir</v>
      </c>
      <c r="O432" s="10" t="b">
        <f t="shared" si="1"/>
        <v>0</v>
      </c>
    </row>
    <row r="433" ht="60.0" customHeight="1">
      <c r="A433" s="13" t="s">
        <v>2101</v>
      </c>
      <c r="B433" s="14">
        <v>2009.0</v>
      </c>
      <c r="C433" s="13" t="s">
        <v>2102</v>
      </c>
      <c r="D433" s="13" t="s">
        <v>2103</v>
      </c>
      <c r="E433" s="13" t="s">
        <v>2104</v>
      </c>
      <c r="F433" s="13" t="s">
        <v>2105</v>
      </c>
      <c r="G433" s="13" t="s">
        <v>96</v>
      </c>
      <c r="H433" s="13" t="s">
        <v>97</v>
      </c>
      <c r="I433" s="13" t="s">
        <v>906</v>
      </c>
      <c r="J433" s="13"/>
      <c r="K433" s="13" t="s">
        <v>2083</v>
      </c>
      <c r="L433" s="13" t="s">
        <v>2084</v>
      </c>
      <c r="M433" s="13"/>
      <c r="N433" s="9" t="str">
        <f>HYPERLINK("https://pubmed.ncbi.nlm.nih.gov/19830224/","abrir")</f>
        <v>abrir</v>
      </c>
      <c r="O433" s="10" t="b">
        <f t="shared" si="1"/>
        <v>0</v>
      </c>
    </row>
    <row r="434" ht="60.0" customHeight="1">
      <c r="A434" s="13" t="s">
        <v>2106</v>
      </c>
      <c r="B434" s="14">
        <v>2025.0</v>
      </c>
      <c r="C434" s="13" t="s">
        <v>2107</v>
      </c>
      <c r="D434" s="13" t="s">
        <v>2108</v>
      </c>
      <c r="E434" s="13" t="s">
        <v>2109</v>
      </c>
      <c r="F434" s="13" t="s">
        <v>2110</v>
      </c>
      <c r="G434" s="13" t="s">
        <v>163</v>
      </c>
      <c r="H434" s="13" t="s">
        <v>97</v>
      </c>
      <c r="I434" s="13" t="s">
        <v>906</v>
      </c>
      <c r="J434" s="13"/>
      <c r="K434" s="13" t="s">
        <v>2111</v>
      </c>
      <c r="L434" s="13" t="s">
        <v>2112</v>
      </c>
      <c r="M434" s="13"/>
      <c r="N434" s="9" t="str">
        <f>HYPERLINK("https://pubmed.ncbi.nlm.nih.gov/40883236/","abrir")</f>
        <v>abrir</v>
      </c>
      <c r="O434" s="10" t="b">
        <f t="shared" si="1"/>
        <v>1</v>
      </c>
    </row>
    <row r="435" ht="60.0" customHeight="1">
      <c r="A435" s="13" t="s">
        <v>2113</v>
      </c>
      <c r="B435" s="14">
        <v>2025.0</v>
      </c>
      <c r="C435" s="13" t="s">
        <v>2114</v>
      </c>
      <c r="D435" s="13" t="s">
        <v>2115</v>
      </c>
      <c r="E435" s="13" t="s">
        <v>2116</v>
      </c>
      <c r="F435" s="13" t="s">
        <v>934</v>
      </c>
      <c r="G435" s="13" t="s">
        <v>96</v>
      </c>
      <c r="H435" s="13" t="s">
        <v>97</v>
      </c>
      <c r="I435" s="13" t="s">
        <v>906</v>
      </c>
      <c r="J435" s="13"/>
      <c r="K435" s="13" t="s">
        <v>2111</v>
      </c>
      <c r="L435" s="13" t="s">
        <v>2112</v>
      </c>
      <c r="M435" s="13"/>
      <c r="N435" s="9" t="str">
        <f>HYPERLINK("https://pubmed.ncbi.nlm.nih.gov/41031975/","abrir")</f>
        <v>abrir</v>
      </c>
      <c r="O435" s="10" t="b">
        <f t="shared" si="1"/>
        <v>1</v>
      </c>
    </row>
    <row r="436" ht="60.0" customHeight="1">
      <c r="A436" s="13" t="s">
        <v>2117</v>
      </c>
      <c r="B436" s="14">
        <v>2022.0</v>
      </c>
      <c r="C436" s="13" t="s">
        <v>2118</v>
      </c>
      <c r="D436" s="13" t="s">
        <v>2119</v>
      </c>
      <c r="E436" s="13" t="s">
        <v>2120</v>
      </c>
      <c r="F436" s="13" t="s">
        <v>2121</v>
      </c>
      <c r="G436" s="13" t="s">
        <v>379</v>
      </c>
      <c r="H436" s="13" t="s">
        <v>97</v>
      </c>
      <c r="I436" s="13" t="s">
        <v>906</v>
      </c>
      <c r="J436" s="13"/>
      <c r="K436" s="13" t="s">
        <v>2111</v>
      </c>
      <c r="L436" s="13" t="s">
        <v>2112</v>
      </c>
      <c r="M436" s="13"/>
      <c r="N436" s="9" t="str">
        <f>HYPERLINK("https://pubmed.ncbi.nlm.nih.gov/35725946/","abrir")</f>
        <v>abrir</v>
      </c>
      <c r="O436" s="10" t="b">
        <f t="shared" si="1"/>
        <v>0</v>
      </c>
    </row>
    <row r="437" ht="60.0" customHeight="1">
      <c r="A437" s="13" t="s">
        <v>2122</v>
      </c>
      <c r="B437" s="14">
        <v>2020.0</v>
      </c>
      <c r="C437" s="13" t="s">
        <v>314</v>
      </c>
      <c r="D437" s="13" t="s">
        <v>2123</v>
      </c>
      <c r="E437" s="13" t="s">
        <v>2124</v>
      </c>
      <c r="F437" s="13" t="s">
        <v>204</v>
      </c>
      <c r="G437" s="13" t="s">
        <v>96</v>
      </c>
      <c r="H437" s="13" t="s">
        <v>126</v>
      </c>
      <c r="I437" s="13" t="s">
        <v>906</v>
      </c>
      <c r="J437" s="13"/>
      <c r="K437" s="13" t="s">
        <v>2111</v>
      </c>
      <c r="L437" s="13" t="s">
        <v>2112</v>
      </c>
      <c r="M437" s="13"/>
      <c r="N437" s="9" t="str">
        <f>HYPERLINK("https://pubmed.ncbi.nlm.nih.gov/32634406/","abrir")</f>
        <v>abrir</v>
      </c>
      <c r="O437" s="10" t="b">
        <f t="shared" si="1"/>
        <v>0</v>
      </c>
    </row>
    <row r="438" ht="60.0" customHeight="1">
      <c r="A438" s="13" t="s">
        <v>2125</v>
      </c>
      <c r="B438" s="14">
        <v>2018.0</v>
      </c>
      <c r="C438" s="13" t="s">
        <v>2126</v>
      </c>
      <c r="D438" s="13" t="s">
        <v>2127</v>
      </c>
      <c r="E438" s="13" t="s">
        <v>2128</v>
      </c>
      <c r="F438" s="13" t="s">
        <v>2129</v>
      </c>
      <c r="G438" s="13" t="s">
        <v>96</v>
      </c>
      <c r="H438" s="13" t="s">
        <v>368</v>
      </c>
      <c r="I438" s="13" t="s">
        <v>906</v>
      </c>
      <c r="J438" s="13"/>
      <c r="K438" s="13" t="s">
        <v>2111</v>
      </c>
      <c r="L438" s="13" t="s">
        <v>2112</v>
      </c>
      <c r="M438" s="13"/>
      <c r="N438" s="9" t="str">
        <f>HYPERLINK("https://pubmed.ncbi.nlm.nih.gov/28595435/","abrir")</f>
        <v>abrir</v>
      </c>
      <c r="O438" s="10" t="b">
        <f t="shared" si="1"/>
        <v>0</v>
      </c>
    </row>
    <row r="439" ht="60.0" customHeight="1">
      <c r="A439" s="13" t="s">
        <v>2130</v>
      </c>
      <c r="B439" s="14">
        <v>2013.0</v>
      </c>
      <c r="C439" s="13" t="s">
        <v>2131</v>
      </c>
      <c r="D439" s="13" t="s">
        <v>2132</v>
      </c>
      <c r="E439" s="13" t="s">
        <v>2133</v>
      </c>
      <c r="F439" s="13" t="s">
        <v>2134</v>
      </c>
      <c r="G439" s="13" t="s">
        <v>96</v>
      </c>
      <c r="H439" s="13" t="s">
        <v>368</v>
      </c>
      <c r="I439" s="13" t="s">
        <v>906</v>
      </c>
      <c r="J439" s="13"/>
      <c r="K439" s="13" t="s">
        <v>2111</v>
      </c>
      <c r="L439" s="13" t="s">
        <v>2112</v>
      </c>
      <c r="M439" s="13"/>
      <c r="N439" s="9" t="str">
        <f>HYPERLINK("https://pubmed.ncbi.nlm.nih.gov/24003992/","abrir")</f>
        <v>abrir</v>
      </c>
      <c r="O439" s="10" t="b">
        <f t="shared" si="1"/>
        <v>0</v>
      </c>
    </row>
    <row r="440" ht="60.0" customHeight="1">
      <c r="A440" s="13" t="s">
        <v>2135</v>
      </c>
      <c r="B440" s="14">
        <v>2001.0</v>
      </c>
      <c r="C440" s="13" t="s">
        <v>2136</v>
      </c>
      <c r="D440" s="13" t="s">
        <v>2137</v>
      </c>
      <c r="E440" s="13" t="s">
        <v>2138</v>
      </c>
      <c r="F440" s="13" t="s">
        <v>2139</v>
      </c>
      <c r="G440" s="13" t="s">
        <v>426</v>
      </c>
      <c r="H440" s="13" t="s">
        <v>368</v>
      </c>
      <c r="I440" s="13" t="s">
        <v>906</v>
      </c>
      <c r="J440" s="13"/>
      <c r="K440" s="13" t="s">
        <v>2111</v>
      </c>
      <c r="L440" s="13" t="s">
        <v>2112</v>
      </c>
      <c r="M440" s="13"/>
      <c r="N440" s="9" t="str">
        <f>HYPERLINK("https://pubmed.ncbi.nlm.nih.gov/11845666/","abrir")</f>
        <v>abrir</v>
      </c>
      <c r="O440" s="10" t="b">
        <f t="shared" si="1"/>
        <v>0</v>
      </c>
    </row>
    <row r="441" ht="60.0" customHeight="1">
      <c r="A441" s="13" t="s">
        <v>2140</v>
      </c>
      <c r="B441" s="14">
        <v>2024.0</v>
      </c>
      <c r="C441" s="13" t="s">
        <v>2141</v>
      </c>
      <c r="D441" s="13" t="s">
        <v>2142</v>
      </c>
      <c r="E441" s="13" t="s">
        <v>2143</v>
      </c>
      <c r="F441" s="13" t="s">
        <v>1188</v>
      </c>
      <c r="G441" s="13" t="s">
        <v>96</v>
      </c>
      <c r="H441" s="13" t="s">
        <v>368</v>
      </c>
      <c r="I441" s="13" t="s">
        <v>906</v>
      </c>
      <c r="J441" s="13"/>
      <c r="K441" s="13" t="s">
        <v>2144</v>
      </c>
      <c r="L441" s="13" t="s">
        <v>2145</v>
      </c>
      <c r="M441" s="13"/>
      <c r="N441" s="9" t="str">
        <f>HYPERLINK("https://pubmed.ncbi.nlm.nih.gov/37986093/","abrir")</f>
        <v>abrir</v>
      </c>
      <c r="O441" s="10" t="b">
        <f t="shared" si="1"/>
        <v>1</v>
      </c>
    </row>
    <row r="442" ht="60.0" customHeight="1">
      <c r="A442" s="13" t="s">
        <v>2146</v>
      </c>
      <c r="B442" s="14">
        <v>2019.0</v>
      </c>
      <c r="C442" s="13" t="s">
        <v>2147</v>
      </c>
      <c r="D442" s="13" t="s">
        <v>2148</v>
      </c>
      <c r="E442" s="13" t="s">
        <v>2149</v>
      </c>
      <c r="F442" s="13" t="s">
        <v>298</v>
      </c>
      <c r="G442" s="13" t="s">
        <v>96</v>
      </c>
      <c r="H442" s="13" t="s">
        <v>368</v>
      </c>
      <c r="I442" s="13" t="s">
        <v>906</v>
      </c>
      <c r="J442" s="13"/>
      <c r="K442" s="13" t="s">
        <v>2144</v>
      </c>
      <c r="L442" s="13" t="s">
        <v>2145</v>
      </c>
      <c r="M442" s="13"/>
      <c r="N442" s="9" t="str">
        <f>HYPERLINK("https://pubmed.ncbi.nlm.nih.gov/31691307/","abrir")</f>
        <v>abrir</v>
      </c>
      <c r="O442" s="10" t="b">
        <f t="shared" si="1"/>
        <v>0</v>
      </c>
    </row>
    <row r="443" ht="60.0" customHeight="1">
      <c r="A443" s="13" t="s">
        <v>2150</v>
      </c>
      <c r="B443" s="14">
        <v>2017.0</v>
      </c>
      <c r="C443" s="13" t="s">
        <v>2151</v>
      </c>
      <c r="D443" s="13" t="s">
        <v>2152</v>
      </c>
      <c r="E443" s="13" t="s">
        <v>2153</v>
      </c>
      <c r="F443" s="13" t="s">
        <v>103</v>
      </c>
      <c r="G443" s="13" t="s">
        <v>96</v>
      </c>
      <c r="H443" s="13" t="s">
        <v>97</v>
      </c>
      <c r="I443" s="13" t="s">
        <v>906</v>
      </c>
      <c r="J443" s="13"/>
      <c r="K443" s="13" t="s">
        <v>2144</v>
      </c>
      <c r="L443" s="13" t="s">
        <v>2145</v>
      </c>
      <c r="M443" s="13"/>
      <c r="N443" s="9" t="str">
        <f>HYPERLINK("https://pubmed.ncbi.nlm.nih.gov/28499441/","abrir")</f>
        <v>abrir</v>
      </c>
      <c r="O443" s="10" t="b">
        <f t="shared" si="1"/>
        <v>0</v>
      </c>
    </row>
    <row r="444" ht="60.0" customHeight="1">
      <c r="A444" s="13" t="s">
        <v>2154</v>
      </c>
      <c r="B444" s="14">
        <v>2016.0</v>
      </c>
      <c r="C444" s="13" t="s">
        <v>2155</v>
      </c>
      <c r="D444" s="13" t="s">
        <v>2156</v>
      </c>
      <c r="E444" s="13" t="s">
        <v>2157</v>
      </c>
      <c r="F444" s="13" t="s">
        <v>298</v>
      </c>
      <c r="G444" s="13" t="s">
        <v>96</v>
      </c>
      <c r="H444" s="13" t="s">
        <v>368</v>
      </c>
      <c r="I444" s="13" t="s">
        <v>906</v>
      </c>
      <c r="J444" s="13"/>
      <c r="K444" s="13" t="s">
        <v>2144</v>
      </c>
      <c r="L444" s="13" t="s">
        <v>2145</v>
      </c>
      <c r="M444" s="13"/>
      <c r="N444" s="9" t="str">
        <f>HYPERLINK("https://pubmed.ncbi.nlm.nih.gov/27135649/","abrir")</f>
        <v>abrir</v>
      </c>
      <c r="O444" s="10" t="b">
        <f t="shared" si="1"/>
        <v>0</v>
      </c>
    </row>
    <row r="445" ht="60.0" customHeight="1">
      <c r="A445" s="13" t="s">
        <v>2158</v>
      </c>
      <c r="B445" s="14">
        <v>2013.0</v>
      </c>
      <c r="C445" s="13" t="s">
        <v>2159</v>
      </c>
      <c r="D445" s="13" t="s">
        <v>2160</v>
      </c>
      <c r="E445" s="13" t="s">
        <v>2161</v>
      </c>
      <c r="F445" s="13" t="s">
        <v>1290</v>
      </c>
      <c r="G445" s="13" t="s">
        <v>184</v>
      </c>
      <c r="H445" s="13" t="s">
        <v>126</v>
      </c>
      <c r="I445" s="13" t="s">
        <v>906</v>
      </c>
      <c r="J445" s="13"/>
      <c r="K445" s="13" t="s">
        <v>2144</v>
      </c>
      <c r="L445" s="13" t="s">
        <v>2145</v>
      </c>
      <c r="M445" s="13"/>
      <c r="N445" s="9" t="str">
        <f>HYPERLINK("https://pubmed.ncbi.nlm.nih.gov/22713804/","abrir")</f>
        <v>abrir</v>
      </c>
      <c r="O445" s="10" t="b">
        <f t="shared" si="1"/>
        <v>0</v>
      </c>
    </row>
    <row r="446" ht="60.0" customHeight="1">
      <c r="A446" s="13" t="s">
        <v>2162</v>
      </c>
      <c r="B446" s="14">
        <v>2013.0</v>
      </c>
      <c r="C446" s="13" t="s">
        <v>2163</v>
      </c>
      <c r="D446" s="13" t="s">
        <v>2164</v>
      </c>
      <c r="E446" s="13" t="s">
        <v>2165</v>
      </c>
      <c r="F446" s="13" t="s">
        <v>298</v>
      </c>
      <c r="G446" s="13" t="s">
        <v>184</v>
      </c>
      <c r="H446" s="13" t="s">
        <v>368</v>
      </c>
      <c r="I446" s="13" t="s">
        <v>906</v>
      </c>
      <c r="J446" s="13"/>
      <c r="K446" s="13" t="s">
        <v>2144</v>
      </c>
      <c r="L446" s="13" t="s">
        <v>2145</v>
      </c>
      <c r="M446" s="13"/>
      <c r="N446" s="9" t="str">
        <f>HYPERLINK("https://pubmed.ncbi.nlm.nih.gov/23553654/","abrir")</f>
        <v>abrir</v>
      </c>
      <c r="O446" s="10" t="b">
        <f t="shared" si="1"/>
        <v>0</v>
      </c>
    </row>
    <row r="447" ht="60.0" customHeight="1">
      <c r="A447" s="13" t="s">
        <v>2166</v>
      </c>
      <c r="B447" s="14">
        <v>2013.0</v>
      </c>
      <c r="C447" s="13" t="s">
        <v>2167</v>
      </c>
      <c r="D447" s="13" t="s">
        <v>2168</v>
      </c>
      <c r="E447" s="13" t="s">
        <v>2169</v>
      </c>
      <c r="F447" s="13" t="s">
        <v>947</v>
      </c>
      <c r="G447" s="13" t="s">
        <v>96</v>
      </c>
      <c r="H447" s="13" t="s">
        <v>368</v>
      </c>
      <c r="I447" s="13" t="s">
        <v>906</v>
      </c>
      <c r="J447" s="13"/>
      <c r="K447" s="13" t="s">
        <v>2144</v>
      </c>
      <c r="L447" s="13" t="s">
        <v>2145</v>
      </c>
      <c r="M447" s="13"/>
      <c r="N447" s="9" t="str">
        <f>HYPERLINK("https://pubmed.ncbi.nlm.nih.gov/24147155/","abrir")</f>
        <v>abrir</v>
      </c>
      <c r="O447" s="10" t="b">
        <f t="shared" si="1"/>
        <v>0</v>
      </c>
    </row>
    <row r="448" ht="60.0" customHeight="1">
      <c r="A448" s="13" t="s">
        <v>2170</v>
      </c>
      <c r="B448" s="14">
        <v>2010.0</v>
      </c>
      <c r="C448" s="13" t="s">
        <v>2171</v>
      </c>
      <c r="D448" s="13" t="s">
        <v>2172</v>
      </c>
      <c r="E448" s="13" t="s">
        <v>2173</v>
      </c>
      <c r="F448" s="13" t="s">
        <v>238</v>
      </c>
      <c r="G448" s="13" t="s">
        <v>645</v>
      </c>
      <c r="H448" s="13" t="s">
        <v>368</v>
      </c>
      <c r="I448" s="13" t="s">
        <v>906</v>
      </c>
      <c r="J448" s="13"/>
      <c r="K448" s="13" t="s">
        <v>2144</v>
      </c>
      <c r="L448" s="13" t="s">
        <v>2145</v>
      </c>
      <c r="M448" s="13"/>
      <c r="N448" s="9" t="str">
        <f>HYPERLINK("https://pubmed.ncbi.nlm.nih.gov/20584846/","abrir")</f>
        <v>abrir</v>
      </c>
      <c r="O448" s="10" t="b">
        <f t="shared" si="1"/>
        <v>0</v>
      </c>
    </row>
    <row r="449" ht="60.0" customHeight="1">
      <c r="A449" s="13" t="s">
        <v>2174</v>
      </c>
      <c r="B449" s="14">
        <v>2007.0</v>
      </c>
      <c r="C449" s="13" t="s">
        <v>675</v>
      </c>
      <c r="D449" s="13" t="s">
        <v>2175</v>
      </c>
      <c r="E449" s="13" t="s">
        <v>2176</v>
      </c>
      <c r="F449" s="13" t="s">
        <v>2177</v>
      </c>
      <c r="G449" s="13" t="s">
        <v>184</v>
      </c>
      <c r="H449" s="13" t="s">
        <v>368</v>
      </c>
      <c r="I449" s="13" t="s">
        <v>906</v>
      </c>
      <c r="J449" s="13"/>
      <c r="K449" s="13" t="s">
        <v>2144</v>
      </c>
      <c r="L449" s="13" t="s">
        <v>2145</v>
      </c>
      <c r="M449" s="13"/>
      <c r="N449" s="9" t="str">
        <f>HYPERLINK("https://pubmed.ncbi.nlm.nih.gov/17393915/","abrir")</f>
        <v>abrir</v>
      </c>
      <c r="O449" s="10" t="b">
        <f t="shared" si="1"/>
        <v>0</v>
      </c>
    </row>
    <row r="450" ht="60.0" customHeight="1">
      <c r="A450" s="13" t="s">
        <v>2178</v>
      </c>
      <c r="B450" s="14">
        <v>2006.0</v>
      </c>
      <c r="C450" s="13" t="s">
        <v>2179</v>
      </c>
      <c r="D450" s="13" t="s">
        <v>2180</v>
      </c>
      <c r="E450" s="13" t="s">
        <v>2181</v>
      </c>
      <c r="F450" s="13" t="s">
        <v>612</v>
      </c>
      <c r="G450" s="13" t="s">
        <v>690</v>
      </c>
      <c r="H450" s="13" t="s">
        <v>97</v>
      </c>
      <c r="I450" s="13" t="s">
        <v>906</v>
      </c>
      <c r="J450" s="13"/>
      <c r="K450" s="13" t="s">
        <v>2144</v>
      </c>
      <c r="L450" s="13" t="s">
        <v>2145</v>
      </c>
      <c r="M450" s="13"/>
      <c r="N450" s="9" t="str">
        <f>HYPERLINK("https://pubmed.ncbi.nlm.nih.gov/17051527/","abrir")</f>
        <v>abrir</v>
      </c>
      <c r="O450" s="10" t="b">
        <f t="shared" si="1"/>
        <v>0</v>
      </c>
    </row>
    <row r="451" ht="60.0" customHeight="1">
      <c r="A451" s="13" t="s">
        <v>2182</v>
      </c>
      <c r="B451" s="14">
        <v>2014.0</v>
      </c>
      <c r="C451" s="13" t="s">
        <v>2183</v>
      </c>
      <c r="D451" s="13" t="s">
        <v>2184</v>
      </c>
      <c r="E451" s="13" t="s">
        <v>2185</v>
      </c>
      <c r="F451" s="13" t="s">
        <v>2186</v>
      </c>
      <c r="G451" s="13" t="s">
        <v>96</v>
      </c>
      <c r="H451" s="13" t="s">
        <v>368</v>
      </c>
      <c r="I451" s="13" t="s">
        <v>906</v>
      </c>
      <c r="J451" s="13"/>
      <c r="K451" s="13" t="s">
        <v>2187</v>
      </c>
      <c r="L451" s="13" t="s">
        <v>2188</v>
      </c>
      <c r="M451" s="13"/>
      <c r="N451" s="9" t="str">
        <f>HYPERLINK("https://pubmed.ncbi.nlm.nih.gov/24520506/","abrir")</f>
        <v>abrir</v>
      </c>
      <c r="O451" s="10" t="b">
        <f t="shared" si="1"/>
        <v>0</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451"/>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10.0"/>
    <col customWidth="1" min="2" max="3" width="6.0"/>
    <col customWidth="1" min="4" max="4" width="50.0"/>
    <col customWidth="1" min="5" max="5" width="70.0"/>
    <col customWidth="1" min="6" max="6" width="8.0"/>
    <col customWidth="1" min="7" max="7" width="12.0"/>
    <col customWidth="1" min="8" max="8" width="10.0"/>
    <col customWidth="1" min="9" max="9" width="9.0"/>
    <col customWidth="1" min="10" max="10" width="8.0"/>
    <col customWidth="1" min="11" max="11" width="45.0"/>
    <col customWidth="1" min="12" max="12" width="14.0"/>
  </cols>
  <sheetData>
    <row r="1" ht="15.0" customHeight="1">
      <c r="A1" s="5" t="s">
        <v>2189</v>
      </c>
      <c r="B1" s="15" t="s">
        <v>2190</v>
      </c>
      <c r="C1" s="4"/>
      <c r="D1" s="4"/>
      <c r="E1" s="4"/>
      <c r="F1" s="4"/>
      <c r="G1" s="4"/>
      <c r="H1" s="4"/>
      <c r="I1" s="4"/>
      <c r="J1" s="4"/>
      <c r="K1" s="4"/>
      <c r="L1" s="4"/>
    </row>
    <row r="2" ht="15.0" customHeight="1">
      <c r="A2" s="5" t="s">
        <v>2191</v>
      </c>
      <c r="B2" s="16">
        <v>3.0</v>
      </c>
      <c r="C2" s="4"/>
      <c r="D2" s="4"/>
      <c r="E2" s="4"/>
      <c r="F2" s="4"/>
      <c r="G2" s="4"/>
      <c r="H2" s="4"/>
      <c r="I2" s="4"/>
      <c r="J2" s="4"/>
      <c r="K2" s="4"/>
      <c r="L2" s="4"/>
    </row>
    <row r="3" ht="15.0" customHeight="1">
      <c r="A3" s="5" t="s">
        <v>2192</v>
      </c>
      <c r="B3" s="17">
        <v>46294.9118055556</v>
      </c>
      <c r="C3" s="4"/>
      <c r="D3" s="4"/>
      <c r="E3" s="4"/>
      <c r="F3" s="4"/>
      <c r="G3" s="4"/>
      <c r="H3" s="4"/>
      <c r="I3" s="4"/>
      <c r="J3" s="4"/>
      <c r="K3" s="4"/>
      <c r="L3" s="4"/>
    </row>
    <row r="4" ht="15.0" customHeight="1">
      <c r="A4" s="5" t="s">
        <v>2193</v>
      </c>
      <c r="B4" s="18" t="s">
        <v>2194</v>
      </c>
      <c r="C4" s="4"/>
      <c r="D4" s="4"/>
      <c r="E4" s="4"/>
      <c r="F4" s="4"/>
      <c r="G4" s="4"/>
      <c r="H4" s="4"/>
      <c r="I4" s="4"/>
      <c r="J4" s="4"/>
      <c r="K4" s="4"/>
      <c r="L4" s="4"/>
    </row>
    <row r="5">
      <c r="A5" s="4"/>
      <c r="B5" s="4"/>
      <c r="C5" s="4"/>
      <c r="D5" s="4"/>
      <c r="E5" s="4"/>
      <c r="F5" s="4"/>
      <c r="G5" s="4"/>
      <c r="H5" s="4"/>
      <c r="I5" s="4"/>
      <c r="J5" s="4"/>
      <c r="K5" s="4"/>
      <c r="L5" s="4"/>
    </row>
    <row r="6" ht="23.25" customHeight="1">
      <c r="A6" s="6" t="s">
        <v>76</v>
      </c>
      <c r="B6" s="6" t="s">
        <v>2195</v>
      </c>
      <c r="C6" s="6" t="s">
        <v>77</v>
      </c>
      <c r="D6" s="6" t="s">
        <v>79</v>
      </c>
      <c r="E6" s="6" t="s">
        <v>80</v>
      </c>
      <c r="F6" s="6" t="s">
        <v>83</v>
      </c>
      <c r="G6" s="6" t="s">
        <v>2196</v>
      </c>
      <c r="H6" s="6" t="s">
        <v>2197</v>
      </c>
      <c r="I6" s="6" t="s">
        <v>2198</v>
      </c>
      <c r="J6" s="6" t="s">
        <v>2199</v>
      </c>
      <c r="K6" s="6" t="s">
        <v>2200</v>
      </c>
      <c r="L6" s="6" t="s">
        <v>2201</v>
      </c>
    </row>
    <row r="7" ht="60.0" customHeight="1">
      <c r="A7" s="13" t="s">
        <v>2074</v>
      </c>
      <c r="B7" s="13">
        <v>1.0</v>
      </c>
      <c r="C7" s="13" t="s">
        <v>2202</v>
      </c>
      <c r="D7" s="13" t="s">
        <v>2076</v>
      </c>
      <c r="E7" s="13" t="s">
        <v>2077</v>
      </c>
      <c r="F7" s="13" t="s">
        <v>97</v>
      </c>
      <c r="G7" s="4" t="s">
        <v>2074</v>
      </c>
      <c r="H7" s="4" t="s">
        <v>906</v>
      </c>
      <c r="I7" s="4"/>
      <c r="J7" s="4" t="s">
        <v>1953</v>
      </c>
      <c r="K7" s="4" t="s">
        <v>2203</v>
      </c>
      <c r="L7" s="15" t="str">
        <f t="shared" ref="L7:L456" si="1">IF(G7="","aguardando",IF(TRIM(G7&amp;"")=TRIM(A7&amp;""),"ok","PMID DIFERENTE"))</f>
        <v>ok</v>
      </c>
    </row>
    <row r="8" ht="60.0" customHeight="1">
      <c r="A8" s="13" t="s">
        <v>1013</v>
      </c>
      <c r="B8" s="13">
        <v>1.0</v>
      </c>
      <c r="C8" s="13" t="s">
        <v>2202</v>
      </c>
      <c r="D8" s="13" t="s">
        <v>1015</v>
      </c>
      <c r="E8" s="13" t="s">
        <v>1016</v>
      </c>
      <c r="F8" s="13" t="s">
        <v>97</v>
      </c>
      <c r="G8" s="4" t="s">
        <v>1013</v>
      </c>
      <c r="H8" s="4" t="s">
        <v>906</v>
      </c>
      <c r="I8" s="4"/>
      <c r="J8" s="4" t="s">
        <v>1522</v>
      </c>
      <c r="K8" s="4" t="s">
        <v>2204</v>
      </c>
      <c r="L8" s="15" t="str">
        <f t="shared" si="1"/>
        <v>ok</v>
      </c>
    </row>
    <row r="9" ht="60.0" customHeight="1">
      <c r="A9" s="13" t="s">
        <v>1508</v>
      </c>
      <c r="B9" s="13">
        <v>1.0</v>
      </c>
      <c r="C9" s="13" t="s">
        <v>2202</v>
      </c>
      <c r="D9" s="13" t="s">
        <v>1510</v>
      </c>
      <c r="E9" s="13" t="s">
        <v>1511</v>
      </c>
      <c r="F9" s="13" t="s">
        <v>368</v>
      </c>
      <c r="G9" s="4" t="s">
        <v>1508</v>
      </c>
      <c r="H9" s="4" t="s">
        <v>906</v>
      </c>
      <c r="I9" s="4"/>
      <c r="J9" s="4" t="s">
        <v>1023</v>
      </c>
      <c r="K9" s="4" t="s">
        <v>2205</v>
      </c>
      <c r="L9" s="15" t="str">
        <f t="shared" si="1"/>
        <v>ok</v>
      </c>
    </row>
    <row r="10" ht="60.0" customHeight="1">
      <c r="A10" s="13" t="s">
        <v>1513</v>
      </c>
      <c r="B10" s="13">
        <v>1.0</v>
      </c>
      <c r="C10" s="13" t="s">
        <v>2202</v>
      </c>
      <c r="D10" s="13" t="s">
        <v>1515</v>
      </c>
      <c r="E10" s="13" t="s">
        <v>1516</v>
      </c>
      <c r="F10" s="13" t="s">
        <v>368</v>
      </c>
      <c r="G10" s="4" t="s">
        <v>1513</v>
      </c>
      <c r="H10" s="4" t="s">
        <v>906</v>
      </c>
      <c r="I10" s="4"/>
      <c r="J10" s="4" t="s">
        <v>1023</v>
      </c>
      <c r="K10" s="4" t="s">
        <v>2206</v>
      </c>
      <c r="L10" s="15" t="str">
        <f t="shared" si="1"/>
        <v>ok</v>
      </c>
    </row>
    <row r="11" ht="60.0" customHeight="1">
      <c r="A11" s="13" t="s">
        <v>1890</v>
      </c>
      <c r="B11" s="13">
        <v>1.0</v>
      </c>
      <c r="C11" s="13" t="s">
        <v>2202</v>
      </c>
      <c r="D11" s="13" t="s">
        <v>1892</v>
      </c>
      <c r="E11" s="13" t="s">
        <v>1893</v>
      </c>
      <c r="F11" s="13" t="s">
        <v>97</v>
      </c>
      <c r="G11" s="4" t="s">
        <v>1890</v>
      </c>
      <c r="H11" s="4" t="s">
        <v>906</v>
      </c>
      <c r="I11" s="4"/>
      <c r="J11" s="4" t="s">
        <v>1522</v>
      </c>
      <c r="K11" s="4" t="s">
        <v>2207</v>
      </c>
      <c r="L11" s="15" t="str">
        <f t="shared" si="1"/>
        <v>ok</v>
      </c>
    </row>
    <row r="12" ht="60.0" customHeight="1">
      <c r="A12" s="13" t="s">
        <v>2070</v>
      </c>
      <c r="B12" s="13">
        <v>1.0</v>
      </c>
      <c r="C12" s="13" t="s">
        <v>2208</v>
      </c>
      <c r="D12" s="13" t="s">
        <v>2072</v>
      </c>
      <c r="E12" s="13" t="s">
        <v>2073</v>
      </c>
      <c r="F12" s="13" t="s">
        <v>97</v>
      </c>
      <c r="G12" s="4" t="s">
        <v>2070</v>
      </c>
      <c r="H12" s="4" t="s">
        <v>906</v>
      </c>
      <c r="I12" s="4"/>
      <c r="J12" s="4" t="s">
        <v>1953</v>
      </c>
      <c r="K12" s="4" t="s">
        <v>2209</v>
      </c>
      <c r="L12" s="15" t="str">
        <f t="shared" si="1"/>
        <v>ok</v>
      </c>
    </row>
    <row r="13" ht="60.0" customHeight="1">
      <c r="A13" s="13" t="s">
        <v>1879</v>
      </c>
      <c r="B13" s="13">
        <v>1.0</v>
      </c>
      <c r="C13" s="13" t="s">
        <v>2208</v>
      </c>
      <c r="D13" s="13" t="s">
        <v>1881</v>
      </c>
      <c r="E13" s="13" t="s">
        <v>1882</v>
      </c>
      <c r="F13" s="13" t="s">
        <v>368</v>
      </c>
      <c r="G13" s="4" t="s">
        <v>1879</v>
      </c>
      <c r="H13" s="4" t="s">
        <v>906</v>
      </c>
      <c r="I13" s="4"/>
      <c r="J13" s="4" t="s">
        <v>1522</v>
      </c>
      <c r="K13" s="4" t="s">
        <v>2210</v>
      </c>
      <c r="L13" s="15" t="str">
        <f t="shared" si="1"/>
        <v>ok</v>
      </c>
    </row>
    <row r="14" ht="60.0" customHeight="1">
      <c r="A14" s="13" t="s">
        <v>1490</v>
      </c>
      <c r="B14" s="13">
        <v>1.0</v>
      </c>
      <c r="C14" s="13" t="s">
        <v>2208</v>
      </c>
      <c r="D14" s="13" t="s">
        <v>1492</v>
      </c>
      <c r="E14" s="13" t="s">
        <v>1493</v>
      </c>
      <c r="F14" s="13" t="s">
        <v>368</v>
      </c>
      <c r="G14" s="4" t="s">
        <v>1490</v>
      </c>
      <c r="H14" s="4" t="s">
        <v>906</v>
      </c>
      <c r="I14" s="4"/>
      <c r="J14" s="4" t="s">
        <v>1023</v>
      </c>
      <c r="K14" s="4" t="s">
        <v>2211</v>
      </c>
      <c r="L14" s="15" t="str">
        <f t="shared" si="1"/>
        <v>ok</v>
      </c>
    </row>
    <row r="15" ht="60.0" customHeight="1">
      <c r="A15" s="13" t="s">
        <v>1495</v>
      </c>
      <c r="B15" s="13">
        <v>1.0</v>
      </c>
      <c r="C15" s="13" t="s">
        <v>2208</v>
      </c>
      <c r="D15" s="13" t="s">
        <v>1497</v>
      </c>
      <c r="E15" s="13" t="s">
        <v>1498</v>
      </c>
      <c r="F15" s="13" t="s">
        <v>368</v>
      </c>
      <c r="G15" s="4" t="s">
        <v>1495</v>
      </c>
      <c r="H15" s="4" t="s">
        <v>906</v>
      </c>
      <c r="I15" s="4"/>
      <c r="J15" s="4" t="s">
        <v>1023</v>
      </c>
      <c r="K15" s="4" t="s">
        <v>2212</v>
      </c>
      <c r="L15" s="15" t="str">
        <f t="shared" si="1"/>
        <v>ok</v>
      </c>
    </row>
    <row r="16" ht="60.0" customHeight="1">
      <c r="A16" s="13" t="s">
        <v>1499</v>
      </c>
      <c r="B16" s="13">
        <v>1.0</v>
      </c>
      <c r="C16" s="13" t="s">
        <v>2208</v>
      </c>
      <c r="D16" s="13" t="s">
        <v>1501</v>
      </c>
      <c r="E16" s="13" t="s">
        <v>1502</v>
      </c>
      <c r="F16" s="13" t="s">
        <v>368</v>
      </c>
      <c r="G16" s="4" t="s">
        <v>1499</v>
      </c>
      <c r="H16" s="4" t="s">
        <v>906</v>
      </c>
      <c r="I16" s="4"/>
      <c r="J16" s="4" t="s">
        <v>1023</v>
      </c>
      <c r="K16" s="4" t="s">
        <v>2213</v>
      </c>
      <c r="L16" s="15" t="str">
        <f t="shared" si="1"/>
        <v>ok</v>
      </c>
    </row>
    <row r="17" ht="60.0" customHeight="1">
      <c r="A17" s="13" t="s">
        <v>1883</v>
      </c>
      <c r="B17" s="13">
        <v>1.0</v>
      </c>
      <c r="C17" s="13" t="s">
        <v>2208</v>
      </c>
      <c r="D17" s="13" t="s">
        <v>1885</v>
      </c>
      <c r="E17" s="13" t="s">
        <v>1886</v>
      </c>
      <c r="F17" s="13" t="s">
        <v>97</v>
      </c>
      <c r="G17" s="4" t="s">
        <v>1883</v>
      </c>
      <c r="H17" s="4" t="s">
        <v>906</v>
      </c>
      <c r="I17" s="4"/>
      <c r="J17" s="4" t="s">
        <v>1522</v>
      </c>
      <c r="K17" s="4" t="s">
        <v>2214</v>
      </c>
      <c r="L17" s="15" t="str">
        <f t="shared" si="1"/>
        <v>ok</v>
      </c>
    </row>
    <row r="18" ht="60.0" customHeight="1">
      <c r="A18" s="13" t="s">
        <v>1887</v>
      </c>
      <c r="B18" s="13">
        <v>1.0</v>
      </c>
      <c r="C18" s="13" t="s">
        <v>2208</v>
      </c>
      <c r="D18" s="13" t="s">
        <v>1888</v>
      </c>
      <c r="E18" s="13" t="s">
        <v>1889</v>
      </c>
      <c r="F18" s="13" t="s">
        <v>368</v>
      </c>
      <c r="G18" s="4" t="s">
        <v>1887</v>
      </c>
      <c r="H18" s="4" t="s">
        <v>906</v>
      </c>
      <c r="I18" s="4"/>
      <c r="J18" s="4" t="s">
        <v>1522</v>
      </c>
      <c r="K18" s="4" t="s">
        <v>2215</v>
      </c>
      <c r="L18" s="15" t="str">
        <f t="shared" si="1"/>
        <v>ok</v>
      </c>
    </row>
    <row r="19" ht="60.0" customHeight="1">
      <c r="A19" s="13" t="s">
        <v>685</v>
      </c>
      <c r="B19" s="13">
        <v>1.0</v>
      </c>
      <c r="C19" s="13" t="s">
        <v>2208</v>
      </c>
      <c r="D19" s="13" t="s">
        <v>687</v>
      </c>
      <c r="E19" s="13" t="s">
        <v>688</v>
      </c>
      <c r="F19" s="13" t="s">
        <v>97</v>
      </c>
      <c r="G19" s="4" t="s">
        <v>685</v>
      </c>
      <c r="H19" s="4" t="s">
        <v>98</v>
      </c>
      <c r="I19" s="4" t="s">
        <v>97</v>
      </c>
      <c r="J19" s="4"/>
      <c r="K19" s="4" t="s">
        <v>2216</v>
      </c>
      <c r="L19" s="15" t="str">
        <f t="shared" si="1"/>
        <v>ok</v>
      </c>
    </row>
    <row r="20" ht="60.0" customHeight="1">
      <c r="A20" s="13" t="s">
        <v>1503</v>
      </c>
      <c r="B20" s="13">
        <v>1.0</v>
      </c>
      <c r="C20" s="13" t="s">
        <v>2208</v>
      </c>
      <c r="D20" s="13" t="s">
        <v>1505</v>
      </c>
      <c r="E20" s="13" t="s">
        <v>1506</v>
      </c>
      <c r="F20" s="13" t="s">
        <v>368</v>
      </c>
      <c r="G20" s="4" t="s">
        <v>1503</v>
      </c>
      <c r="H20" s="4" t="s">
        <v>906</v>
      </c>
      <c r="I20" s="4"/>
      <c r="J20" s="4" t="s">
        <v>2111</v>
      </c>
      <c r="K20" s="4" t="s">
        <v>2217</v>
      </c>
      <c r="L20" s="15" t="str">
        <f t="shared" si="1"/>
        <v>ok</v>
      </c>
    </row>
    <row r="21" ht="60.0" customHeight="1">
      <c r="A21" s="13" t="s">
        <v>2135</v>
      </c>
      <c r="B21" s="13">
        <v>1.0</v>
      </c>
      <c r="C21" s="13" t="s">
        <v>2208</v>
      </c>
      <c r="D21" s="13" t="s">
        <v>2137</v>
      </c>
      <c r="E21" s="13" t="s">
        <v>2138</v>
      </c>
      <c r="F21" s="13" t="s">
        <v>368</v>
      </c>
      <c r="G21" s="4" t="s">
        <v>2135</v>
      </c>
      <c r="H21" s="4" t="s">
        <v>906</v>
      </c>
      <c r="I21" s="4"/>
      <c r="J21" s="4" t="s">
        <v>1953</v>
      </c>
      <c r="K21" s="4" t="s">
        <v>2218</v>
      </c>
      <c r="L21" s="15" t="str">
        <f t="shared" si="1"/>
        <v>ok</v>
      </c>
    </row>
    <row r="22" ht="60.0" customHeight="1">
      <c r="A22" s="13" t="s">
        <v>1871</v>
      </c>
      <c r="B22" s="13">
        <v>1.0</v>
      </c>
      <c r="C22" s="13" t="s">
        <v>2219</v>
      </c>
      <c r="D22" s="13" t="s">
        <v>1873</v>
      </c>
      <c r="E22" s="13" t="s">
        <v>1874</v>
      </c>
      <c r="F22" s="13" t="s">
        <v>97</v>
      </c>
      <c r="G22" s="4" t="s">
        <v>1871</v>
      </c>
      <c r="H22" s="4" t="s">
        <v>906</v>
      </c>
      <c r="I22" s="4"/>
      <c r="J22" s="4" t="s">
        <v>1522</v>
      </c>
      <c r="K22" s="4" t="s">
        <v>2220</v>
      </c>
      <c r="L22" s="15" t="str">
        <f t="shared" si="1"/>
        <v>ok</v>
      </c>
    </row>
    <row r="23" ht="60.0" customHeight="1">
      <c r="A23" s="13" t="s">
        <v>2066</v>
      </c>
      <c r="B23" s="13">
        <v>1.0</v>
      </c>
      <c r="C23" s="13" t="s">
        <v>2219</v>
      </c>
      <c r="D23" s="13" t="s">
        <v>2068</v>
      </c>
      <c r="E23" s="13" t="s">
        <v>2069</v>
      </c>
      <c r="F23" s="13" t="s">
        <v>368</v>
      </c>
      <c r="G23" s="4" t="s">
        <v>2066</v>
      </c>
      <c r="H23" s="4" t="s">
        <v>906</v>
      </c>
      <c r="I23" s="4"/>
      <c r="J23" s="4" t="s">
        <v>2111</v>
      </c>
      <c r="K23" s="4" t="s">
        <v>2221</v>
      </c>
      <c r="L23" s="15" t="str">
        <f t="shared" si="1"/>
        <v>ok</v>
      </c>
    </row>
    <row r="24" ht="60.0" customHeight="1">
      <c r="A24" s="13" t="s">
        <v>1485</v>
      </c>
      <c r="B24" s="13">
        <v>1.0</v>
      </c>
      <c r="C24" s="13" t="s">
        <v>2219</v>
      </c>
      <c r="D24" s="13" t="s">
        <v>1487</v>
      </c>
      <c r="E24" s="13" t="s">
        <v>1488</v>
      </c>
      <c r="F24" s="13" t="s">
        <v>368</v>
      </c>
      <c r="G24" s="4" t="s">
        <v>1485</v>
      </c>
      <c r="H24" s="4" t="s">
        <v>906</v>
      </c>
      <c r="I24" s="4"/>
      <c r="J24" s="4" t="s">
        <v>1023</v>
      </c>
      <c r="K24" s="4" t="s">
        <v>2222</v>
      </c>
      <c r="L24" s="15" t="str">
        <f t="shared" si="1"/>
        <v>ok</v>
      </c>
    </row>
    <row r="25" ht="60.0" customHeight="1">
      <c r="A25" s="13" t="s">
        <v>680</v>
      </c>
      <c r="B25" s="13">
        <v>1.0</v>
      </c>
      <c r="C25" s="13" t="s">
        <v>2219</v>
      </c>
      <c r="D25" s="13" t="s">
        <v>682</v>
      </c>
      <c r="E25" s="13" t="s">
        <v>683</v>
      </c>
      <c r="F25" s="13" t="s">
        <v>126</v>
      </c>
      <c r="G25" s="4" t="s">
        <v>680</v>
      </c>
      <c r="H25" s="4" t="s">
        <v>98</v>
      </c>
      <c r="I25" s="4" t="s">
        <v>126</v>
      </c>
      <c r="J25" s="4"/>
      <c r="K25" s="4" t="s">
        <v>2223</v>
      </c>
      <c r="L25" s="15" t="str">
        <f t="shared" si="1"/>
        <v>ok</v>
      </c>
    </row>
    <row r="26" ht="60.0" customHeight="1">
      <c r="A26" s="13" t="s">
        <v>1875</v>
      </c>
      <c r="B26" s="13">
        <v>1.0</v>
      </c>
      <c r="C26" s="13" t="s">
        <v>2219</v>
      </c>
      <c r="D26" s="13" t="s">
        <v>1877</v>
      </c>
      <c r="E26" s="13" t="s">
        <v>1878</v>
      </c>
      <c r="F26" s="13" t="s">
        <v>368</v>
      </c>
      <c r="G26" s="4" t="s">
        <v>1875</v>
      </c>
      <c r="H26" s="4" t="s">
        <v>906</v>
      </c>
      <c r="I26" s="4"/>
      <c r="J26" s="4" t="s">
        <v>1522</v>
      </c>
      <c r="K26" s="4" t="s">
        <v>2224</v>
      </c>
      <c r="L26" s="15" t="str">
        <f t="shared" si="1"/>
        <v>ok</v>
      </c>
    </row>
    <row r="27" ht="60.0" customHeight="1">
      <c r="A27" s="13" t="s">
        <v>670</v>
      </c>
      <c r="B27" s="13">
        <v>1.0</v>
      </c>
      <c r="C27" s="13" t="s">
        <v>2225</v>
      </c>
      <c r="D27" s="13" t="s">
        <v>672</v>
      </c>
      <c r="E27" s="13" t="s">
        <v>673</v>
      </c>
      <c r="F27" s="13" t="s">
        <v>97</v>
      </c>
      <c r="G27" s="4" t="s">
        <v>670</v>
      </c>
      <c r="H27" s="4" t="s">
        <v>98</v>
      </c>
      <c r="I27" s="4" t="s">
        <v>97</v>
      </c>
      <c r="J27" s="4"/>
      <c r="K27" s="4" t="s">
        <v>2226</v>
      </c>
      <c r="L27" s="15" t="str">
        <f t="shared" si="1"/>
        <v>ok</v>
      </c>
    </row>
    <row r="28" ht="60.0" customHeight="1">
      <c r="A28" s="13" t="s">
        <v>1867</v>
      </c>
      <c r="B28" s="13">
        <v>1.0</v>
      </c>
      <c r="C28" s="13" t="s">
        <v>2225</v>
      </c>
      <c r="D28" s="13" t="s">
        <v>1869</v>
      </c>
      <c r="E28" s="13" t="s">
        <v>1870</v>
      </c>
      <c r="F28" s="13" t="s">
        <v>97</v>
      </c>
      <c r="G28" s="4" t="s">
        <v>1867</v>
      </c>
      <c r="H28" s="4" t="s">
        <v>906</v>
      </c>
      <c r="I28" s="4"/>
      <c r="J28" s="4" t="s">
        <v>1522</v>
      </c>
      <c r="K28" s="4" t="s">
        <v>2227</v>
      </c>
      <c r="L28" s="15" t="str">
        <f t="shared" si="1"/>
        <v>ok</v>
      </c>
    </row>
    <row r="29" ht="60.0" customHeight="1">
      <c r="A29" s="13" t="s">
        <v>674</v>
      </c>
      <c r="B29" s="13">
        <v>1.0</v>
      </c>
      <c r="C29" s="13" t="s">
        <v>2225</v>
      </c>
      <c r="D29" s="13" t="s">
        <v>676</v>
      </c>
      <c r="E29" s="13" t="s">
        <v>677</v>
      </c>
      <c r="F29" s="13" t="s">
        <v>97</v>
      </c>
      <c r="G29" s="4" t="s">
        <v>674</v>
      </c>
      <c r="H29" s="4" t="s">
        <v>98</v>
      </c>
      <c r="I29" s="4" t="s">
        <v>97</v>
      </c>
      <c r="J29" s="4"/>
      <c r="K29" s="4" t="s">
        <v>2228</v>
      </c>
      <c r="L29" s="15" t="str">
        <f t="shared" si="1"/>
        <v>ok</v>
      </c>
    </row>
    <row r="30" ht="60.0" customHeight="1">
      <c r="A30" s="13" t="s">
        <v>1008</v>
      </c>
      <c r="B30" s="13">
        <v>1.0</v>
      </c>
      <c r="C30" s="13" t="s">
        <v>2225</v>
      </c>
      <c r="D30" s="13" t="s">
        <v>1010</v>
      </c>
      <c r="E30" s="13" t="s">
        <v>1011</v>
      </c>
      <c r="F30" s="13" t="s">
        <v>97</v>
      </c>
      <c r="G30" s="4" t="s">
        <v>1008</v>
      </c>
      <c r="H30" s="4" t="s">
        <v>906</v>
      </c>
      <c r="I30" s="4"/>
      <c r="J30" s="4" t="s">
        <v>1522</v>
      </c>
      <c r="K30" s="4" t="s">
        <v>2229</v>
      </c>
      <c r="L30" s="15" t="str">
        <f t="shared" si="1"/>
        <v>ok</v>
      </c>
    </row>
    <row r="31" ht="60.0" customHeight="1">
      <c r="A31" s="13" t="s">
        <v>1481</v>
      </c>
      <c r="B31" s="13">
        <v>1.0</v>
      </c>
      <c r="C31" s="13" t="s">
        <v>2225</v>
      </c>
      <c r="D31" s="13" t="s">
        <v>1483</v>
      </c>
      <c r="E31" s="13" t="s">
        <v>1484</v>
      </c>
      <c r="F31" s="13" t="s">
        <v>368</v>
      </c>
      <c r="G31" s="4" t="s">
        <v>1481</v>
      </c>
      <c r="H31" s="4" t="s">
        <v>906</v>
      </c>
      <c r="I31" s="4"/>
      <c r="J31" s="4" t="s">
        <v>2111</v>
      </c>
      <c r="K31" s="4" t="s">
        <v>2230</v>
      </c>
      <c r="L31" s="15" t="str">
        <f t="shared" si="1"/>
        <v>ok</v>
      </c>
    </row>
    <row r="32" ht="60.0" customHeight="1">
      <c r="A32" s="13" t="s">
        <v>998</v>
      </c>
      <c r="B32" s="13">
        <v>1.0</v>
      </c>
      <c r="C32" s="13" t="s">
        <v>2231</v>
      </c>
      <c r="D32" s="13" t="s">
        <v>1000</v>
      </c>
      <c r="E32" s="13" t="s">
        <v>1001</v>
      </c>
      <c r="F32" s="13" t="s">
        <v>97</v>
      </c>
      <c r="G32" s="4" t="s">
        <v>998</v>
      </c>
      <c r="H32" s="4" t="s">
        <v>906</v>
      </c>
      <c r="I32" s="4"/>
      <c r="J32" s="4" t="s">
        <v>907</v>
      </c>
      <c r="K32" s="4" t="s">
        <v>2232</v>
      </c>
      <c r="L32" s="15" t="str">
        <f t="shared" si="1"/>
        <v>ok</v>
      </c>
    </row>
    <row r="33" ht="60.0" customHeight="1">
      <c r="A33" s="13" t="s">
        <v>1003</v>
      </c>
      <c r="B33" s="13">
        <v>1.0</v>
      </c>
      <c r="C33" s="13" t="s">
        <v>2231</v>
      </c>
      <c r="D33" s="13" t="s">
        <v>1005</v>
      </c>
      <c r="E33" s="13" t="s">
        <v>1006</v>
      </c>
      <c r="F33" s="13" t="s">
        <v>97</v>
      </c>
      <c r="G33" s="4" t="s">
        <v>1003</v>
      </c>
      <c r="H33" s="4" t="s">
        <v>906</v>
      </c>
      <c r="I33" s="4"/>
      <c r="J33" s="4" t="s">
        <v>907</v>
      </c>
      <c r="K33" s="4" t="s">
        <v>2233</v>
      </c>
      <c r="L33" s="15" t="str">
        <f t="shared" si="1"/>
        <v>ok</v>
      </c>
    </row>
    <row r="34" ht="60.0" customHeight="1">
      <c r="A34" s="13" t="s">
        <v>2062</v>
      </c>
      <c r="B34" s="13">
        <v>1.0</v>
      </c>
      <c r="C34" s="13" t="s">
        <v>2231</v>
      </c>
      <c r="D34" s="13" t="s">
        <v>2064</v>
      </c>
      <c r="E34" s="13" t="s">
        <v>2065</v>
      </c>
      <c r="F34" s="13" t="s">
        <v>368</v>
      </c>
      <c r="G34" s="4" t="s">
        <v>2062</v>
      </c>
      <c r="H34" s="4" t="s">
        <v>906</v>
      </c>
      <c r="I34" s="4"/>
      <c r="J34" s="4" t="s">
        <v>1953</v>
      </c>
      <c r="K34" s="4" t="s">
        <v>2234</v>
      </c>
      <c r="L34" s="15" t="str">
        <f t="shared" si="1"/>
        <v>ok</v>
      </c>
    </row>
    <row r="35" ht="60.0" customHeight="1">
      <c r="A35" s="13" t="s">
        <v>1842</v>
      </c>
      <c r="B35" s="13">
        <v>1.0</v>
      </c>
      <c r="C35" s="13" t="s">
        <v>2235</v>
      </c>
      <c r="D35" s="13" t="s">
        <v>1844</v>
      </c>
      <c r="E35" s="13" t="s">
        <v>1845</v>
      </c>
      <c r="F35" s="13" t="s">
        <v>368</v>
      </c>
      <c r="G35" s="4" t="s">
        <v>1842</v>
      </c>
      <c r="H35" s="4" t="s">
        <v>906</v>
      </c>
      <c r="I35" s="4"/>
      <c r="J35" s="4" t="s">
        <v>1522</v>
      </c>
      <c r="K35" s="4" t="s">
        <v>2236</v>
      </c>
      <c r="L35" s="15" t="str">
        <f t="shared" si="1"/>
        <v>ok</v>
      </c>
    </row>
    <row r="36" ht="60.0" customHeight="1">
      <c r="A36" s="13" t="s">
        <v>1846</v>
      </c>
      <c r="B36" s="13">
        <v>1.0</v>
      </c>
      <c r="C36" s="13" t="s">
        <v>2235</v>
      </c>
      <c r="D36" s="13" t="s">
        <v>1848</v>
      </c>
      <c r="E36" s="13" t="s">
        <v>1849</v>
      </c>
      <c r="F36" s="13" t="s">
        <v>368</v>
      </c>
      <c r="G36" s="4" t="s">
        <v>1846</v>
      </c>
      <c r="H36" s="4" t="s">
        <v>906</v>
      </c>
      <c r="I36" s="4"/>
      <c r="J36" s="4" t="s">
        <v>1522</v>
      </c>
      <c r="K36" s="4" t="s">
        <v>2237</v>
      </c>
      <c r="L36" s="15" t="str">
        <f t="shared" si="1"/>
        <v>ok</v>
      </c>
    </row>
    <row r="37" ht="60.0" customHeight="1">
      <c r="A37" s="13" t="s">
        <v>666</v>
      </c>
      <c r="B37" s="13">
        <v>1.0</v>
      </c>
      <c r="C37" s="13" t="s">
        <v>2235</v>
      </c>
      <c r="D37" s="13" t="s">
        <v>668</v>
      </c>
      <c r="E37" s="13" t="s">
        <v>669</v>
      </c>
      <c r="F37" s="13" t="s">
        <v>368</v>
      </c>
      <c r="G37" s="4" t="s">
        <v>666</v>
      </c>
      <c r="H37" s="4" t="s">
        <v>98</v>
      </c>
      <c r="I37" s="4" t="s">
        <v>368</v>
      </c>
      <c r="J37" s="4"/>
      <c r="K37" s="4" t="s">
        <v>2238</v>
      </c>
      <c r="L37" s="15" t="str">
        <f t="shared" si="1"/>
        <v>ok</v>
      </c>
    </row>
    <row r="38" ht="60.0" customHeight="1">
      <c r="A38" s="13" t="s">
        <v>1850</v>
      </c>
      <c r="B38" s="13">
        <v>1.0</v>
      </c>
      <c r="C38" s="13" t="s">
        <v>2235</v>
      </c>
      <c r="D38" s="13" t="s">
        <v>1852</v>
      </c>
      <c r="E38" s="13" t="s">
        <v>1853</v>
      </c>
      <c r="F38" s="13" t="s">
        <v>126</v>
      </c>
      <c r="G38" s="4" t="s">
        <v>1850</v>
      </c>
      <c r="H38" s="4" t="s">
        <v>906</v>
      </c>
      <c r="I38" s="4"/>
      <c r="J38" s="4" t="s">
        <v>1522</v>
      </c>
      <c r="K38" s="4" t="s">
        <v>2239</v>
      </c>
      <c r="L38" s="15" t="str">
        <f t="shared" si="1"/>
        <v>ok</v>
      </c>
    </row>
    <row r="39" ht="60.0" customHeight="1">
      <c r="A39" s="13" t="s">
        <v>1855</v>
      </c>
      <c r="B39" s="13">
        <v>1.0</v>
      </c>
      <c r="C39" s="13" t="s">
        <v>2235</v>
      </c>
      <c r="D39" s="13" t="s">
        <v>1857</v>
      </c>
      <c r="E39" s="13" t="s">
        <v>1858</v>
      </c>
      <c r="F39" s="13" t="s">
        <v>368</v>
      </c>
      <c r="G39" s="4" t="s">
        <v>1855</v>
      </c>
      <c r="H39" s="4" t="s">
        <v>906</v>
      </c>
      <c r="I39" s="4"/>
      <c r="J39" s="4" t="s">
        <v>1522</v>
      </c>
      <c r="K39" s="4" t="s">
        <v>2240</v>
      </c>
      <c r="L39" s="15" t="str">
        <f t="shared" si="1"/>
        <v>ok</v>
      </c>
    </row>
    <row r="40" ht="60.0" customHeight="1">
      <c r="A40" s="13" t="s">
        <v>1859</v>
      </c>
      <c r="B40" s="13">
        <v>1.0</v>
      </c>
      <c r="C40" s="13" t="s">
        <v>2235</v>
      </c>
      <c r="D40" s="13" t="s">
        <v>1861</v>
      </c>
      <c r="E40" s="13" t="s">
        <v>1862</v>
      </c>
      <c r="F40" s="13" t="s">
        <v>368</v>
      </c>
      <c r="G40" s="4" t="s">
        <v>1859</v>
      </c>
      <c r="H40" s="4" t="s">
        <v>906</v>
      </c>
      <c r="I40" s="4"/>
      <c r="J40" s="4" t="s">
        <v>1522</v>
      </c>
      <c r="K40" s="4" t="s">
        <v>2241</v>
      </c>
      <c r="L40" s="15" t="str">
        <f t="shared" si="1"/>
        <v>ok</v>
      </c>
    </row>
    <row r="41" ht="60.0" customHeight="1">
      <c r="A41" s="13" t="s">
        <v>1863</v>
      </c>
      <c r="B41" s="13">
        <v>1.0</v>
      </c>
      <c r="C41" s="13" t="s">
        <v>2235</v>
      </c>
      <c r="D41" s="13" t="s">
        <v>1865</v>
      </c>
      <c r="E41" s="13" t="s">
        <v>1866</v>
      </c>
      <c r="F41" s="13" t="s">
        <v>126</v>
      </c>
      <c r="G41" s="4" t="s">
        <v>1863</v>
      </c>
      <c r="H41" s="4" t="s">
        <v>906</v>
      </c>
      <c r="I41" s="4"/>
      <c r="J41" s="4" t="s">
        <v>1522</v>
      </c>
      <c r="K41" s="4" t="s">
        <v>2242</v>
      </c>
      <c r="L41" s="15" t="str">
        <f t="shared" si="1"/>
        <v>ok</v>
      </c>
    </row>
    <row r="42" ht="60.0" customHeight="1">
      <c r="A42" s="13" t="s">
        <v>1476</v>
      </c>
      <c r="B42" s="13">
        <v>1.0</v>
      </c>
      <c r="C42" s="13" t="s">
        <v>2235</v>
      </c>
      <c r="D42" s="13" t="s">
        <v>1478</v>
      </c>
      <c r="E42" s="13" t="s">
        <v>1479</v>
      </c>
      <c r="F42" s="13" t="s">
        <v>368</v>
      </c>
      <c r="G42" s="4" t="s">
        <v>1476</v>
      </c>
      <c r="H42" s="4" t="s">
        <v>906</v>
      </c>
      <c r="I42" s="4"/>
      <c r="J42" s="4" t="s">
        <v>1023</v>
      </c>
      <c r="K42" s="4" t="s">
        <v>2243</v>
      </c>
      <c r="L42" s="15" t="str">
        <f t="shared" si="1"/>
        <v>ok</v>
      </c>
    </row>
    <row r="43" ht="60.0" customHeight="1">
      <c r="A43" s="13" t="s">
        <v>646</v>
      </c>
      <c r="B43" s="13">
        <v>1.0</v>
      </c>
      <c r="C43" s="13" t="s">
        <v>2244</v>
      </c>
      <c r="D43" s="13" t="s">
        <v>648</v>
      </c>
      <c r="E43" s="13" t="s">
        <v>649</v>
      </c>
      <c r="F43" s="13" t="s">
        <v>126</v>
      </c>
      <c r="G43" s="4" t="s">
        <v>646</v>
      </c>
      <c r="H43" s="4" t="s">
        <v>98</v>
      </c>
      <c r="I43" s="4" t="s">
        <v>126</v>
      </c>
      <c r="J43" s="4"/>
      <c r="K43" s="4" t="s">
        <v>2245</v>
      </c>
      <c r="L43" s="15" t="str">
        <f t="shared" si="1"/>
        <v>ok</v>
      </c>
    </row>
    <row r="44" ht="60.0" customHeight="1">
      <c r="A44" s="13" t="s">
        <v>650</v>
      </c>
      <c r="B44" s="13">
        <v>1.0</v>
      </c>
      <c r="C44" s="13" t="s">
        <v>2244</v>
      </c>
      <c r="D44" s="13" t="s">
        <v>652</v>
      </c>
      <c r="E44" s="13" t="s">
        <v>653</v>
      </c>
      <c r="F44" s="13" t="s">
        <v>126</v>
      </c>
      <c r="G44" s="4" t="s">
        <v>650</v>
      </c>
      <c r="H44" s="4" t="s">
        <v>98</v>
      </c>
      <c r="I44" s="4" t="s">
        <v>97</v>
      </c>
      <c r="J44" s="4"/>
      <c r="K44" s="4" t="s">
        <v>2246</v>
      </c>
      <c r="L44" s="15" t="str">
        <f t="shared" si="1"/>
        <v>ok</v>
      </c>
    </row>
    <row r="45" ht="60.0" customHeight="1">
      <c r="A45" s="13" t="s">
        <v>654</v>
      </c>
      <c r="B45" s="13">
        <v>1.0</v>
      </c>
      <c r="C45" s="13" t="s">
        <v>2244</v>
      </c>
      <c r="D45" s="13" t="s">
        <v>655</v>
      </c>
      <c r="E45" s="13" t="s">
        <v>656</v>
      </c>
      <c r="F45" s="13" t="s">
        <v>126</v>
      </c>
      <c r="G45" s="4" t="s">
        <v>654</v>
      </c>
      <c r="H45" s="4" t="s">
        <v>98</v>
      </c>
      <c r="I45" s="4" t="s">
        <v>97</v>
      </c>
      <c r="J45" s="4"/>
      <c r="K45" s="4" t="s">
        <v>2247</v>
      </c>
      <c r="L45" s="15" t="str">
        <f t="shared" si="1"/>
        <v>ok</v>
      </c>
    </row>
    <row r="46" ht="60.0" customHeight="1">
      <c r="A46" s="13" t="s">
        <v>1473</v>
      </c>
      <c r="B46" s="13">
        <v>1.0</v>
      </c>
      <c r="C46" s="13" t="s">
        <v>2244</v>
      </c>
      <c r="D46" s="13" t="s">
        <v>1474</v>
      </c>
      <c r="E46" s="13" t="s">
        <v>1475</v>
      </c>
      <c r="F46" s="13" t="s">
        <v>368</v>
      </c>
      <c r="G46" s="4" t="s">
        <v>1473</v>
      </c>
      <c r="H46" s="4" t="s">
        <v>906</v>
      </c>
      <c r="I46" s="4"/>
      <c r="J46" s="4" t="s">
        <v>1023</v>
      </c>
      <c r="K46" s="4" t="s">
        <v>2248</v>
      </c>
      <c r="L46" s="15" t="str">
        <f t="shared" si="1"/>
        <v>ok</v>
      </c>
    </row>
    <row r="47" ht="60.0" customHeight="1">
      <c r="A47" s="13" t="s">
        <v>657</v>
      </c>
      <c r="B47" s="13">
        <v>1.0</v>
      </c>
      <c r="C47" s="13" t="s">
        <v>2244</v>
      </c>
      <c r="D47" s="13" t="s">
        <v>659</v>
      </c>
      <c r="E47" s="13" t="s">
        <v>660</v>
      </c>
      <c r="F47" s="13" t="s">
        <v>126</v>
      </c>
      <c r="G47" s="4" t="s">
        <v>657</v>
      </c>
      <c r="H47" s="4" t="s">
        <v>98</v>
      </c>
      <c r="I47" s="4" t="s">
        <v>368</v>
      </c>
      <c r="J47" s="4"/>
      <c r="K47" s="4" t="s">
        <v>2249</v>
      </c>
      <c r="L47" s="15" t="str">
        <f t="shared" si="1"/>
        <v>ok</v>
      </c>
    </row>
    <row r="48" ht="60.0" customHeight="1">
      <c r="A48" s="13" t="s">
        <v>661</v>
      </c>
      <c r="B48" s="13">
        <v>1.0</v>
      </c>
      <c r="C48" s="13" t="s">
        <v>2244</v>
      </c>
      <c r="D48" s="13" t="s">
        <v>663</v>
      </c>
      <c r="E48" s="13" t="s">
        <v>664</v>
      </c>
      <c r="F48" s="13" t="s">
        <v>97</v>
      </c>
      <c r="G48" s="4" t="s">
        <v>661</v>
      </c>
      <c r="H48" s="4" t="s">
        <v>98</v>
      </c>
      <c r="I48" s="4" t="s">
        <v>97</v>
      </c>
      <c r="J48" s="4"/>
      <c r="K48" s="4" t="s">
        <v>2250</v>
      </c>
      <c r="L48" s="15" t="str">
        <f t="shared" si="1"/>
        <v>ok</v>
      </c>
    </row>
    <row r="49" ht="60.0" customHeight="1">
      <c r="A49" s="13" t="s">
        <v>2178</v>
      </c>
      <c r="B49" s="13">
        <v>1.0</v>
      </c>
      <c r="C49" s="13" t="s">
        <v>2244</v>
      </c>
      <c r="D49" s="13" t="s">
        <v>2180</v>
      </c>
      <c r="E49" s="13" t="s">
        <v>2181</v>
      </c>
      <c r="F49" s="13" t="s">
        <v>97</v>
      </c>
      <c r="G49" s="4" t="s">
        <v>2178</v>
      </c>
      <c r="H49" s="4" t="s">
        <v>906</v>
      </c>
      <c r="I49" s="4"/>
      <c r="J49" s="4" t="s">
        <v>2144</v>
      </c>
      <c r="K49" s="4" t="s">
        <v>2251</v>
      </c>
      <c r="L49" s="15" t="str">
        <f t="shared" si="1"/>
        <v>ok</v>
      </c>
    </row>
    <row r="50" ht="60.0" customHeight="1">
      <c r="A50" s="13" t="s">
        <v>1837</v>
      </c>
      <c r="B50" s="13">
        <v>1.0</v>
      </c>
      <c r="C50" s="13" t="s">
        <v>2244</v>
      </c>
      <c r="D50" s="13" t="s">
        <v>1839</v>
      </c>
      <c r="E50" s="13" t="s">
        <v>1840</v>
      </c>
      <c r="F50" s="13" t="s">
        <v>97</v>
      </c>
      <c r="G50" s="4" t="s">
        <v>1837</v>
      </c>
      <c r="H50" s="4" t="s">
        <v>906</v>
      </c>
      <c r="I50" s="4"/>
      <c r="J50" s="4" t="s">
        <v>1522</v>
      </c>
      <c r="K50" s="4" t="s">
        <v>2252</v>
      </c>
      <c r="L50" s="15" t="str">
        <f t="shared" si="1"/>
        <v>ok</v>
      </c>
    </row>
    <row r="51" ht="60.0" customHeight="1">
      <c r="A51" s="13" t="s">
        <v>632</v>
      </c>
      <c r="B51" s="13">
        <v>1.0</v>
      </c>
      <c r="C51" s="13" t="s">
        <v>2253</v>
      </c>
      <c r="D51" s="13" t="s">
        <v>634</v>
      </c>
      <c r="E51" s="13" t="s">
        <v>635</v>
      </c>
      <c r="F51" s="13" t="s">
        <v>97</v>
      </c>
      <c r="G51" s="4" t="s">
        <v>632</v>
      </c>
      <c r="H51" s="4" t="s">
        <v>98</v>
      </c>
      <c r="I51" s="4" t="s">
        <v>97</v>
      </c>
      <c r="J51" s="4"/>
      <c r="K51" s="4" t="s">
        <v>2254</v>
      </c>
      <c r="L51" s="15" t="str">
        <f t="shared" si="1"/>
        <v>ok</v>
      </c>
    </row>
    <row r="52" ht="60.0" customHeight="1">
      <c r="A52" s="13" t="s">
        <v>1832</v>
      </c>
      <c r="B52" s="13">
        <v>1.0</v>
      </c>
      <c r="C52" s="13" t="s">
        <v>2253</v>
      </c>
      <c r="D52" s="13" t="s">
        <v>1834</v>
      </c>
      <c r="E52" s="13" t="s">
        <v>1835</v>
      </c>
      <c r="F52" s="13" t="s">
        <v>368</v>
      </c>
      <c r="G52" s="4" t="s">
        <v>1832</v>
      </c>
      <c r="H52" s="4" t="s">
        <v>906</v>
      </c>
      <c r="I52" s="4"/>
      <c r="J52" s="4" t="s">
        <v>1023</v>
      </c>
      <c r="K52" s="4" t="s">
        <v>2255</v>
      </c>
      <c r="L52" s="15" t="str">
        <f t="shared" si="1"/>
        <v>ok</v>
      </c>
    </row>
    <row r="53" ht="60.0" customHeight="1">
      <c r="A53" s="13" t="s">
        <v>1456</v>
      </c>
      <c r="B53" s="13">
        <v>1.0</v>
      </c>
      <c r="C53" s="13" t="s">
        <v>2253</v>
      </c>
      <c r="D53" s="13" t="s">
        <v>1458</v>
      </c>
      <c r="E53" s="13" t="s">
        <v>1459</v>
      </c>
      <c r="F53" s="13" t="s">
        <v>368</v>
      </c>
      <c r="G53" s="4" t="s">
        <v>1456</v>
      </c>
      <c r="H53" s="4" t="s">
        <v>906</v>
      </c>
      <c r="I53" s="4"/>
      <c r="J53" s="4" t="s">
        <v>1023</v>
      </c>
      <c r="K53" s="4" t="s">
        <v>2256</v>
      </c>
      <c r="L53" s="15" t="str">
        <f t="shared" si="1"/>
        <v>ok</v>
      </c>
    </row>
    <row r="54" ht="60.0" customHeight="1">
      <c r="A54" s="13" t="s">
        <v>2174</v>
      </c>
      <c r="B54" s="13">
        <v>1.0</v>
      </c>
      <c r="C54" s="13" t="s">
        <v>2253</v>
      </c>
      <c r="D54" s="13" t="s">
        <v>2175</v>
      </c>
      <c r="E54" s="13" t="s">
        <v>2176</v>
      </c>
      <c r="F54" s="13" t="s">
        <v>368</v>
      </c>
      <c r="G54" s="4" t="s">
        <v>2174</v>
      </c>
      <c r="H54" s="4" t="s">
        <v>98</v>
      </c>
      <c r="I54" s="4" t="s">
        <v>368</v>
      </c>
      <c r="J54" s="4"/>
      <c r="K54" s="4" t="s">
        <v>2257</v>
      </c>
      <c r="L54" s="15" t="str">
        <f t="shared" si="1"/>
        <v>ok</v>
      </c>
    </row>
    <row r="55" ht="60.0" customHeight="1">
      <c r="A55" s="13" t="s">
        <v>1460</v>
      </c>
      <c r="B55" s="13">
        <v>1.0</v>
      </c>
      <c r="C55" s="13" t="s">
        <v>2253</v>
      </c>
      <c r="D55" s="13" t="s">
        <v>1462</v>
      </c>
      <c r="E55" s="13" t="s">
        <v>1463</v>
      </c>
      <c r="F55" s="13" t="s">
        <v>368</v>
      </c>
      <c r="G55" s="4" t="s">
        <v>1460</v>
      </c>
      <c r="H55" s="4" t="s">
        <v>906</v>
      </c>
      <c r="I55" s="4"/>
      <c r="J55" s="4" t="s">
        <v>1023</v>
      </c>
      <c r="K55" s="4" t="s">
        <v>2258</v>
      </c>
      <c r="L55" s="15" t="str">
        <f t="shared" si="1"/>
        <v>ok</v>
      </c>
    </row>
    <row r="56" ht="60.0" customHeight="1">
      <c r="A56" s="13" t="s">
        <v>993</v>
      </c>
      <c r="B56" s="13">
        <v>1.0</v>
      </c>
      <c r="C56" s="13" t="s">
        <v>2253</v>
      </c>
      <c r="D56" s="13" t="s">
        <v>995</v>
      </c>
      <c r="E56" s="13" t="s">
        <v>996</v>
      </c>
      <c r="F56" s="13" t="s">
        <v>97</v>
      </c>
      <c r="G56" s="4" t="s">
        <v>993</v>
      </c>
      <c r="H56" s="4" t="s">
        <v>906</v>
      </c>
      <c r="I56" s="4"/>
      <c r="J56" s="4" t="s">
        <v>907</v>
      </c>
      <c r="K56" s="4" t="s">
        <v>2259</v>
      </c>
      <c r="L56" s="15" t="str">
        <f t="shared" si="1"/>
        <v>ok</v>
      </c>
    </row>
    <row r="57" ht="60.0" customHeight="1">
      <c r="A57" s="13" t="s">
        <v>637</v>
      </c>
      <c r="B57" s="13">
        <v>2.0</v>
      </c>
      <c r="C57" s="13" t="s">
        <v>2253</v>
      </c>
      <c r="D57" s="13" t="s">
        <v>639</v>
      </c>
      <c r="E57" s="13" t="s">
        <v>640</v>
      </c>
      <c r="F57" s="13" t="s">
        <v>97</v>
      </c>
      <c r="G57" s="4" t="s">
        <v>637</v>
      </c>
      <c r="H57" s="4" t="s">
        <v>98</v>
      </c>
      <c r="I57" s="4" t="s">
        <v>97</v>
      </c>
      <c r="J57" s="4"/>
      <c r="K57" s="4" t="s">
        <v>2260</v>
      </c>
      <c r="L57" s="15" t="str">
        <f t="shared" si="1"/>
        <v>ok</v>
      </c>
    </row>
    <row r="58" ht="60.0" customHeight="1">
      <c r="A58" s="13" t="s">
        <v>1465</v>
      </c>
      <c r="B58" s="13">
        <v>2.0</v>
      </c>
      <c r="C58" s="13" t="s">
        <v>2253</v>
      </c>
      <c r="D58" s="13" t="s">
        <v>1467</v>
      </c>
      <c r="E58" s="13" t="s">
        <v>1468</v>
      </c>
      <c r="F58" s="13" t="s">
        <v>97</v>
      </c>
      <c r="G58" s="4" t="s">
        <v>1465</v>
      </c>
      <c r="H58" s="4" t="s">
        <v>906</v>
      </c>
      <c r="I58" s="4"/>
      <c r="J58" s="4" t="s">
        <v>1522</v>
      </c>
      <c r="K58" s="4" t="s">
        <v>2261</v>
      </c>
      <c r="L58" s="15" t="str">
        <f t="shared" si="1"/>
        <v>ok</v>
      </c>
    </row>
    <row r="59" ht="60.0" customHeight="1">
      <c r="A59" s="13" t="s">
        <v>641</v>
      </c>
      <c r="B59" s="13">
        <v>2.0</v>
      </c>
      <c r="C59" s="13" t="s">
        <v>2253</v>
      </c>
      <c r="D59" s="13" t="s">
        <v>642</v>
      </c>
      <c r="E59" s="13" t="s">
        <v>643</v>
      </c>
      <c r="F59" s="13" t="s">
        <v>97</v>
      </c>
      <c r="G59" s="4" t="s">
        <v>641</v>
      </c>
      <c r="H59" s="4" t="s">
        <v>98</v>
      </c>
      <c r="I59" s="4" t="s">
        <v>97</v>
      </c>
      <c r="J59" s="4"/>
      <c r="K59" s="4" t="s">
        <v>2262</v>
      </c>
      <c r="L59" s="15" t="str">
        <f t="shared" si="1"/>
        <v>ok</v>
      </c>
    </row>
    <row r="60" ht="60.0" customHeight="1">
      <c r="A60" s="13" t="s">
        <v>1945</v>
      </c>
      <c r="B60" s="13">
        <v>2.0</v>
      </c>
      <c r="C60" s="13" t="s">
        <v>2253</v>
      </c>
      <c r="D60" s="13" t="s">
        <v>1947</v>
      </c>
      <c r="E60" s="13" t="s">
        <v>1948</v>
      </c>
      <c r="F60" s="13" t="s">
        <v>368</v>
      </c>
      <c r="G60" s="4" t="s">
        <v>1945</v>
      </c>
      <c r="H60" s="4" t="s">
        <v>906</v>
      </c>
      <c r="I60" s="4"/>
      <c r="J60" s="4" t="s">
        <v>1522</v>
      </c>
      <c r="K60" s="4" t="s">
        <v>2263</v>
      </c>
      <c r="L60" s="15" t="str">
        <f t="shared" si="1"/>
        <v>ok</v>
      </c>
    </row>
    <row r="61" ht="60.0" customHeight="1">
      <c r="A61" s="13" t="s">
        <v>1469</v>
      </c>
      <c r="B61" s="13">
        <v>2.0</v>
      </c>
      <c r="C61" s="13" t="s">
        <v>2253</v>
      </c>
      <c r="D61" s="13" t="s">
        <v>1471</v>
      </c>
      <c r="E61" s="13" t="s">
        <v>1472</v>
      </c>
      <c r="F61" s="13" t="s">
        <v>368</v>
      </c>
      <c r="G61" s="4" t="s">
        <v>1469</v>
      </c>
      <c r="H61" s="4" t="s">
        <v>906</v>
      </c>
      <c r="I61" s="4"/>
      <c r="J61" s="4" t="s">
        <v>2111</v>
      </c>
      <c r="K61" s="4" t="s">
        <v>2264</v>
      </c>
      <c r="L61" s="15" t="str">
        <f t="shared" si="1"/>
        <v>ok</v>
      </c>
    </row>
    <row r="62" ht="60.0" customHeight="1">
      <c r="A62" s="13" t="s">
        <v>1437</v>
      </c>
      <c r="B62" s="13">
        <v>2.0</v>
      </c>
      <c r="C62" s="13" t="s">
        <v>2265</v>
      </c>
      <c r="D62" s="13" t="s">
        <v>1439</v>
      </c>
      <c r="E62" s="13" t="s">
        <v>1440</v>
      </c>
      <c r="F62" s="13" t="s">
        <v>368</v>
      </c>
      <c r="G62" s="4" t="s">
        <v>1437</v>
      </c>
      <c r="H62" s="4" t="s">
        <v>906</v>
      </c>
      <c r="I62" s="4"/>
      <c r="J62" s="4" t="s">
        <v>2111</v>
      </c>
      <c r="K62" s="4" t="s">
        <v>2266</v>
      </c>
      <c r="L62" s="15" t="str">
        <f t="shared" si="1"/>
        <v>ok</v>
      </c>
    </row>
    <row r="63" ht="60.0" customHeight="1">
      <c r="A63" s="13" t="s">
        <v>2057</v>
      </c>
      <c r="B63" s="13">
        <v>2.0</v>
      </c>
      <c r="C63" s="13" t="s">
        <v>2253</v>
      </c>
      <c r="D63" s="13" t="s">
        <v>2059</v>
      </c>
      <c r="E63" s="13" t="s">
        <v>2060</v>
      </c>
      <c r="F63" s="13" t="s">
        <v>97</v>
      </c>
      <c r="G63" s="4" t="s">
        <v>2057</v>
      </c>
      <c r="H63" s="4" t="s">
        <v>906</v>
      </c>
      <c r="I63" s="4"/>
      <c r="J63" s="4" t="s">
        <v>1953</v>
      </c>
      <c r="K63" s="4" t="s">
        <v>2267</v>
      </c>
      <c r="L63" s="15" t="str">
        <f t="shared" si="1"/>
        <v>ok</v>
      </c>
    </row>
    <row r="64" ht="60.0" customHeight="1">
      <c r="A64" s="13" t="s">
        <v>1824</v>
      </c>
      <c r="B64" s="13">
        <v>2.0</v>
      </c>
      <c r="C64" s="13" t="s">
        <v>2265</v>
      </c>
      <c r="D64" s="13" t="s">
        <v>1826</v>
      </c>
      <c r="E64" s="13" t="s">
        <v>1827</v>
      </c>
      <c r="F64" s="13" t="s">
        <v>97</v>
      </c>
      <c r="G64" s="4" t="s">
        <v>1824</v>
      </c>
      <c r="H64" s="4" t="s">
        <v>906</v>
      </c>
      <c r="I64" s="4"/>
      <c r="J64" s="4" t="s">
        <v>1522</v>
      </c>
      <c r="K64" s="4" t="s">
        <v>2268</v>
      </c>
      <c r="L64" s="15" t="str">
        <f t="shared" si="1"/>
        <v>ok</v>
      </c>
    </row>
    <row r="65" ht="60.0" customHeight="1">
      <c r="A65" s="13" t="s">
        <v>989</v>
      </c>
      <c r="B65" s="13">
        <v>2.0</v>
      </c>
      <c r="C65" s="13" t="s">
        <v>2265</v>
      </c>
      <c r="D65" s="13" t="s">
        <v>990</v>
      </c>
      <c r="E65" s="13" t="s">
        <v>991</v>
      </c>
      <c r="F65" s="13" t="s">
        <v>97</v>
      </c>
      <c r="G65" s="4" t="s">
        <v>989</v>
      </c>
      <c r="H65" s="4" t="s">
        <v>906</v>
      </c>
      <c r="I65" s="4"/>
      <c r="J65" s="4" t="s">
        <v>907</v>
      </c>
      <c r="K65" s="4" t="s">
        <v>2269</v>
      </c>
      <c r="L65" s="15" t="str">
        <f t="shared" si="1"/>
        <v>ok</v>
      </c>
    </row>
    <row r="66" ht="60.0" customHeight="1">
      <c r="A66" s="13" t="s">
        <v>621</v>
      </c>
      <c r="B66" s="13">
        <v>2.0</v>
      </c>
      <c r="C66" s="13" t="s">
        <v>2265</v>
      </c>
      <c r="D66" s="13" t="s">
        <v>623</v>
      </c>
      <c r="E66" s="13" t="s">
        <v>624</v>
      </c>
      <c r="F66" s="13" t="s">
        <v>368</v>
      </c>
      <c r="G66" s="4" t="s">
        <v>621</v>
      </c>
      <c r="H66" s="4" t="s">
        <v>98</v>
      </c>
      <c r="I66" s="4" t="s">
        <v>368</v>
      </c>
      <c r="J66" s="4"/>
      <c r="K66" s="4" t="s">
        <v>2270</v>
      </c>
      <c r="L66" s="15" t="str">
        <f t="shared" si="1"/>
        <v>ok</v>
      </c>
    </row>
    <row r="67" ht="60.0" customHeight="1">
      <c r="A67" s="13" t="s">
        <v>625</v>
      </c>
      <c r="B67" s="13">
        <v>2.0</v>
      </c>
      <c r="C67" s="13" t="s">
        <v>2265</v>
      </c>
      <c r="D67" s="13" t="s">
        <v>627</v>
      </c>
      <c r="E67" s="13" t="s">
        <v>628</v>
      </c>
      <c r="F67" s="13" t="s">
        <v>126</v>
      </c>
      <c r="G67" s="4" t="s">
        <v>625</v>
      </c>
      <c r="H67" s="4" t="s">
        <v>98</v>
      </c>
      <c r="I67" s="4" t="s">
        <v>368</v>
      </c>
      <c r="J67" s="4"/>
      <c r="K67" s="4" t="s">
        <v>2271</v>
      </c>
      <c r="L67" s="15" t="str">
        <f t="shared" si="1"/>
        <v>ok</v>
      </c>
    </row>
    <row r="68" ht="60.0" customHeight="1">
      <c r="A68" s="13" t="s">
        <v>629</v>
      </c>
      <c r="B68" s="13">
        <v>2.0</v>
      </c>
      <c r="C68" s="13" t="s">
        <v>2265</v>
      </c>
      <c r="D68" s="13" t="s">
        <v>630</v>
      </c>
      <c r="E68" s="13" t="s">
        <v>631</v>
      </c>
      <c r="F68" s="13" t="s">
        <v>97</v>
      </c>
      <c r="G68" s="4" t="s">
        <v>629</v>
      </c>
      <c r="H68" s="4" t="s">
        <v>98</v>
      </c>
      <c r="I68" s="4" t="s">
        <v>97</v>
      </c>
      <c r="J68" s="4"/>
      <c r="K68" s="4" t="s">
        <v>2272</v>
      </c>
      <c r="L68" s="15" t="str">
        <f t="shared" si="1"/>
        <v>ok</v>
      </c>
    </row>
    <row r="69" ht="60.0" customHeight="1">
      <c r="A69" s="13" t="s">
        <v>1828</v>
      </c>
      <c r="B69" s="13">
        <v>2.0</v>
      </c>
      <c r="C69" s="13" t="s">
        <v>2265</v>
      </c>
      <c r="D69" s="13" t="s">
        <v>1830</v>
      </c>
      <c r="E69" s="13" t="s">
        <v>1831</v>
      </c>
      <c r="F69" s="13" t="s">
        <v>97</v>
      </c>
      <c r="G69" s="4" t="s">
        <v>1828</v>
      </c>
      <c r="H69" s="4" t="s">
        <v>906</v>
      </c>
      <c r="I69" s="4"/>
      <c r="J69" s="4" t="s">
        <v>1522</v>
      </c>
      <c r="K69" s="4" t="s">
        <v>2273</v>
      </c>
      <c r="L69" s="15" t="str">
        <f t="shared" si="1"/>
        <v>ok</v>
      </c>
    </row>
    <row r="70" ht="60.0" customHeight="1">
      <c r="A70" s="13" t="s">
        <v>1442</v>
      </c>
      <c r="B70" s="13">
        <v>2.0</v>
      </c>
      <c r="C70" s="13" t="s">
        <v>2265</v>
      </c>
      <c r="D70" s="13" t="s">
        <v>1444</v>
      </c>
      <c r="E70" s="13" t="s">
        <v>1445</v>
      </c>
      <c r="F70" s="13" t="s">
        <v>368</v>
      </c>
      <c r="G70" s="4" t="s">
        <v>1442</v>
      </c>
      <c r="H70" s="4" t="s">
        <v>906</v>
      </c>
      <c r="I70" s="4"/>
      <c r="J70" s="4" t="s">
        <v>2111</v>
      </c>
      <c r="K70" s="4" t="s">
        <v>2274</v>
      </c>
      <c r="L70" s="15" t="str">
        <f t="shared" si="1"/>
        <v>ok</v>
      </c>
    </row>
    <row r="71" ht="60.0" customHeight="1">
      <c r="A71" s="13" t="s">
        <v>1447</v>
      </c>
      <c r="B71" s="13">
        <v>2.0</v>
      </c>
      <c r="C71" s="13" t="s">
        <v>2265</v>
      </c>
      <c r="D71" s="13" t="s">
        <v>1449</v>
      </c>
      <c r="E71" s="13" t="s">
        <v>1450</v>
      </c>
      <c r="F71" s="13" t="s">
        <v>97</v>
      </c>
      <c r="G71" s="4" t="s">
        <v>1447</v>
      </c>
      <c r="H71" s="4" t="s">
        <v>906</v>
      </c>
      <c r="I71" s="4"/>
      <c r="J71" s="4" t="s">
        <v>1023</v>
      </c>
      <c r="K71" s="4" t="s">
        <v>2275</v>
      </c>
      <c r="L71" s="15" t="str">
        <f t="shared" si="1"/>
        <v>ok</v>
      </c>
    </row>
    <row r="72" ht="60.0" customHeight="1">
      <c r="A72" s="13" t="s">
        <v>1451</v>
      </c>
      <c r="B72" s="13">
        <v>2.0</v>
      </c>
      <c r="C72" s="13" t="s">
        <v>2265</v>
      </c>
      <c r="D72" s="13" t="s">
        <v>1453</v>
      </c>
      <c r="E72" s="13" t="s">
        <v>1454</v>
      </c>
      <c r="F72" s="13" t="s">
        <v>368</v>
      </c>
      <c r="G72" s="4" t="s">
        <v>1451</v>
      </c>
      <c r="H72" s="4" t="s">
        <v>906</v>
      </c>
      <c r="I72" s="4"/>
      <c r="J72" s="4" t="s">
        <v>2111</v>
      </c>
      <c r="K72" s="4" t="s">
        <v>2276</v>
      </c>
      <c r="L72" s="15" t="str">
        <f t="shared" si="1"/>
        <v>ok</v>
      </c>
    </row>
    <row r="73" ht="60.0" customHeight="1">
      <c r="A73" s="13" t="s">
        <v>1941</v>
      </c>
      <c r="B73" s="13">
        <v>2.0</v>
      </c>
      <c r="C73" s="13" t="s">
        <v>2265</v>
      </c>
      <c r="D73" s="13" t="s">
        <v>1943</v>
      </c>
      <c r="E73" s="13" t="s">
        <v>1944</v>
      </c>
      <c r="F73" s="13" t="s">
        <v>368</v>
      </c>
      <c r="G73" s="4" t="s">
        <v>1941</v>
      </c>
      <c r="H73" s="4" t="s">
        <v>906</v>
      </c>
      <c r="I73" s="4"/>
      <c r="J73" s="4" t="s">
        <v>1023</v>
      </c>
      <c r="K73" s="4" t="s">
        <v>2277</v>
      </c>
      <c r="L73" s="15" t="str">
        <f t="shared" si="1"/>
        <v>ok</v>
      </c>
    </row>
    <row r="74" ht="60.0" customHeight="1">
      <c r="A74" s="13" t="s">
        <v>984</v>
      </c>
      <c r="B74" s="13">
        <v>2.0</v>
      </c>
      <c r="C74" s="13" t="s">
        <v>2278</v>
      </c>
      <c r="D74" s="13" t="s">
        <v>986</v>
      </c>
      <c r="E74" s="13" t="s">
        <v>987</v>
      </c>
      <c r="F74" s="13" t="s">
        <v>368</v>
      </c>
      <c r="G74" s="4" t="s">
        <v>984</v>
      </c>
      <c r="H74" s="4" t="s">
        <v>906</v>
      </c>
      <c r="I74" s="4"/>
      <c r="J74" s="4" t="s">
        <v>1953</v>
      </c>
      <c r="K74" s="4" t="s">
        <v>2279</v>
      </c>
      <c r="L74" s="15" t="str">
        <f t="shared" si="1"/>
        <v>ok</v>
      </c>
    </row>
    <row r="75" ht="60.0" customHeight="1">
      <c r="A75" s="13" t="s">
        <v>613</v>
      </c>
      <c r="B75" s="13">
        <v>2.0</v>
      </c>
      <c r="C75" s="13" t="s">
        <v>2278</v>
      </c>
      <c r="D75" s="13" t="s">
        <v>615</v>
      </c>
      <c r="E75" s="13" t="s">
        <v>616</v>
      </c>
      <c r="F75" s="13" t="s">
        <v>97</v>
      </c>
      <c r="G75" s="4" t="s">
        <v>613</v>
      </c>
      <c r="H75" s="4" t="s">
        <v>98</v>
      </c>
      <c r="I75" s="4" t="s">
        <v>97</v>
      </c>
      <c r="J75" s="4"/>
      <c r="K75" s="4" t="s">
        <v>2280</v>
      </c>
      <c r="L75" s="15" t="str">
        <f t="shared" si="1"/>
        <v>ok</v>
      </c>
    </row>
    <row r="76" ht="60.0" customHeight="1">
      <c r="A76" s="13" t="s">
        <v>1434</v>
      </c>
      <c r="B76" s="13">
        <v>2.0</v>
      </c>
      <c r="C76" s="13" t="s">
        <v>2278</v>
      </c>
      <c r="D76" s="13" t="s">
        <v>1435</v>
      </c>
      <c r="E76" s="13" t="s">
        <v>1436</v>
      </c>
      <c r="F76" s="13" t="s">
        <v>368</v>
      </c>
      <c r="G76" s="4" t="s">
        <v>1434</v>
      </c>
      <c r="H76" s="4" t="s">
        <v>906</v>
      </c>
      <c r="I76" s="4"/>
      <c r="J76" s="4" t="s">
        <v>1023</v>
      </c>
      <c r="K76" s="4" t="s">
        <v>2281</v>
      </c>
      <c r="L76" s="15" t="str">
        <f t="shared" si="1"/>
        <v>ok</v>
      </c>
    </row>
    <row r="77" ht="60.0" customHeight="1">
      <c r="A77" s="13" t="s">
        <v>1815</v>
      </c>
      <c r="B77" s="13">
        <v>2.0</v>
      </c>
      <c r="C77" s="13" t="s">
        <v>2278</v>
      </c>
      <c r="D77" s="13" t="s">
        <v>1817</v>
      </c>
      <c r="E77" s="13" t="s">
        <v>1818</v>
      </c>
      <c r="F77" s="13" t="s">
        <v>368</v>
      </c>
      <c r="G77" s="4" t="s">
        <v>1815</v>
      </c>
      <c r="H77" s="4" t="s">
        <v>906</v>
      </c>
      <c r="I77" s="4"/>
      <c r="J77" s="4" t="s">
        <v>1522</v>
      </c>
      <c r="K77" s="4" t="s">
        <v>2282</v>
      </c>
      <c r="L77" s="15" t="str">
        <f t="shared" si="1"/>
        <v>ok</v>
      </c>
    </row>
    <row r="78" ht="60.0" customHeight="1">
      <c r="A78" s="13" t="s">
        <v>1820</v>
      </c>
      <c r="B78" s="13">
        <v>2.0</v>
      </c>
      <c r="C78" s="13" t="s">
        <v>2278</v>
      </c>
      <c r="D78" s="13" t="s">
        <v>1822</v>
      </c>
      <c r="E78" s="13" t="s">
        <v>1823</v>
      </c>
      <c r="F78" s="13" t="s">
        <v>368</v>
      </c>
      <c r="G78" s="4" t="s">
        <v>1820</v>
      </c>
      <c r="H78" s="4" t="s">
        <v>906</v>
      </c>
      <c r="I78" s="4"/>
      <c r="J78" s="4" t="s">
        <v>1522</v>
      </c>
      <c r="K78" s="4" t="s">
        <v>2283</v>
      </c>
      <c r="L78" s="15" t="str">
        <f t="shared" si="1"/>
        <v>ok</v>
      </c>
    </row>
    <row r="79" ht="60.0" customHeight="1">
      <c r="A79" s="13" t="s">
        <v>617</v>
      </c>
      <c r="B79" s="13">
        <v>2.0</v>
      </c>
      <c r="C79" s="13" t="s">
        <v>2278</v>
      </c>
      <c r="D79" s="13" t="s">
        <v>619</v>
      </c>
      <c r="E79" s="13" t="s">
        <v>620</v>
      </c>
      <c r="F79" s="13" t="s">
        <v>97</v>
      </c>
      <c r="G79" s="4" t="s">
        <v>617</v>
      </c>
      <c r="H79" s="4" t="s">
        <v>98</v>
      </c>
      <c r="I79" s="4" t="s">
        <v>97</v>
      </c>
      <c r="J79" s="4"/>
      <c r="K79" s="4" t="s">
        <v>2284</v>
      </c>
      <c r="L79" s="15" t="str">
        <f t="shared" si="1"/>
        <v>ok</v>
      </c>
    </row>
    <row r="80" ht="60.0" customHeight="1">
      <c r="A80" s="13" t="s">
        <v>2101</v>
      </c>
      <c r="B80" s="13">
        <v>2.0</v>
      </c>
      <c r="C80" s="13" t="s">
        <v>2278</v>
      </c>
      <c r="D80" s="13" t="s">
        <v>2103</v>
      </c>
      <c r="E80" s="13" t="s">
        <v>2104</v>
      </c>
      <c r="F80" s="13" t="s">
        <v>97</v>
      </c>
      <c r="G80" s="4" t="s">
        <v>2101</v>
      </c>
      <c r="H80" s="4" t="s">
        <v>906</v>
      </c>
      <c r="I80" s="4"/>
      <c r="J80" s="4" t="s">
        <v>2083</v>
      </c>
      <c r="K80" s="4" t="s">
        <v>2285</v>
      </c>
      <c r="L80" s="15" t="str">
        <f t="shared" si="1"/>
        <v>ok</v>
      </c>
    </row>
    <row r="81" ht="60.0" customHeight="1">
      <c r="A81" s="13" t="s">
        <v>593</v>
      </c>
      <c r="B81" s="13">
        <v>2.0</v>
      </c>
      <c r="C81" s="13" t="s">
        <v>2286</v>
      </c>
      <c r="D81" s="13" t="s">
        <v>595</v>
      </c>
      <c r="E81" s="13" t="s">
        <v>596</v>
      </c>
      <c r="F81" s="13" t="s">
        <v>368</v>
      </c>
      <c r="G81" s="4" t="s">
        <v>593</v>
      </c>
      <c r="H81" s="4" t="s">
        <v>906</v>
      </c>
      <c r="I81" s="4"/>
      <c r="J81" s="4" t="s">
        <v>2144</v>
      </c>
      <c r="K81" s="4" t="s">
        <v>2287</v>
      </c>
      <c r="L81" s="15" t="str">
        <f t="shared" si="1"/>
        <v>ok</v>
      </c>
    </row>
    <row r="82" ht="60.0" customHeight="1">
      <c r="A82" s="13" t="s">
        <v>979</v>
      </c>
      <c r="B82" s="13">
        <v>2.0</v>
      </c>
      <c r="C82" s="13" t="s">
        <v>2286</v>
      </c>
      <c r="D82" s="13" t="s">
        <v>981</v>
      </c>
      <c r="E82" s="13" t="s">
        <v>982</v>
      </c>
      <c r="F82" s="13" t="s">
        <v>97</v>
      </c>
      <c r="G82" s="4" t="s">
        <v>979</v>
      </c>
      <c r="H82" s="4" t="s">
        <v>906</v>
      </c>
      <c r="I82" s="4"/>
      <c r="J82" s="4" t="s">
        <v>907</v>
      </c>
      <c r="K82" s="4" t="s">
        <v>2288</v>
      </c>
      <c r="L82" s="15" t="str">
        <f t="shared" si="1"/>
        <v>ok</v>
      </c>
    </row>
    <row r="83" ht="60.0" customHeight="1">
      <c r="A83" s="13" t="s">
        <v>598</v>
      </c>
      <c r="B83" s="13">
        <v>2.0</v>
      </c>
      <c r="C83" s="13" t="s">
        <v>2286</v>
      </c>
      <c r="D83" s="13" t="s">
        <v>600</v>
      </c>
      <c r="E83" s="13" t="s">
        <v>601</v>
      </c>
      <c r="F83" s="13" t="s">
        <v>97</v>
      </c>
      <c r="G83" s="4" t="s">
        <v>598</v>
      </c>
      <c r="H83" s="4" t="s">
        <v>98</v>
      </c>
      <c r="I83" s="4" t="s">
        <v>97</v>
      </c>
      <c r="J83" s="4"/>
      <c r="K83" s="4" t="s">
        <v>2289</v>
      </c>
      <c r="L83" s="15" t="str">
        <f t="shared" si="1"/>
        <v>ok</v>
      </c>
    </row>
    <row r="84" ht="60.0" customHeight="1">
      <c r="A84" s="13" t="s">
        <v>2053</v>
      </c>
      <c r="B84" s="13">
        <v>2.0</v>
      </c>
      <c r="C84" s="13" t="s">
        <v>2286</v>
      </c>
      <c r="D84" s="13" t="s">
        <v>2054</v>
      </c>
      <c r="E84" s="13" t="s">
        <v>2055</v>
      </c>
      <c r="F84" s="13" t="s">
        <v>97</v>
      </c>
      <c r="G84" s="4" t="s">
        <v>2053</v>
      </c>
      <c r="H84" s="4" t="s">
        <v>98</v>
      </c>
      <c r="I84" s="4" t="s">
        <v>97</v>
      </c>
      <c r="J84" s="4"/>
      <c r="K84" s="4" t="s">
        <v>2290</v>
      </c>
      <c r="L84" s="15" t="str">
        <f t="shared" si="1"/>
        <v>ok</v>
      </c>
    </row>
    <row r="85" ht="60.0" customHeight="1">
      <c r="A85" s="13" t="s">
        <v>572</v>
      </c>
      <c r="B85" s="13">
        <v>2.0</v>
      </c>
      <c r="C85" s="13" t="s">
        <v>2291</v>
      </c>
      <c r="D85" s="13" t="s">
        <v>574</v>
      </c>
      <c r="E85" s="13" t="s">
        <v>575</v>
      </c>
      <c r="F85" s="13" t="s">
        <v>126</v>
      </c>
      <c r="G85" s="4" t="s">
        <v>572</v>
      </c>
      <c r="H85" s="4" t="s">
        <v>98</v>
      </c>
      <c r="I85" s="4" t="s">
        <v>126</v>
      </c>
      <c r="J85" s="4"/>
      <c r="K85" s="4" t="s">
        <v>2292</v>
      </c>
      <c r="L85" s="15" t="str">
        <f t="shared" si="1"/>
        <v>ok</v>
      </c>
    </row>
    <row r="86" ht="60.0" customHeight="1">
      <c r="A86" s="13" t="s">
        <v>603</v>
      </c>
      <c r="B86" s="13">
        <v>2.0</v>
      </c>
      <c r="C86" s="13" t="s">
        <v>2286</v>
      </c>
      <c r="D86" s="13" t="s">
        <v>605</v>
      </c>
      <c r="E86" s="13" t="s">
        <v>606</v>
      </c>
      <c r="F86" s="13" t="s">
        <v>97</v>
      </c>
      <c r="G86" s="4" t="s">
        <v>603</v>
      </c>
      <c r="H86" s="4" t="s">
        <v>98</v>
      </c>
      <c r="I86" s="4" t="s">
        <v>97</v>
      </c>
      <c r="J86" s="4"/>
      <c r="K86" s="4" t="s">
        <v>2293</v>
      </c>
      <c r="L86" s="15" t="str">
        <f t="shared" si="1"/>
        <v>ok</v>
      </c>
    </row>
    <row r="87" ht="60.0" customHeight="1">
      <c r="A87" s="13" t="s">
        <v>1811</v>
      </c>
      <c r="B87" s="13">
        <v>2.0</v>
      </c>
      <c r="C87" s="13" t="s">
        <v>2286</v>
      </c>
      <c r="D87" s="13" t="s">
        <v>1813</v>
      </c>
      <c r="E87" s="13" t="s">
        <v>1814</v>
      </c>
      <c r="F87" s="13" t="s">
        <v>368</v>
      </c>
      <c r="G87" s="4" t="s">
        <v>1811</v>
      </c>
      <c r="H87" s="4" t="s">
        <v>906</v>
      </c>
      <c r="I87" s="4"/>
      <c r="J87" s="4" t="s">
        <v>1522</v>
      </c>
      <c r="K87" s="4" t="s">
        <v>2294</v>
      </c>
      <c r="L87" s="15" t="str">
        <f t="shared" si="1"/>
        <v>ok</v>
      </c>
    </row>
    <row r="88" ht="60.0" customHeight="1">
      <c r="A88" s="13" t="s">
        <v>2170</v>
      </c>
      <c r="B88" s="13">
        <v>2.0</v>
      </c>
      <c r="C88" s="13" t="s">
        <v>2286</v>
      </c>
      <c r="D88" s="13" t="s">
        <v>2172</v>
      </c>
      <c r="E88" s="13" t="s">
        <v>2173</v>
      </c>
      <c r="F88" s="13" t="s">
        <v>368</v>
      </c>
      <c r="G88" s="4" t="s">
        <v>2170</v>
      </c>
      <c r="H88" s="4" t="s">
        <v>906</v>
      </c>
      <c r="I88" s="4"/>
      <c r="J88" s="4" t="s">
        <v>1953</v>
      </c>
      <c r="K88" s="4" t="s">
        <v>2295</v>
      </c>
      <c r="L88" s="15" t="str">
        <f t="shared" si="1"/>
        <v>ok</v>
      </c>
    </row>
    <row r="89" ht="60.0" customHeight="1">
      <c r="A89" s="13" t="s">
        <v>608</v>
      </c>
      <c r="B89" s="13">
        <v>2.0</v>
      </c>
      <c r="C89" s="13" t="s">
        <v>2286</v>
      </c>
      <c r="D89" s="13" t="s">
        <v>610</v>
      </c>
      <c r="E89" s="13" t="s">
        <v>611</v>
      </c>
      <c r="F89" s="13" t="s">
        <v>97</v>
      </c>
      <c r="G89" s="4" t="s">
        <v>608</v>
      </c>
      <c r="H89" s="4" t="s">
        <v>98</v>
      </c>
      <c r="I89" s="4" t="s">
        <v>97</v>
      </c>
      <c r="J89" s="4"/>
      <c r="K89" s="4" t="s">
        <v>2296</v>
      </c>
      <c r="L89" s="15" t="str">
        <f t="shared" si="1"/>
        <v>ok</v>
      </c>
    </row>
    <row r="90" ht="60.0" customHeight="1">
      <c r="A90" s="13" t="s">
        <v>1421</v>
      </c>
      <c r="B90" s="13">
        <v>2.0</v>
      </c>
      <c r="C90" s="13" t="s">
        <v>2286</v>
      </c>
      <c r="D90" s="13" t="s">
        <v>1423</v>
      </c>
      <c r="E90" s="13" t="s">
        <v>1424</v>
      </c>
      <c r="F90" s="13" t="s">
        <v>368</v>
      </c>
      <c r="G90" s="4" t="s">
        <v>1421</v>
      </c>
      <c r="H90" s="4" t="s">
        <v>906</v>
      </c>
      <c r="I90" s="4"/>
      <c r="J90" s="4" t="s">
        <v>1023</v>
      </c>
      <c r="K90" s="4" t="s">
        <v>2297</v>
      </c>
      <c r="L90" s="15" t="str">
        <f t="shared" si="1"/>
        <v>ok</v>
      </c>
    </row>
    <row r="91" ht="60.0" customHeight="1">
      <c r="A91" s="13" t="s">
        <v>969</v>
      </c>
      <c r="B91" s="13">
        <v>2.0</v>
      </c>
      <c r="C91" s="13" t="s">
        <v>2291</v>
      </c>
      <c r="D91" s="13" t="s">
        <v>971</v>
      </c>
      <c r="E91" s="13" t="s">
        <v>972</v>
      </c>
      <c r="F91" s="13" t="s">
        <v>97</v>
      </c>
      <c r="G91" s="4" t="s">
        <v>969</v>
      </c>
      <c r="H91" s="4" t="s">
        <v>906</v>
      </c>
      <c r="I91" s="4"/>
      <c r="J91" s="4" t="s">
        <v>907</v>
      </c>
      <c r="K91" s="4" t="s">
        <v>2298</v>
      </c>
      <c r="L91" s="15" t="str">
        <f t="shared" si="1"/>
        <v>ok</v>
      </c>
    </row>
    <row r="92" ht="60.0" customHeight="1">
      <c r="A92" s="13" t="s">
        <v>1795</v>
      </c>
      <c r="B92" s="13">
        <v>2.0</v>
      </c>
      <c r="C92" s="13" t="s">
        <v>2291</v>
      </c>
      <c r="D92" s="13" t="s">
        <v>1797</v>
      </c>
      <c r="E92" s="13" t="s">
        <v>1798</v>
      </c>
      <c r="F92" s="13" t="s">
        <v>368</v>
      </c>
      <c r="G92" s="4" t="s">
        <v>1795</v>
      </c>
      <c r="H92" s="4" t="s">
        <v>906</v>
      </c>
      <c r="I92" s="4"/>
      <c r="J92" s="4" t="s">
        <v>1522</v>
      </c>
      <c r="K92" s="4" t="s">
        <v>2299</v>
      </c>
      <c r="L92" s="15" t="str">
        <f t="shared" si="1"/>
        <v>ok</v>
      </c>
    </row>
    <row r="93" ht="60.0" customHeight="1">
      <c r="A93" s="13" t="s">
        <v>1425</v>
      </c>
      <c r="B93" s="13">
        <v>2.0</v>
      </c>
      <c r="C93" s="13" t="s">
        <v>2286</v>
      </c>
      <c r="D93" s="13" t="s">
        <v>1427</v>
      </c>
      <c r="E93" s="13" t="s">
        <v>1428</v>
      </c>
      <c r="F93" s="13" t="s">
        <v>368</v>
      </c>
      <c r="G93" s="4" t="s">
        <v>1425</v>
      </c>
      <c r="H93" s="4" t="s">
        <v>906</v>
      </c>
      <c r="I93" s="4"/>
      <c r="J93" s="4" t="s">
        <v>1023</v>
      </c>
      <c r="K93" s="4" t="s">
        <v>2300</v>
      </c>
      <c r="L93" s="15" t="str">
        <f t="shared" si="1"/>
        <v>ok</v>
      </c>
    </row>
    <row r="94" ht="60.0" customHeight="1">
      <c r="A94" s="13" t="s">
        <v>2048</v>
      </c>
      <c r="B94" s="13">
        <v>2.0</v>
      </c>
      <c r="C94" s="13" t="s">
        <v>2291</v>
      </c>
      <c r="D94" s="13" t="s">
        <v>2050</v>
      </c>
      <c r="E94" s="13" t="s">
        <v>2051</v>
      </c>
      <c r="F94" s="13" t="s">
        <v>97</v>
      </c>
      <c r="G94" s="4" t="s">
        <v>2048</v>
      </c>
      <c r="H94" s="4" t="s">
        <v>906</v>
      </c>
      <c r="I94" s="4"/>
      <c r="J94" s="4" t="s">
        <v>1953</v>
      </c>
      <c r="K94" s="4" t="s">
        <v>2301</v>
      </c>
      <c r="L94" s="15" t="str">
        <f t="shared" si="1"/>
        <v>ok</v>
      </c>
    </row>
    <row r="95" ht="60.0" customHeight="1">
      <c r="A95" s="13" t="s">
        <v>577</v>
      </c>
      <c r="B95" s="13">
        <v>2.0</v>
      </c>
      <c r="C95" s="13" t="s">
        <v>2291</v>
      </c>
      <c r="D95" s="13" t="s">
        <v>579</v>
      </c>
      <c r="E95" s="13" t="s">
        <v>580</v>
      </c>
      <c r="F95" s="13" t="s">
        <v>97</v>
      </c>
      <c r="G95" s="4" t="s">
        <v>577</v>
      </c>
      <c r="H95" s="4" t="s">
        <v>98</v>
      </c>
      <c r="I95" s="4" t="s">
        <v>97</v>
      </c>
      <c r="J95" s="4"/>
      <c r="K95" s="4" t="s">
        <v>2302</v>
      </c>
      <c r="L95" s="15" t="str">
        <f t="shared" si="1"/>
        <v>ok</v>
      </c>
    </row>
    <row r="96" ht="60.0" customHeight="1">
      <c r="A96" s="13" t="s">
        <v>1799</v>
      </c>
      <c r="B96" s="13">
        <v>2.0</v>
      </c>
      <c r="C96" s="13" t="s">
        <v>2291</v>
      </c>
      <c r="D96" s="13" t="s">
        <v>1801</v>
      </c>
      <c r="E96" s="13" t="s">
        <v>1802</v>
      </c>
      <c r="F96" s="13" t="s">
        <v>368</v>
      </c>
      <c r="G96" s="4" t="s">
        <v>1799</v>
      </c>
      <c r="H96" s="4" t="s">
        <v>906</v>
      </c>
      <c r="I96" s="4"/>
      <c r="J96" s="4" t="s">
        <v>1522</v>
      </c>
      <c r="K96" s="4" t="s">
        <v>2303</v>
      </c>
      <c r="L96" s="15" t="str">
        <f t="shared" si="1"/>
        <v>ok</v>
      </c>
    </row>
    <row r="97" ht="60.0" customHeight="1">
      <c r="A97" s="13" t="s">
        <v>1416</v>
      </c>
      <c r="B97" s="13">
        <v>2.0</v>
      </c>
      <c r="C97" s="13" t="s">
        <v>2291</v>
      </c>
      <c r="D97" s="13" t="s">
        <v>1418</v>
      </c>
      <c r="E97" s="13" t="s">
        <v>1419</v>
      </c>
      <c r="F97" s="13" t="s">
        <v>368</v>
      </c>
      <c r="G97" s="4" t="s">
        <v>1416</v>
      </c>
      <c r="H97" s="4" t="s">
        <v>906</v>
      </c>
      <c r="I97" s="4"/>
      <c r="J97" s="4" t="s">
        <v>1023</v>
      </c>
      <c r="K97" s="4" t="s">
        <v>2304</v>
      </c>
      <c r="L97" s="15" t="str">
        <f t="shared" si="1"/>
        <v>ok</v>
      </c>
    </row>
    <row r="98" ht="60.0" customHeight="1">
      <c r="A98" s="13" t="s">
        <v>2043</v>
      </c>
      <c r="B98" s="13">
        <v>2.0</v>
      </c>
      <c r="C98" s="13" t="s">
        <v>2305</v>
      </c>
      <c r="D98" s="13" t="s">
        <v>2045</v>
      </c>
      <c r="E98" s="13" t="s">
        <v>2046</v>
      </c>
      <c r="F98" s="13" t="s">
        <v>368</v>
      </c>
      <c r="G98" s="4" t="s">
        <v>2043</v>
      </c>
      <c r="H98" s="4" t="s">
        <v>906</v>
      </c>
      <c r="I98" s="4"/>
      <c r="J98" s="4" t="s">
        <v>1953</v>
      </c>
      <c r="K98" s="4" t="s">
        <v>2306</v>
      </c>
      <c r="L98" s="15" t="str">
        <f t="shared" si="1"/>
        <v>ok</v>
      </c>
    </row>
    <row r="99" ht="60.0" customHeight="1">
      <c r="A99" s="13" t="s">
        <v>581</v>
      </c>
      <c r="B99" s="13">
        <v>2.0</v>
      </c>
      <c r="C99" s="13" t="s">
        <v>2291</v>
      </c>
      <c r="D99" s="13" t="s">
        <v>583</v>
      </c>
      <c r="E99" s="13" t="s">
        <v>584</v>
      </c>
      <c r="F99" s="13" t="s">
        <v>97</v>
      </c>
      <c r="G99" s="4" t="s">
        <v>581</v>
      </c>
      <c r="H99" s="4" t="s">
        <v>98</v>
      </c>
      <c r="I99" s="4" t="s">
        <v>97</v>
      </c>
      <c r="J99" s="4"/>
      <c r="K99" s="4" t="s">
        <v>2307</v>
      </c>
      <c r="L99" s="15" t="str">
        <f t="shared" si="1"/>
        <v>ok</v>
      </c>
    </row>
    <row r="100" ht="60.0" customHeight="1">
      <c r="A100" s="13" t="s">
        <v>1803</v>
      </c>
      <c r="B100" s="13">
        <v>2.0</v>
      </c>
      <c r="C100" s="13" t="s">
        <v>2291</v>
      </c>
      <c r="D100" s="13" t="s">
        <v>1805</v>
      </c>
      <c r="E100" s="13" t="s">
        <v>1806</v>
      </c>
      <c r="F100" s="13" t="s">
        <v>368</v>
      </c>
      <c r="G100" s="4" t="s">
        <v>1803</v>
      </c>
      <c r="H100" s="4" t="s">
        <v>906</v>
      </c>
      <c r="I100" s="4"/>
      <c r="J100" s="4" t="s">
        <v>2111</v>
      </c>
      <c r="K100" s="4" t="s">
        <v>2308</v>
      </c>
      <c r="L100" s="15" t="str">
        <f t="shared" si="1"/>
        <v>ok</v>
      </c>
    </row>
    <row r="101" ht="60.0" customHeight="1">
      <c r="A101" s="13" t="s">
        <v>1807</v>
      </c>
      <c r="B101" s="13">
        <v>2.0</v>
      </c>
      <c r="C101" s="13" t="s">
        <v>2291</v>
      </c>
      <c r="D101" s="13" t="s">
        <v>1809</v>
      </c>
      <c r="E101" s="13" t="s">
        <v>1810</v>
      </c>
      <c r="F101" s="13" t="s">
        <v>368</v>
      </c>
      <c r="G101" s="4" t="s">
        <v>1807</v>
      </c>
      <c r="H101" s="4" t="s">
        <v>906</v>
      </c>
      <c r="I101" s="4"/>
      <c r="J101" s="4" t="s">
        <v>1522</v>
      </c>
      <c r="K101" s="4" t="s">
        <v>2309</v>
      </c>
      <c r="L101" s="15" t="str">
        <f t="shared" si="1"/>
        <v>ok</v>
      </c>
    </row>
    <row r="102" ht="60.0" customHeight="1">
      <c r="A102" s="13" t="s">
        <v>974</v>
      </c>
      <c r="B102" s="13">
        <v>2.0</v>
      </c>
      <c r="C102" s="13" t="s">
        <v>2291</v>
      </c>
      <c r="D102" s="13" t="s">
        <v>976</v>
      </c>
      <c r="E102" s="13" t="s">
        <v>977</v>
      </c>
      <c r="F102" s="13" t="s">
        <v>97</v>
      </c>
      <c r="G102" s="4" t="s">
        <v>974</v>
      </c>
      <c r="H102" s="4" t="s">
        <v>906</v>
      </c>
      <c r="I102" s="4"/>
      <c r="J102" s="4" t="s">
        <v>1522</v>
      </c>
      <c r="K102" s="4" t="s">
        <v>2310</v>
      </c>
      <c r="L102" s="15" t="str">
        <f t="shared" si="1"/>
        <v>ok</v>
      </c>
    </row>
    <row r="103" ht="60.0" customHeight="1">
      <c r="A103" s="13" t="s">
        <v>1429</v>
      </c>
      <c r="B103" s="13">
        <v>2.0</v>
      </c>
      <c r="C103" s="13" t="s">
        <v>2286</v>
      </c>
      <c r="D103" s="13" t="s">
        <v>1431</v>
      </c>
      <c r="E103" s="13" t="s">
        <v>1432</v>
      </c>
      <c r="F103" s="13" t="s">
        <v>368</v>
      </c>
      <c r="G103" s="4" t="s">
        <v>1429</v>
      </c>
      <c r="H103" s="4" t="s">
        <v>906</v>
      </c>
      <c r="I103" s="4"/>
      <c r="J103" s="4" t="s">
        <v>2111</v>
      </c>
      <c r="K103" s="4" t="s">
        <v>2311</v>
      </c>
      <c r="L103" s="15" t="str">
        <f t="shared" si="1"/>
        <v>ok</v>
      </c>
    </row>
    <row r="104" ht="60.0" customHeight="1">
      <c r="A104" s="13" t="s">
        <v>585</v>
      </c>
      <c r="B104" s="13">
        <v>2.0</v>
      </c>
      <c r="C104" s="13" t="s">
        <v>2291</v>
      </c>
      <c r="D104" s="13" t="s">
        <v>587</v>
      </c>
      <c r="E104" s="13" t="s">
        <v>588</v>
      </c>
      <c r="F104" s="13" t="s">
        <v>368</v>
      </c>
      <c r="G104" s="4" t="s">
        <v>585</v>
      </c>
      <c r="H104" s="4" t="s">
        <v>98</v>
      </c>
      <c r="I104" s="4" t="s">
        <v>126</v>
      </c>
      <c r="J104" s="4"/>
      <c r="K104" s="4" t="s">
        <v>2312</v>
      </c>
      <c r="L104" s="15" t="str">
        <f t="shared" si="1"/>
        <v>ok</v>
      </c>
    </row>
    <row r="105" ht="60.0" customHeight="1">
      <c r="A105" s="13" t="s">
        <v>589</v>
      </c>
      <c r="B105" s="13">
        <v>2.0</v>
      </c>
      <c r="C105" s="13" t="s">
        <v>2291</v>
      </c>
      <c r="D105" s="13" t="s">
        <v>591</v>
      </c>
      <c r="E105" s="13" t="s">
        <v>592</v>
      </c>
      <c r="F105" s="13" t="s">
        <v>97</v>
      </c>
      <c r="G105" s="4" t="s">
        <v>589</v>
      </c>
      <c r="H105" s="4" t="s">
        <v>98</v>
      </c>
      <c r="I105" s="4" t="s">
        <v>97</v>
      </c>
      <c r="J105" s="4"/>
      <c r="K105" s="4" t="s">
        <v>2313</v>
      </c>
      <c r="L105" s="15" t="str">
        <f t="shared" si="1"/>
        <v>ok</v>
      </c>
    </row>
    <row r="106" ht="60.0" customHeight="1">
      <c r="A106" s="13" t="s">
        <v>566</v>
      </c>
      <c r="B106" s="13">
        <v>2.0</v>
      </c>
      <c r="C106" s="13" t="s">
        <v>2305</v>
      </c>
      <c r="D106" s="13" t="s">
        <v>567</v>
      </c>
      <c r="E106" s="13" t="s">
        <v>568</v>
      </c>
      <c r="F106" s="13" t="s">
        <v>97</v>
      </c>
      <c r="G106" s="4" t="s">
        <v>566</v>
      </c>
      <c r="H106" s="4" t="s">
        <v>98</v>
      </c>
      <c r="I106" s="4" t="s">
        <v>97</v>
      </c>
      <c r="J106" s="4"/>
      <c r="K106" s="4" t="s">
        <v>2314</v>
      </c>
      <c r="L106" s="15" t="str">
        <f t="shared" si="1"/>
        <v>ok</v>
      </c>
    </row>
    <row r="107" ht="60.0" customHeight="1">
      <c r="A107" s="13" t="s">
        <v>1786</v>
      </c>
      <c r="B107" s="13">
        <v>3.0</v>
      </c>
      <c r="C107" s="13" t="s">
        <v>2305</v>
      </c>
      <c r="D107" s="13" t="s">
        <v>1788</v>
      </c>
      <c r="E107" s="13" t="s">
        <v>1789</v>
      </c>
      <c r="F107" s="13" t="s">
        <v>368</v>
      </c>
      <c r="G107" s="4" t="s">
        <v>1786</v>
      </c>
      <c r="H107" s="4" t="s">
        <v>906</v>
      </c>
      <c r="I107" s="4"/>
      <c r="J107" s="4" t="s">
        <v>907</v>
      </c>
      <c r="K107" s="4" t="s">
        <v>2315</v>
      </c>
      <c r="L107" s="15" t="str">
        <f t="shared" si="1"/>
        <v>ok</v>
      </c>
    </row>
    <row r="108" ht="60.0" customHeight="1">
      <c r="A108" s="13" t="s">
        <v>569</v>
      </c>
      <c r="B108" s="13">
        <v>3.0</v>
      </c>
      <c r="C108" s="13" t="s">
        <v>2305</v>
      </c>
      <c r="D108" s="13" t="s">
        <v>570</v>
      </c>
      <c r="E108" s="13" t="s">
        <v>571</v>
      </c>
      <c r="F108" s="13" t="s">
        <v>97</v>
      </c>
      <c r="G108" s="4" t="s">
        <v>569</v>
      </c>
      <c r="H108" s="4" t="s">
        <v>98</v>
      </c>
      <c r="I108" s="4" t="s">
        <v>97</v>
      </c>
      <c r="J108" s="4"/>
      <c r="K108" s="4" t="s">
        <v>2316</v>
      </c>
      <c r="L108" s="15" t="str">
        <f t="shared" si="1"/>
        <v>ok</v>
      </c>
    </row>
    <row r="109" ht="60.0" customHeight="1">
      <c r="A109" s="13" t="s">
        <v>550</v>
      </c>
      <c r="B109" s="13">
        <v>3.0</v>
      </c>
      <c r="C109" s="13" t="s">
        <v>2317</v>
      </c>
      <c r="D109" s="13" t="s">
        <v>552</v>
      </c>
      <c r="E109" s="13" t="s">
        <v>553</v>
      </c>
      <c r="F109" s="13" t="s">
        <v>126</v>
      </c>
      <c r="G109" s="4" t="s">
        <v>550</v>
      </c>
      <c r="H109" s="4" t="s">
        <v>98</v>
      </c>
      <c r="I109" s="4" t="s">
        <v>126</v>
      </c>
      <c r="J109" s="4"/>
      <c r="K109" s="4" t="s">
        <v>2318</v>
      </c>
      <c r="L109" s="15" t="str">
        <f t="shared" si="1"/>
        <v>ok</v>
      </c>
    </row>
    <row r="110" ht="60.0" customHeight="1">
      <c r="A110" s="13" t="s">
        <v>964</v>
      </c>
      <c r="B110" s="13">
        <v>3.0</v>
      </c>
      <c r="C110" s="13" t="s">
        <v>2305</v>
      </c>
      <c r="D110" s="13" t="s">
        <v>966</v>
      </c>
      <c r="E110" s="13" t="s">
        <v>967</v>
      </c>
      <c r="F110" s="13" t="s">
        <v>97</v>
      </c>
      <c r="G110" s="4" t="s">
        <v>964</v>
      </c>
      <c r="H110" s="4" t="s">
        <v>906</v>
      </c>
      <c r="I110" s="4"/>
      <c r="J110" s="4" t="s">
        <v>907</v>
      </c>
      <c r="K110" s="4" t="s">
        <v>2319</v>
      </c>
      <c r="L110" s="15" t="str">
        <f t="shared" si="1"/>
        <v>ok</v>
      </c>
    </row>
    <row r="111" ht="60.0" customHeight="1">
      <c r="A111" s="13" t="s">
        <v>2158</v>
      </c>
      <c r="B111" s="13">
        <v>3.0</v>
      </c>
      <c r="C111" s="13" t="s">
        <v>2317</v>
      </c>
      <c r="D111" s="13" t="s">
        <v>2160</v>
      </c>
      <c r="E111" s="13" t="s">
        <v>2161</v>
      </c>
      <c r="F111" s="13" t="s">
        <v>126</v>
      </c>
      <c r="G111" s="4" t="s">
        <v>2158</v>
      </c>
      <c r="H111" s="4" t="s">
        <v>906</v>
      </c>
      <c r="I111" s="4"/>
      <c r="J111" s="4" t="s">
        <v>2144</v>
      </c>
      <c r="K111" s="4" t="s">
        <v>2320</v>
      </c>
      <c r="L111" s="15" t="str">
        <f t="shared" si="1"/>
        <v>ok</v>
      </c>
    </row>
    <row r="112" ht="60.0" customHeight="1">
      <c r="A112" s="13" t="s">
        <v>888</v>
      </c>
      <c r="B112" s="13">
        <v>3.0</v>
      </c>
      <c r="C112" s="13" t="s">
        <v>2305</v>
      </c>
      <c r="D112" s="13" t="s">
        <v>889</v>
      </c>
      <c r="E112" s="13" t="s">
        <v>890</v>
      </c>
      <c r="F112" s="13" t="s">
        <v>97</v>
      </c>
      <c r="G112" s="4" t="s">
        <v>888</v>
      </c>
      <c r="H112" s="4" t="s">
        <v>906</v>
      </c>
      <c r="I112" s="4"/>
      <c r="J112" s="4" t="s">
        <v>2111</v>
      </c>
      <c r="K112" s="4" t="s">
        <v>2321</v>
      </c>
      <c r="L112" s="15" t="str">
        <f t="shared" si="1"/>
        <v>ok</v>
      </c>
    </row>
    <row r="113" ht="60.0" customHeight="1">
      <c r="A113" s="13" t="s">
        <v>892</v>
      </c>
      <c r="B113" s="13">
        <v>3.0</v>
      </c>
      <c r="C113" s="13" t="s">
        <v>2305</v>
      </c>
      <c r="D113" s="13" t="s">
        <v>893</v>
      </c>
      <c r="E113" s="13" t="s">
        <v>894</v>
      </c>
      <c r="F113" s="13" t="s">
        <v>97</v>
      </c>
      <c r="G113" s="4" t="s">
        <v>892</v>
      </c>
      <c r="H113" s="4" t="s">
        <v>694</v>
      </c>
      <c r="I113" s="4"/>
      <c r="J113" s="4"/>
      <c r="K113" s="4" t="s">
        <v>2322</v>
      </c>
      <c r="L113" s="15" t="str">
        <f t="shared" si="1"/>
        <v>ok</v>
      </c>
    </row>
    <row r="114" ht="60.0" customHeight="1">
      <c r="A114" s="13" t="s">
        <v>948</v>
      </c>
      <c r="B114" s="13">
        <v>3.0</v>
      </c>
      <c r="C114" s="13" t="s">
        <v>2317</v>
      </c>
      <c r="D114" s="13" t="s">
        <v>950</v>
      </c>
      <c r="E114" s="13" t="s">
        <v>951</v>
      </c>
      <c r="F114" s="13" t="s">
        <v>97</v>
      </c>
      <c r="G114" s="4" t="s">
        <v>948</v>
      </c>
      <c r="H114" s="4" t="s">
        <v>906</v>
      </c>
      <c r="I114" s="4"/>
      <c r="J114" s="4" t="s">
        <v>907</v>
      </c>
      <c r="K114" s="4" t="s">
        <v>2323</v>
      </c>
      <c r="L114" s="15" t="str">
        <f t="shared" si="1"/>
        <v>ok</v>
      </c>
    </row>
    <row r="115" ht="60.0" customHeight="1">
      <c r="A115" s="13" t="s">
        <v>896</v>
      </c>
      <c r="B115" s="13">
        <v>3.0</v>
      </c>
      <c r="C115" s="13" t="s">
        <v>2305</v>
      </c>
      <c r="D115" s="13" t="s">
        <v>898</v>
      </c>
      <c r="E115" s="13" t="s">
        <v>899</v>
      </c>
      <c r="F115" s="13" t="s">
        <v>126</v>
      </c>
      <c r="G115" s="4" t="s">
        <v>896</v>
      </c>
      <c r="H115" s="4" t="s">
        <v>694</v>
      </c>
      <c r="I115" s="4"/>
      <c r="J115" s="4"/>
      <c r="K115" s="4" t="s">
        <v>2324</v>
      </c>
      <c r="L115" s="15" t="str">
        <f t="shared" si="1"/>
        <v>ok</v>
      </c>
    </row>
    <row r="116" ht="60.0" customHeight="1">
      <c r="A116" s="13" t="s">
        <v>2096</v>
      </c>
      <c r="B116" s="13">
        <v>3.0</v>
      </c>
      <c r="C116" s="13" t="s">
        <v>2305</v>
      </c>
      <c r="D116" s="13" t="s">
        <v>2098</v>
      </c>
      <c r="E116" s="13" t="s">
        <v>2099</v>
      </c>
      <c r="F116" s="13" t="s">
        <v>368</v>
      </c>
      <c r="G116" s="4" t="s">
        <v>2096</v>
      </c>
      <c r="H116" s="4" t="s">
        <v>906</v>
      </c>
      <c r="I116" s="4"/>
      <c r="J116" s="4" t="s">
        <v>2083</v>
      </c>
      <c r="K116" s="4" t="s">
        <v>2325</v>
      </c>
      <c r="L116" s="15" t="str">
        <f t="shared" si="1"/>
        <v>ok</v>
      </c>
    </row>
    <row r="117" ht="60.0" customHeight="1">
      <c r="A117" s="13" t="s">
        <v>1790</v>
      </c>
      <c r="B117" s="13">
        <v>3.0</v>
      </c>
      <c r="C117" s="13" t="s">
        <v>2305</v>
      </c>
      <c r="D117" s="13" t="s">
        <v>1792</v>
      </c>
      <c r="E117" s="13" t="s">
        <v>1793</v>
      </c>
      <c r="F117" s="13" t="s">
        <v>97</v>
      </c>
      <c r="G117" s="4" t="s">
        <v>1790</v>
      </c>
      <c r="H117" s="4" t="s">
        <v>906</v>
      </c>
      <c r="I117" s="4"/>
      <c r="J117" s="4" t="s">
        <v>1522</v>
      </c>
      <c r="K117" s="4" t="s">
        <v>2326</v>
      </c>
      <c r="L117" s="15" t="str">
        <f t="shared" si="1"/>
        <v>ok</v>
      </c>
    </row>
    <row r="118" ht="60.0" customHeight="1">
      <c r="A118" s="13" t="s">
        <v>954</v>
      </c>
      <c r="B118" s="13">
        <v>3.0</v>
      </c>
      <c r="C118" s="13" t="s">
        <v>2317</v>
      </c>
      <c r="D118" s="13" t="s">
        <v>956</v>
      </c>
      <c r="E118" s="13" t="s">
        <v>957</v>
      </c>
      <c r="F118" s="13" t="s">
        <v>368</v>
      </c>
      <c r="G118" s="4" t="s">
        <v>954</v>
      </c>
      <c r="H118" s="4" t="s">
        <v>906</v>
      </c>
      <c r="I118" s="4"/>
      <c r="J118" s="4" t="s">
        <v>907</v>
      </c>
      <c r="K118" s="4" t="s">
        <v>2327</v>
      </c>
      <c r="L118" s="15" t="str">
        <f t="shared" si="1"/>
        <v>ok</v>
      </c>
    </row>
    <row r="119" ht="60.0" customHeight="1">
      <c r="A119" s="13" t="s">
        <v>2162</v>
      </c>
      <c r="B119" s="13">
        <v>3.0</v>
      </c>
      <c r="C119" s="13" t="s">
        <v>2317</v>
      </c>
      <c r="D119" s="13" t="s">
        <v>2164</v>
      </c>
      <c r="E119" s="13" t="s">
        <v>2165</v>
      </c>
      <c r="F119" s="13" t="s">
        <v>368</v>
      </c>
      <c r="G119" s="4" t="s">
        <v>2162</v>
      </c>
      <c r="H119" s="4" t="s">
        <v>906</v>
      </c>
      <c r="I119" s="4"/>
      <c r="J119" s="4" t="s">
        <v>2144</v>
      </c>
      <c r="K119" s="4" t="s">
        <v>2328</v>
      </c>
      <c r="L119" s="15" t="str">
        <f t="shared" si="1"/>
        <v>ok</v>
      </c>
    </row>
    <row r="120" ht="60.0" customHeight="1">
      <c r="A120" s="13" t="s">
        <v>874</v>
      </c>
      <c r="B120" s="13">
        <v>3.0</v>
      </c>
      <c r="C120" s="13" t="s">
        <v>2317</v>
      </c>
      <c r="D120" s="13" t="s">
        <v>875</v>
      </c>
      <c r="E120" s="13" t="s">
        <v>876</v>
      </c>
      <c r="F120" s="13" t="s">
        <v>97</v>
      </c>
      <c r="G120" s="4" t="s">
        <v>874</v>
      </c>
      <c r="H120" s="4" t="s">
        <v>694</v>
      </c>
      <c r="I120" s="4"/>
      <c r="J120" s="4"/>
      <c r="K120" s="4" t="s">
        <v>2329</v>
      </c>
      <c r="L120" s="15" t="str">
        <f t="shared" si="1"/>
        <v>ok</v>
      </c>
    </row>
    <row r="121" ht="60.0" customHeight="1">
      <c r="A121" s="13" t="s">
        <v>554</v>
      </c>
      <c r="B121" s="13">
        <v>3.0</v>
      </c>
      <c r="C121" s="13" t="s">
        <v>2317</v>
      </c>
      <c r="D121" s="13" t="s">
        <v>556</v>
      </c>
      <c r="E121" s="13" t="s">
        <v>557</v>
      </c>
      <c r="F121" s="13" t="s">
        <v>97</v>
      </c>
      <c r="G121" s="4" t="s">
        <v>554</v>
      </c>
      <c r="H121" s="4" t="s">
        <v>98</v>
      </c>
      <c r="I121" s="4" t="s">
        <v>97</v>
      </c>
      <c r="J121" s="4"/>
      <c r="K121" s="4" t="s">
        <v>2330</v>
      </c>
      <c r="L121" s="15" t="str">
        <f t="shared" si="1"/>
        <v>ok</v>
      </c>
    </row>
    <row r="122" ht="60.0" customHeight="1">
      <c r="A122" s="13" t="s">
        <v>878</v>
      </c>
      <c r="B122" s="13">
        <v>3.0</v>
      </c>
      <c r="C122" s="13" t="s">
        <v>2317</v>
      </c>
      <c r="D122" s="13" t="s">
        <v>879</v>
      </c>
      <c r="E122" s="13" t="s">
        <v>880</v>
      </c>
      <c r="F122" s="13" t="s">
        <v>97</v>
      </c>
      <c r="G122" s="4" t="s">
        <v>878</v>
      </c>
      <c r="H122" s="4" t="s">
        <v>906</v>
      </c>
      <c r="I122" s="4"/>
      <c r="J122" s="4" t="s">
        <v>1953</v>
      </c>
      <c r="K122" s="4" t="s">
        <v>2331</v>
      </c>
      <c r="L122" s="15" t="str">
        <f t="shared" si="1"/>
        <v>ok</v>
      </c>
    </row>
    <row r="123" ht="60.0" customHeight="1">
      <c r="A123" s="13" t="s">
        <v>1407</v>
      </c>
      <c r="B123" s="13">
        <v>3.0</v>
      </c>
      <c r="C123" s="13" t="s">
        <v>2317</v>
      </c>
      <c r="D123" s="13" t="s">
        <v>1409</v>
      </c>
      <c r="E123" s="13" t="s">
        <v>1410</v>
      </c>
      <c r="F123" s="13" t="s">
        <v>368</v>
      </c>
      <c r="G123" s="4" t="s">
        <v>1407</v>
      </c>
      <c r="H123" s="4" t="s">
        <v>906</v>
      </c>
      <c r="I123" s="4"/>
      <c r="J123" s="4" t="s">
        <v>907</v>
      </c>
      <c r="K123" s="4" t="s">
        <v>2332</v>
      </c>
      <c r="L123" s="15" t="str">
        <f t="shared" si="1"/>
        <v>ok</v>
      </c>
    </row>
    <row r="124" ht="60.0" customHeight="1">
      <c r="A124" s="13" t="s">
        <v>558</v>
      </c>
      <c r="B124" s="13">
        <v>3.0</v>
      </c>
      <c r="C124" s="13" t="s">
        <v>2317</v>
      </c>
      <c r="D124" s="13" t="s">
        <v>560</v>
      </c>
      <c r="E124" s="13" t="s">
        <v>561</v>
      </c>
      <c r="F124" s="13" t="s">
        <v>97</v>
      </c>
      <c r="G124" s="4" t="s">
        <v>558</v>
      </c>
      <c r="H124" s="4" t="s">
        <v>98</v>
      </c>
      <c r="I124" s="4" t="s">
        <v>97</v>
      </c>
      <c r="J124" s="4"/>
      <c r="K124" s="4" t="s">
        <v>2333</v>
      </c>
      <c r="L124" s="15" t="str">
        <f t="shared" si="1"/>
        <v>ok</v>
      </c>
    </row>
    <row r="125" ht="60.0" customHeight="1">
      <c r="A125" s="13" t="s">
        <v>2130</v>
      </c>
      <c r="B125" s="13">
        <v>3.0</v>
      </c>
      <c r="C125" s="13" t="s">
        <v>2317</v>
      </c>
      <c r="D125" s="13" t="s">
        <v>2132</v>
      </c>
      <c r="E125" s="13" t="s">
        <v>2133</v>
      </c>
      <c r="F125" s="13" t="s">
        <v>368</v>
      </c>
      <c r="G125" s="4" t="s">
        <v>2130</v>
      </c>
      <c r="H125" s="4" t="s">
        <v>906</v>
      </c>
      <c r="I125" s="4"/>
      <c r="J125" s="4" t="s">
        <v>2111</v>
      </c>
      <c r="K125" s="4" t="s">
        <v>2334</v>
      </c>
      <c r="L125" s="15" t="str">
        <f t="shared" si="1"/>
        <v>ok</v>
      </c>
    </row>
    <row r="126" ht="60.0" customHeight="1">
      <c r="A126" s="13" t="s">
        <v>2034</v>
      </c>
      <c r="B126" s="13">
        <v>3.0</v>
      </c>
      <c r="C126" s="13" t="s">
        <v>2335</v>
      </c>
      <c r="D126" s="13" t="s">
        <v>2036</v>
      </c>
      <c r="E126" s="13" t="s">
        <v>2037</v>
      </c>
      <c r="F126" s="13" t="s">
        <v>97</v>
      </c>
      <c r="G126" s="4" t="s">
        <v>2034</v>
      </c>
      <c r="H126" s="4" t="s">
        <v>906</v>
      </c>
      <c r="I126" s="4"/>
      <c r="J126" s="4" t="s">
        <v>1953</v>
      </c>
      <c r="K126" s="4" t="s">
        <v>2336</v>
      </c>
      <c r="L126" s="15" t="str">
        <f t="shared" si="1"/>
        <v>ok</v>
      </c>
    </row>
    <row r="127" ht="60.0" customHeight="1">
      <c r="A127" s="13" t="s">
        <v>883</v>
      </c>
      <c r="B127" s="13">
        <v>3.0</v>
      </c>
      <c r="C127" s="13" t="s">
        <v>2317</v>
      </c>
      <c r="D127" s="13" t="s">
        <v>884</v>
      </c>
      <c r="E127" s="13" t="s">
        <v>885</v>
      </c>
      <c r="F127" s="13" t="s">
        <v>97</v>
      </c>
      <c r="G127" s="4" t="s">
        <v>883</v>
      </c>
      <c r="H127" s="4" t="s">
        <v>694</v>
      </c>
      <c r="I127" s="4"/>
      <c r="J127" s="4"/>
      <c r="K127" s="4" t="s">
        <v>2337</v>
      </c>
      <c r="L127" s="15" t="str">
        <f t="shared" si="1"/>
        <v>ok</v>
      </c>
    </row>
    <row r="128" ht="60.0" customHeight="1">
      <c r="A128" s="13" t="s">
        <v>862</v>
      </c>
      <c r="B128" s="13">
        <v>3.0</v>
      </c>
      <c r="C128" s="13" t="s">
        <v>2335</v>
      </c>
      <c r="D128" s="13" t="s">
        <v>864</v>
      </c>
      <c r="E128" s="13" t="s">
        <v>865</v>
      </c>
      <c r="F128" s="13" t="s">
        <v>126</v>
      </c>
      <c r="G128" s="4" t="s">
        <v>862</v>
      </c>
      <c r="H128" s="4" t="s">
        <v>694</v>
      </c>
      <c r="I128" s="4"/>
      <c r="J128" s="4"/>
      <c r="K128" s="4" t="s">
        <v>2338</v>
      </c>
      <c r="L128" s="15" t="str">
        <f t="shared" si="1"/>
        <v>ok</v>
      </c>
    </row>
    <row r="129" ht="60.0" customHeight="1">
      <c r="A129" s="13" t="s">
        <v>2166</v>
      </c>
      <c r="B129" s="13">
        <v>3.0</v>
      </c>
      <c r="C129" s="13" t="s">
        <v>2317</v>
      </c>
      <c r="D129" s="13" t="s">
        <v>2168</v>
      </c>
      <c r="E129" s="13" t="s">
        <v>2169</v>
      </c>
      <c r="F129" s="13" t="s">
        <v>368</v>
      </c>
      <c r="G129" s="4" t="s">
        <v>2166</v>
      </c>
      <c r="H129" s="4" t="s">
        <v>906</v>
      </c>
      <c r="I129" s="4"/>
      <c r="J129" s="4" t="s">
        <v>2144</v>
      </c>
      <c r="K129" s="4" t="s">
        <v>2339</v>
      </c>
      <c r="L129" s="15" t="str">
        <f t="shared" si="1"/>
        <v>ok</v>
      </c>
    </row>
    <row r="130" ht="60.0" customHeight="1">
      <c r="A130" s="13" t="s">
        <v>1411</v>
      </c>
      <c r="B130" s="13">
        <v>3.0</v>
      </c>
      <c r="C130" s="13" t="s">
        <v>2317</v>
      </c>
      <c r="D130" s="13" t="s">
        <v>1413</v>
      </c>
      <c r="E130" s="13" t="s">
        <v>1414</v>
      </c>
      <c r="F130" s="13" t="s">
        <v>368</v>
      </c>
      <c r="G130" s="4" t="s">
        <v>1411</v>
      </c>
      <c r="H130" s="4" t="s">
        <v>906</v>
      </c>
      <c r="I130" s="4"/>
      <c r="J130" s="4" t="s">
        <v>1023</v>
      </c>
      <c r="K130" s="4" t="s">
        <v>2340</v>
      </c>
      <c r="L130" s="15" t="str">
        <f t="shared" si="1"/>
        <v>ok</v>
      </c>
    </row>
    <row r="131" ht="60.0" customHeight="1">
      <c r="A131" s="13" t="s">
        <v>959</v>
      </c>
      <c r="B131" s="13">
        <v>3.0</v>
      </c>
      <c r="C131" s="13" t="s">
        <v>2317</v>
      </c>
      <c r="D131" s="13" t="s">
        <v>961</v>
      </c>
      <c r="E131" s="13" t="s">
        <v>962</v>
      </c>
      <c r="F131" s="13" t="s">
        <v>97</v>
      </c>
      <c r="G131" s="4" t="s">
        <v>959</v>
      </c>
      <c r="H131" s="4" t="s">
        <v>906</v>
      </c>
      <c r="I131" s="4"/>
      <c r="J131" s="4" t="s">
        <v>907</v>
      </c>
      <c r="K131" s="4" t="s">
        <v>2341</v>
      </c>
      <c r="L131" s="15" t="str">
        <f t="shared" si="1"/>
        <v>ok</v>
      </c>
    </row>
    <row r="132" ht="60.0" customHeight="1">
      <c r="A132" s="13" t="s">
        <v>562</v>
      </c>
      <c r="B132" s="13">
        <v>3.0</v>
      </c>
      <c r="C132" s="13" t="s">
        <v>2317</v>
      </c>
      <c r="D132" s="13" t="s">
        <v>564</v>
      </c>
      <c r="E132" s="13" t="s">
        <v>565</v>
      </c>
      <c r="F132" s="13" t="s">
        <v>126</v>
      </c>
      <c r="G132" s="4" t="s">
        <v>562</v>
      </c>
      <c r="H132" s="4" t="s">
        <v>98</v>
      </c>
      <c r="I132" s="4" t="s">
        <v>126</v>
      </c>
      <c r="J132" s="4"/>
      <c r="K132" s="4" t="s">
        <v>2342</v>
      </c>
      <c r="L132" s="15" t="str">
        <f t="shared" si="1"/>
        <v>ok</v>
      </c>
    </row>
    <row r="133" ht="60.0" customHeight="1">
      <c r="A133" s="13" t="s">
        <v>536</v>
      </c>
      <c r="B133" s="13">
        <v>3.0</v>
      </c>
      <c r="C133" s="13" t="s">
        <v>2335</v>
      </c>
      <c r="D133" s="13" t="s">
        <v>538</v>
      </c>
      <c r="E133" s="13" t="s">
        <v>539</v>
      </c>
      <c r="F133" s="13" t="s">
        <v>97</v>
      </c>
      <c r="G133" s="4" t="s">
        <v>536</v>
      </c>
      <c r="H133" s="4" t="s">
        <v>98</v>
      </c>
      <c r="I133" s="4" t="s">
        <v>97</v>
      </c>
      <c r="J133" s="4"/>
      <c r="K133" s="4" t="s">
        <v>2343</v>
      </c>
      <c r="L133" s="15" t="str">
        <f t="shared" si="1"/>
        <v>ok</v>
      </c>
    </row>
    <row r="134" ht="60.0" customHeight="1">
      <c r="A134" s="13" t="s">
        <v>1384</v>
      </c>
      <c r="B134" s="13">
        <v>3.0</v>
      </c>
      <c r="C134" s="13" t="s">
        <v>2335</v>
      </c>
      <c r="D134" s="13" t="s">
        <v>1386</v>
      </c>
      <c r="E134" s="13" t="s">
        <v>1387</v>
      </c>
      <c r="F134" s="13" t="s">
        <v>368</v>
      </c>
      <c r="G134" s="4" t="s">
        <v>1384</v>
      </c>
      <c r="H134" s="4" t="s">
        <v>906</v>
      </c>
      <c r="I134" s="4"/>
      <c r="J134" s="4" t="s">
        <v>1023</v>
      </c>
      <c r="K134" s="4" t="s">
        <v>2344</v>
      </c>
      <c r="L134" s="15" t="str">
        <f t="shared" si="1"/>
        <v>ok</v>
      </c>
    </row>
    <row r="135" ht="60.0" customHeight="1">
      <c r="A135" s="13" t="s">
        <v>1774</v>
      </c>
      <c r="B135" s="13">
        <v>3.0</v>
      </c>
      <c r="C135" s="13" t="s">
        <v>2335</v>
      </c>
      <c r="D135" s="13" t="s">
        <v>1776</v>
      </c>
      <c r="E135" s="13" t="s">
        <v>1777</v>
      </c>
      <c r="F135" s="13" t="s">
        <v>368</v>
      </c>
      <c r="G135" s="4" t="s">
        <v>1774</v>
      </c>
      <c r="H135" s="4" t="s">
        <v>906</v>
      </c>
      <c r="I135" s="4"/>
      <c r="J135" s="4" t="s">
        <v>1023</v>
      </c>
      <c r="K135" s="4" t="s">
        <v>2345</v>
      </c>
      <c r="L135" s="15" t="str">
        <f t="shared" si="1"/>
        <v>ok</v>
      </c>
    </row>
    <row r="136" ht="60.0" customHeight="1">
      <c r="A136" s="13" t="s">
        <v>2039</v>
      </c>
      <c r="B136" s="13">
        <v>3.0</v>
      </c>
      <c r="C136" s="13" t="s">
        <v>2335</v>
      </c>
      <c r="D136" s="13" t="s">
        <v>2041</v>
      </c>
      <c r="E136" s="13" t="s">
        <v>2042</v>
      </c>
      <c r="F136" s="13" t="s">
        <v>97</v>
      </c>
      <c r="G136" s="4" t="s">
        <v>2039</v>
      </c>
      <c r="H136" s="4" t="s">
        <v>906</v>
      </c>
      <c r="I136" s="4"/>
      <c r="J136" s="4" t="s">
        <v>1953</v>
      </c>
      <c r="K136" s="4" t="s">
        <v>2346</v>
      </c>
      <c r="L136" s="15" t="str">
        <f t="shared" si="1"/>
        <v>ok</v>
      </c>
    </row>
    <row r="137" ht="60.0" customHeight="1">
      <c r="A137" s="13" t="s">
        <v>540</v>
      </c>
      <c r="B137" s="13">
        <v>3.0</v>
      </c>
      <c r="C137" s="13" t="s">
        <v>2335</v>
      </c>
      <c r="D137" s="13" t="s">
        <v>542</v>
      </c>
      <c r="E137" s="13" t="s">
        <v>543</v>
      </c>
      <c r="F137" s="13" t="s">
        <v>97</v>
      </c>
      <c r="G137" s="4" t="s">
        <v>540</v>
      </c>
      <c r="H137" s="4" t="s">
        <v>98</v>
      </c>
      <c r="I137" s="4" t="s">
        <v>97</v>
      </c>
      <c r="J137" s="4"/>
      <c r="K137" s="4" t="s">
        <v>2347</v>
      </c>
      <c r="L137" s="15" t="str">
        <f t="shared" si="1"/>
        <v>ok</v>
      </c>
    </row>
    <row r="138" ht="60.0" customHeight="1">
      <c r="A138" s="13" t="s">
        <v>1389</v>
      </c>
      <c r="B138" s="13">
        <v>3.0</v>
      </c>
      <c r="C138" s="13" t="s">
        <v>2335</v>
      </c>
      <c r="D138" s="13" t="s">
        <v>1390</v>
      </c>
      <c r="E138" s="13" t="s">
        <v>1391</v>
      </c>
      <c r="F138" s="13" t="s">
        <v>126</v>
      </c>
      <c r="G138" s="4" t="s">
        <v>1389</v>
      </c>
      <c r="H138" s="4" t="s">
        <v>906</v>
      </c>
      <c r="I138" s="4"/>
      <c r="J138" s="4" t="s">
        <v>907</v>
      </c>
      <c r="K138" s="4" t="s">
        <v>2348</v>
      </c>
      <c r="L138" s="15" t="str">
        <f t="shared" si="1"/>
        <v>ok</v>
      </c>
    </row>
    <row r="139" ht="60.0" customHeight="1">
      <c r="A139" s="13" t="s">
        <v>2182</v>
      </c>
      <c r="B139" s="13">
        <v>3.0</v>
      </c>
      <c r="C139" s="13" t="s">
        <v>2335</v>
      </c>
      <c r="D139" s="13" t="s">
        <v>2184</v>
      </c>
      <c r="E139" s="13" t="s">
        <v>2185</v>
      </c>
      <c r="F139" s="13" t="s">
        <v>368</v>
      </c>
      <c r="G139" s="4" t="s">
        <v>2182</v>
      </c>
      <c r="H139" s="4" t="s">
        <v>906</v>
      </c>
      <c r="I139" s="4"/>
      <c r="J139" s="4" t="s">
        <v>2187</v>
      </c>
      <c r="K139" s="4" t="s">
        <v>2349</v>
      </c>
      <c r="L139" s="15" t="str">
        <f t="shared" si="1"/>
        <v>ok</v>
      </c>
    </row>
    <row r="140" ht="60.0" customHeight="1">
      <c r="A140" s="13" t="s">
        <v>1393</v>
      </c>
      <c r="B140" s="13">
        <v>3.0</v>
      </c>
      <c r="C140" s="13" t="s">
        <v>2335</v>
      </c>
      <c r="D140" s="13" t="s">
        <v>1395</v>
      </c>
      <c r="E140" s="13" t="s">
        <v>1396</v>
      </c>
      <c r="F140" s="13" t="s">
        <v>368</v>
      </c>
      <c r="G140" s="4" t="s">
        <v>1393</v>
      </c>
      <c r="H140" s="4" t="s">
        <v>906</v>
      </c>
      <c r="I140" s="4"/>
      <c r="J140" s="4" t="s">
        <v>1023</v>
      </c>
      <c r="K140" s="4" t="s">
        <v>2350</v>
      </c>
      <c r="L140" s="15" t="str">
        <f t="shared" si="1"/>
        <v>ok</v>
      </c>
    </row>
    <row r="141" ht="60.0" customHeight="1">
      <c r="A141" s="13" t="s">
        <v>545</v>
      </c>
      <c r="B141" s="13">
        <v>3.0</v>
      </c>
      <c r="C141" s="13" t="s">
        <v>2335</v>
      </c>
      <c r="D141" s="13" t="s">
        <v>547</v>
      </c>
      <c r="E141" s="13" t="s">
        <v>548</v>
      </c>
      <c r="F141" s="13" t="s">
        <v>368</v>
      </c>
      <c r="G141" s="4" t="s">
        <v>545</v>
      </c>
      <c r="H141" s="4" t="s">
        <v>98</v>
      </c>
      <c r="I141" s="4" t="s">
        <v>368</v>
      </c>
      <c r="J141" s="4"/>
      <c r="K141" s="4" t="s">
        <v>2351</v>
      </c>
      <c r="L141" s="15" t="str">
        <f t="shared" si="1"/>
        <v>ok</v>
      </c>
    </row>
    <row r="142" ht="60.0" customHeight="1">
      <c r="A142" s="13" t="s">
        <v>1398</v>
      </c>
      <c r="B142" s="13">
        <v>3.0</v>
      </c>
      <c r="C142" s="13" t="s">
        <v>2335</v>
      </c>
      <c r="D142" s="13" t="s">
        <v>1400</v>
      </c>
      <c r="E142" s="13" t="s">
        <v>1401</v>
      </c>
      <c r="F142" s="13" t="s">
        <v>368</v>
      </c>
      <c r="G142" s="4" t="s">
        <v>1398</v>
      </c>
      <c r="H142" s="4" t="s">
        <v>906</v>
      </c>
      <c r="I142" s="4"/>
      <c r="J142" s="4" t="s">
        <v>1023</v>
      </c>
      <c r="K142" s="4" t="s">
        <v>2352</v>
      </c>
      <c r="L142" s="15" t="str">
        <f t="shared" si="1"/>
        <v>ok</v>
      </c>
    </row>
    <row r="143" ht="60.0" customHeight="1">
      <c r="A143" s="13" t="s">
        <v>1402</v>
      </c>
      <c r="B143" s="13">
        <v>3.0</v>
      </c>
      <c r="C143" s="13" t="s">
        <v>2335</v>
      </c>
      <c r="D143" s="13" t="s">
        <v>1404</v>
      </c>
      <c r="E143" s="13" t="s">
        <v>1405</v>
      </c>
      <c r="F143" s="13" t="s">
        <v>368</v>
      </c>
      <c r="G143" s="4" t="s">
        <v>1402</v>
      </c>
      <c r="H143" s="4" t="s">
        <v>906</v>
      </c>
      <c r="I143" s="4"/>
      <c r="J143" s="4" t="s">
        <v>1023</v>
      </c>
      <c r="K143" s="4" t="s">
        <v>2353</v>
      </c>
      <c r="L143" s="15" t="str">
        <f t="shared" si="1"/>
        <v>ok</v>
      </c>
    </row>
    <row r="144" ht="60.0" customHeight="1">
      <c r="A144" s="13" t="s">
        <v>1778</v>
      </c>
      <c r="B144" s="13">
        <v>3.0</v>
      </c>
      <c r="C144" s="13" t="s">
        <v>2335</v>
      </c>
      <c r="D144" s="13" t="s">
        <v>1779</v>
      </c>
      <c r="E144" s="13" t="s">
        <v>1780</v>
      </c>
      <c r="F144" s="13" t="s">
        <v>126</v>
      </c>
      <c r="G144" s="4" t="s">
        <v>1778</v>
      </c>
      <c r="H144" s="4" t="s">
        <v>906</v>
      </c>
      <c r="I144" s="4"/>
      <c r="J144" s="4" t="s">
        <v>2111</v>
      </c>
      <c r="K144" s="4" t="s">
        <v>2354</v>
      </c>
      <c r="L144" s="15" t="str">
        <f t="shared" si="1"/>
        <v>ok</v>
      </c>
    </row>
    <row r="145" ht="60.0" customHeight="1">
      <c r="A145" s="13" t="s">
        <v>867</v>
      </c>
      <c r="B145" s="13">
        <v>3.0</v>
      </c>
      <c r="C145" s="13" t="s">
        <v>2335</v>
      </c>
      <c r="D145" s="13" t="s">
        <v>869</v>
      </c>
      <c r="E145" s="13" t="s">
        <v>870</v>
      </c>
      <c r="F145" s="13" t="s">
        <v>97</v>
      </c>
      <c r="G145" s="4" t="s">
        <v>867</v>
      </c>
      <c r="H145" s="4" t="s">
        <v>694</v>
      </c>
      <c r="I145" s="4"/>
      <c r="J145" s="4"/>
      <c r="K145" s="4" t="s">
        <v>2355</v>
      </c>
      <c r="L145" s="15" t="str">
        <f t="shared" si="1"/>
        <v>ok</v>
      </c>
    </row>
    <row r="146" ht="60.0" customHeight="1">
      <c r="A146" s="13" t="s">
        <v>518</v>
      </c>
      <c r="B146" s="13">
        <v>3.0</v>
      </c>
      <c r="C146" s="13" t="s">
        <v>2356</v>
      </c>
      <c r="D146" s="13" t="s">
        <v>520</v>
      </c>
      <c r="E146" s="13" t="s">
        <v>521</v>
      </c>
      <c r="F146" s="13" t="s">
        <v>126</v>
      </c>
      <c r="G146" s="4" t="s">
        <v>518</v>
      </c>
      <c r="H146" s="4" t="s">
        <v>98</v>
      </c>
      <c r="I146" s="4" t="s">
        <v>126</v>
      </c>
      <c r="J146" s="4"/>
      <c r="K146" s="4" t="s">
        <v>2357</v>
      </c>
      <c r="L146" s="15" t="str">
        <f t="shared" si="1"/>
        <v>ok</v>
      </c>
    </row>
    <row r="147" ht="60.0" customHeight="1">
      <c r="A147" s="13" t="s">
        <v>1362</v>
      </c>
      <c r="B147" s="13">
        <v>3.0</v>
      </c>
      <c r="C147" s="13" t="s">
        <v>2356</v>
      </c>
      <c r="D147" s="13" t="s">
        <v>1364</v>
      </c>
      <c r="E147" s="13" t="s">
        <v>1365</v>
      </c>
      <c r="F147" s="13" t="s">
        <v>368</v>
      </c>
      <c r="G147" s="4" t="s">
        <v>1362</v>
      </c>
      <c r="H147" s="4" t="s">
        <v>906</v>
      </c>
      <c r="I147" s="4"/>
      <c r="J147" s="4" t="s">
        <v>1023</v>
      </c>
      <c r="K147" s="4" t="s">
        <v>2358</v>
      </c>
      <c r="L147" s="15" t="str">
        <f t="shared" si="1"/>
        <v>ok</v>
      </c>
    </row>
    <row r="148" ht="60.0" customHeight="1">
      <c r="A148" s="13" t="s">
        <v>524</v>
      </c>
      <c r="B148" s="13">
        <v>3.0</v>
      </c>
      <c r="C148" s="13" t="s">
        <v>2356</v>
      </c>
      <c r="D148" s="13" t="s">
        <v>526</v>
      </c>
      <c r="E148" s="13" t="s">
        <v>527</v>
      </c>
      <c r="F148" s="13" t="s">
        <v>97</v>
      </c>
      <c r="G148" s="4" t="s">
        <v>524</v>
      </c>
      <c r="H148" s="4" t="s">
        <v>98</v>
      </c>
      <c r="I148" s="4" t="s">
        <v>97</v>
      </c>
      <c r="J148" s="4"/>
      <c r="K148" s="4" t="s">
        <v>2359</v>
      </c>
      <c r="L148" s="15" t="str">
        <f t="shared" si="1"/>
        <v>ok</v>
      </c>
    </row>
    <row r="149" ht="60.0" customHeight="1">
      <c r="A149" s="13" t="s">
        <v>1745</v>
      </c>
      <c r="B149" s="13">
        <v>3.0</v>
      </c>
      <c r="C149" s="13" t="s">
        <v>2360</v>
      </c>
      <c r="D149" s="13" t="s">
        <v>1746</v>
      </c>
      <c r="E149" s="13" t="s">
        <v>1747</v>
      </c>
      <c r="F149" s="13" t="s">
        <v>368</v>
      </c>
      <c r="G149" s="4" t="s">
        <v>1745</v>
      </c>
      <c r="H149" s="4" t="s">
        <v>906</v>
      </c>
      <c r="I149" s="4"/>
      <c r="J149" s="4" t="s">
        <v>1023</v>
      </c>
      <c r="K149" s="4" t="s">
        <v>2361</v>
      </c>
      <c r="L149" s="15" t="str">
        <f t="shared" si="1"/>
        <v>ok</v>
      </c>
    </row>
    <row r="150" ht="60.0" customHeight="1">
      <c r="A150" s="13" t="s">
        <v>1366</v>
      </c>
      <c r="B150" s="13">
        <v>3.0</v>
      </c>
      <c r="C150" s="13" t="s">
        <v>2356</v>
      </c>
      <c r="D150" s="13" t="s">
        <v>1368</v>
      </c>
      <c r="E150" s="13" t="s">
        <v>1369</v>
      </c>
      <c r="F150" s="13" t="s">
        <v>368</v>
      </c>
      <c r="G150" s="4" t="s">
        <v>1366</v>
      </c>
      <c r="H150" s="4" t="s">
        <v>906</v>
      </c>
      <c r="I150" s="4"/>
      <c r="J150" s="4" t="s">
        <v>1023</v>
      </c>
      <c r="K150" s="4" t="s">
        <v>2362</v>
      </c>
      <c r="L150" s="15" t="str">
        <f t="shared" si="1"/>
        <v>ok</v>
      </c>
    </row>
    <row r="151" ht="60.0" customHeight="1">
      <c r="A151" s="13" t="s">
        <v>1332</v>
      </c>
      <c r="B151" s="13">
        <v>3.0</v>
      </c>
      <c r="C151" s="13" t="s">
        <v>2360</v>
      </c>
      <c r="D151" s="13" t="s">
        <v>1334</v>
      </c>
      <c r="E151" s="13" t="s">
        <v>1335</v>
      </c>
      <c r="F151" s="13" t="s">
        <v>368</v>
      </c>
      <c r="G151" s="4" t="s">
        <v>1332</v>
      </c>
      <c r="H151" s="4" t="s">
        <v>906</v>
      </c>
      <c r="I151" s="4"/>
      <c r="J151" s="4" t="s">
        <v>1023</v>
      </c>
      <c r="K151" s="4" t="s">
        <v>2363</v>
      </c>
      <c r="L151" s="15" t="str">
        <f t="shared" si="1"/>
        <v>ok</v>
      </c>
    </row>
    <row r="152" ht="60.0" customHeight="1">
      <c r="A152" s="13" t="s">
        <v>853</v>
      </c>
      <c r="B152" s="13">
        <v>3.0</v>
      </c>
      <c r="C152" s="13" t="s">
        <v>2356</v>
      </c>
      <c r="D152" s="13" t="s">
        <v>854</v>
      </c>
      <c r="E152" s="13" t="s">
        <v>855</v>
      </c>
      <c r="F152" s="13" t="s">
        <v>97</v>
      </c>
      <c r="G152" s="4" t="s">
        <v>853</v>
      </c>
      <c r="H152" s="4" t="s">
        <v>694</v>
      </c>
      <c r="I152" s="4"/>
      <c r="J152" s="4"/>
      <c r="K152" s="4" t="s">
        <v>2364</v>
      </c>
      <c r="L152" s="15" t="str">
        <f t="shared" si="1"/>
        <v>ok</v>
      </c>
    </row>
    <row r="153" ht="60.0" customHeight="1">
      <c r="A153" s="13" t="s">
        <v>528</v>
      </c>
      <c r="B153" s="13">
        <v>3.0</v>
      </c>
      <c r="C153" s="13" t="s">
        <v>2356</v>
      </c>
      <c r="D153" s="13" t="s">
        <v>530</v>
      </c>
      <c r="E153" s="13" t="s">
        <v>531</v>
      </c>
      <c r="F153" s="13" t="s">
        <v>97</v>
      </c>
      <c r="G153" s="4" t="s">
        <v>528</v>
      </c>
      <c r="H153" s="4" t="s">
        <v>98</v>
      </c>
      <c r="I153" s="4" t="s">
        <v>97</v>
      </c>
      <c r="J153" s="4"/>
      <c r="K153" s="4" t="s">
        <v>2365</v>
      </c>
      <c r="L153" s="15" t="str">
        <f t="shared" si="1"/>
        <v>ok</v>
      </c>
    </row>
    <row r="154" ht="60.0" customHeight="1">
      <c r="A154" s="13" t="s">
        <v>1370</v>
      </c>
      <c r="B154" s="13">
        <v>3.0</v>
      </c>
      <c r="C154" s="13" t="s">
        <v>2356</v>
      </c>
      <c r="D154" s="13" t="s">
        <v>1372</v>
      </c>
      <c r="E154" s="13" t="s">
        <v>1373</v>
      </c>
      <c r="F154" s="13" t="s">
        <v>97</v>
      </c>
      <c r="G154" s="4" t="s">
        <v>1370</v>
      </c>
      <c r="H154" s="4" t="s">
        <v>906</v>
      </c>
      <c r="I154" s="4"/>
      <c r="J154" s="4" t="s">
        <v>1023</v>
      </c>
      <c r="K154" s="4" t="s">
        <v>2366</v>
      </c>
      <c r="L154" s="15" t="str">
        <f t="shared" si="1"/>
        <v>ok</v>
      </c>
    </row>
    <row r="155" ht="60.0" customHeight="1">
      <c r="A155" s="13" t="s">
        <v>1769</v>
      </c>
      <c r="B155" s="13">
        <v>3.0</v>
      </c>
      <c r="C155" s="13" t="s">
        <v>2356</v>
      </c>
      <c r="D155" s="13" t="s">
        <v>1771</v>
      </c>
      <c r="E155" s="13" t="s">
        <v>1772</v>
      </c>
      <c r="F155" s="13" t="s">
        <v>368</v>
      </c>
      <c r="G155" s="4" t="s">
        <v>1769</v>
      </c>
      <c r="H155" s="4" t="s">
        <v>906</v>
      </c>
      <c r="I155" s="4"/>
      <c r="J155" s="4" t="s">
        <v>1023</v>
      </c>
      <c r="K155" s="4" t="s">
        <v>2367</v>
      </c>
      <c r="L155" s="15" t="str">
        <f t="shared" si="1"/>
        <v>ok</v>
      </c>
    </row>
    <row r="156" ht="60.0" customHeight="1">
      <c r="A156" s="13" t="s">
        <v>939</v>
      </c>
      <c r="B156" s="13">
        <v>3.0</v>
      </c>
      <c r="C156" s="13" t="s">
        <v>2356</v>
      </c>
      <c r="D156" s="13" t="s">
        <v>941</v>
      </c>
      <c r="E156" s="13" t="s">
        <v>942</v>
      </c>
      <c r="F156" s="13" t="s">
        <v>97</v>
      </c>
      <c r="G156" s="4" t="s">
        <v>939</v>
      </c>
      <c r="H156" s="4" t="s">
        <v>906</v>
      </c>
      <c r="I156" s="4"/>
      <c r="J156" s="4" t="s">
        <v>907</v>
      </c>
      <c r="K156" s="4" t="s">
        <v>2368</v>
      </c>
      <c r="L156" s="15" t="str">
        <f t="shared" si="1"/>
        <v>ok</v>
      </c>
    </row>
    <row r="157" ht="60.0" customHeight="1">
      <c r="A157" s="13" t="s">
        <v>464</v>
      </c>
      <c r="B157" s="13">
        <v>4.0</v>
      </c>
      <c r="C157" s="13" t="s">
        <v>2360</v>
      </c>
      <c r="D157" s="13" t="s">
        <v>466</v>
      </c>
      <c r="E157" s="13" t="s">
        <v>467</v>
      </c>
      <c r="F157" s="13" t="s">
        <v>126</v>
      </c>
      <c r="G157" s="4" t="s">
        <v>464</v>
      </c>
      <c r="H157" s="4" t="s">
        <v>98</v>
      </c>
      <c r="I157" s="4" t="s">
        <v>126</v>
      </c>
      <c r="J157" s="4"/>
      <c r="K157" s="4" t="s">
        <v>2369</v>
      </c>
      <c r="L157" s="15" t="str">
        <f t="shared" si="1"/>
        <v>ok</v>
      </c>
    </row>
    <row r="158" ht="60.0" customHeight="1">
      <c r="A158" s="13" t="s">
        <v>1781</v>
      </c>
      <c r="B158" s="13">
        <v>4.0</v>
      </c>
      <c r="C158" s="13" t="s">
        <v>2335</v>
      </c>
      <c r="D158" s="13" t="s">
        <v>1783</v>
      </c>
      <c r="E158" s="13" t="s">
        <v>1784</v>
      </c>
      <c r="F158" s="13" t="s">
        <v>97</v>
      </c>
      <c r="G158" s="4" t="s">
        <v>1781</v>
      </c>
      <c r="H158" s="4" t="s">
        <v>906</v>
      </c>
      <c r="I158" s="4"/>
      <c r="J158" s="4" t="s">
        <v>1522</v>
      </c>
      <c r="K158" s="4" t="s">
        <v>2370</v>
      </c>
      <c r="L158" s="15" t="str">
        <f t="shared" si="1"/>
        <v>ok</v>
      </c>
    </row>
    <row r="159" ht="60.0" customHeight="1">
      <c r="A159" s="13" t="s">
        <v>1748</v>
      </c>
      <c r="B159" s="13">
        <v>4.0</v>
      </c>
      <c r="C159" s="13" t="s">
        <v>2360</v>
      </c>
      <c r="D159" s="13" t="s">
        <v>1750</v>
      </c>
      <c r="E159" s="13" t="s">
        <v>1751</v>
      </c>
      <c r="F159" s="13" t="s">
        <v>126</v>
      </c>
      <c r="G159" s="4" t="s">
        <v>1748</v>
      </c>
      <c r="H159" s="4" t="s">
        <v>906</v>
      </c>
      <c r="I159" s="4"/>
      <c r="J159" s="4" t="s">
        <v>1522</v>
      </c>
      <c r="K159" s="4" t="s">
        <v>2371</v>
      </c>
      <c r="L159" s="15" t="str">
        <f t="shared" si="1"/>
        <v>ok</v>
      </c>
    </row>
    <row r="160" ht="60.0" customHeight="1">
      <c r="A160" s="13" t="s">
        <v>1374</v>
      </c>
      <c r="B160" s="13">
        <v>4.0</v>
      </c>
      <c r="C160" s="13" t="s">
        <v>2356</v>
      </c>
      <c r="D160" s="13" t="s">
        <v>1376</v>
      </c>
      <c r="E160" s="13" t="s">
        <v>1377</v>
      </c>
      <c r="F160" s="13" t="s">
        <v>368</v>
      </c>
      <c r="G160" s="4" t="s">
        <v>1374</v>
      </c>
      <c r="H160" s="4" t="s">
        <v>906</v>
      </c>
      <c r="I160" s="4"/>
      <c r="J160" s="4" t="s">
        <v>1023</v>
      </c>
      <c r="K160" s="4" t="s">
        <v>2372</v>
      </c>
      <c r="L160" s="15" t="str">
        <f t="shared" si="1"/>
        <v>ok</v>
      </c>
    </row>
    <row r="161" ht="60.0" customHeight="1">
      <c r="A161" s="13" t="s">
        <v>1380</v>
      </c>
      <c r="B161" s="13">
        <v>4.0</v>
      </c>
      <c r="C161" s="13" t="s">
        <v>2356</v>
      </c>
      <c r="D161" s="13" t="s">
        <v>1382</v>
      </c>
      <c r="E161" s="13" t="s">
        <v>1383</v>
      </c>
      <c r="F161" s="13" t="s">
        <v>368</v>
      </c>
      <c r="G161" s="4" t="s">
        <v>1380</v>
      </c>
      <c r="H161" s="4" t="s">
        <v>906</v>
      </c>
      <c r="I161" s="4"/>
      <c r="J161" s="4" t="s">
        <v>2111</v>
      </c>
      <c r="K161" s="4" t="s">
        <v>2373</v>
      </c>
      <c r="L161" s="15" t="str">
        <f t="shared" si="1"/>
        <v>ok</v>
      </c>
    </row>
    <row r="162" ht="60.0" customHeight="1">
      <c r="A162" s="13" t="s">
        <v>532</v>
      </c>
      <c r="B162" s="13">
        <v>4.0</v>
      </c>
      <c r="C162" s="13" t="s">
        <v>2356</v>
      </c>
      <c r="D162" s="13" t="s">
        <v>534</v>
      </c>
      <c r="E162" s="13" t="s">
        <v>535</v>
      </c>
      <c r="F162" s="13" t="s">
        <v>97</v>
      </c>
      <c r="G162" s="4" t="s">
        <v>532</v>
      </c>
      <c r="H162" s="4" t="s">
        <v>98</v>
      </c>
      <c r="I162" s="4" t="s">
        <v>97</v>
      </c>
      <c r="J162" s="4"/>
      <c r="K162" s="4" t="s">
        <v>2374</v>
      </c>
      <c r="L162" s="15" t="str">
        <f t="shared" si="1"/>
        <v>ok</v>
      </c>
    </row>
    <row r="163" ht="60.0" customHeight="1">
      <c r="A163" s="13" t="s">
        <v>857</v>
      </c>
      <c r="B163" s="13">
        <v>4.0</v>
      </c>
      <c r="C163" s="13" t="s">
        <v>2356</v>
      </c>
      <c r="D163" s="13" t="s">
        <v>859</v>
      </c>
      <c r="E163" s="13" t="s">
        <v>860</v>
      </c>
      <c r="F163" s="13" t="s">
        <v>368</v>
      </c>
      <c r="G163" s="4" t="s">
        <v>857</v>
      </c>
      <c r="H163" s="4" t="s">
        <v>906</v>
      </c>
      <c r="I163" s="4"/>
      <c r="J163" s="4" t="s">
        <v>2111</v>
      </c>
      <c r="K163" s="4" t="s">
        <v>2375</v>
      </c>
      <c r="L163" s="15" t="str">
        <f t="shared" si="1"/>
        <v>ok</v>
      </c>
    </row>
    <row r="164" ht="60.0" customHeight="1">
      <c r="A164" s="13" t="s">
        <v>1753</v>
      </c>
      <c r="B164" s="13">
        <v>4.0</v>
      </c>
      <c r="C164" s="13" t="s">
        <v>2360</v>
      </c>
      <c r="D164" s="13" t="s">
        <v>1755</v>
      </c>
      <c r="E164" s="13" t="s">
        <v>1756</v>
      </c>
      <c r="F164" s="13" t="s">
        <v>368</v>
      </c>
      <c r="G164" s="4" t="s">
        <v>1753</v>
      </c>
      <c r="H164" s="4" t="s">
        <v>906</v>
      </c>
      <c r="I164" s="4"/>
      <c r="J164" s="4" t="s">
        <v>1023</v>
      </c>
      <c r="K164" s="4" t="s">
        <v>2376</v>
      </c>
      <c r="L164" s="15" t="str">
        <f t="shared" si="1"/>
        <v>ok</v>
      </c>
    </row>
    <row r="165" ht="60.0" customHeight="1">
      <c r="A165" s="13" t="s">
        <v>2029</v>
      </c>
      <c r="B165" s="13">
        <v>4.0</v>
      </c>
      <c r="C165" s="13" t="s">
        <v>2356</v>
      </c>
      <c r="D165" s="13" t="s">
        <v>2031</v>
      </c>
      <c r="E165" s="13" t="s">
        <v>2032</v>
      </c>
      <c r="F165" s="13" t="s">
        <v>97</v>
      </c>
      <c r="G165" s="4" t="s">
        <v>2029</v>
      </c>
      <c r="H165" s="4" t="s">
        <v>694</v>
      </c>
      <c r="I165" s="4"/>
      <c r="J165" s="4"/>
      <c r="K165" s="4" t="s">
        <v>2377</v>
      </c>
      <c r="L165" s="15" t="str">
        <f t="shared" si="1"/>
        <v>ok</v>
      </c>
    </row>
    <row r="166" ht="60.0" customHeight="1">
      <c r="A166" s="13" t="s">
        <v>943</v>
      </c>
      <c r="B166" s="13">
        <v>4.0</v>
      </c>
      <c r="C166" s="13" t="s">
        <v>2356</v>
      </c>
      <c r="D166" s="13" t="s">
        <v>945</v>
      </c>
      <c r="E166" s="13" t="s">
        <v>946</v>
      </c>
      <c r="F166" s="13" t="s">
        <v>97</v>
      </c>
      <c r="G166" s="4" t="s">
        <v>943</v>
      </c>
      <c r="H166" s="4" t="s">
        <v>906</v>
      </c>
      <c r="I166" s="4"/>
      <c r="J166" s="4" t="s">
        <v>907</v>
      </c>
      <c r="K166" s="4" t="s">
        <v>2378</v>
      </c>
      <c r="L166" s="15" t="str">
        <f t="shared" si="1"/>
        <v>ok</v>
      </c>
    </row>
    <row r="167" ht="60.0" customHeight="1">
      <c r="A167" s="13" t="s">
        <v>469</v>
      </c>
      <c r="B167" s="13">
        <v>4.0</v>
      </c>
      <c r="C167" s="13" t="s">
        <v>2360</v>
      </c>
      <c r="D167" s="13" t="s">
        <v>471</v>
      </c>
      <c r="E167" s="13" t="s">
        <v>472</v>
      </c>
      <c r="F167" s="13" t="s">
        <v>97</v>
      </c>
      <c r="G167" s="4" t="s">
        <v>469</v>
      </c>
      <c r="H167" s="4" t="s">
        <v>98</v>
      </c>
      <c r="I167" s="4" t="s">
        <v>97</v>
      </c>
      <c r="J167" s="4"/>
      <c r="K167" s="4" t="s">
        <v>2379</v>
      </c>
      <c r="L167" s="15" t="str">
        <f t="shared" si="1"/>
        <v>ok</v>
      </c>
    </row>
    <row r="168" ht="60.0" customHeight="1">
      <c r="A168" s="13" t="s">
        <v>473</v>
      </c>
      <c r="B168" s="13">
        <v>4.0</v>
      </c>
      <c r="C168" s="13" t="s">
        <v>2360</v>
      </c>
      <c r="D168" s="13" t="s">
        <v>475</v>
      </c>
      <c r="E168" s="13" t="s">
        <v>476</v>
      </c>
      <c r="F168" s="13" t="s">
        <v>126</v>
      </c>
      <c r="G168" s="4" t="s">
        <v>473</v>
      </c>
      <c r="H168" s="4" t="s">
        <v>98</v>
      </c>
      <c r="I168" s="4" t="s">
        <v>126</v>
      </c>
      <c r="J168" s="4"/>
      <c r="K168" s="4" t="s">
        <v>2380</v>
      </c>
      <c r="L168" s="15" t="str">
        <f t="shared" si="1"/>
        <v>ok</v>
      </c>
    </row>
    <row r="169" ht="60.0" customHeight="1">
      <c r="A169" s="13" t="s">
        <v>1337</v>
      </c>
      <c r="B169" s="13">
        <v>4.0</v>
      </c>
      <c r="C169" s="13" t="s">
        <v>2360</v>
      </c>
      <c r="D169" s="13" t="s">
        <v>1338</v>
      </c>
      <c r="E169" s="13" t="s">
        <v>1339</v>
      </c>
      <c r="F169" s="13" t="s">
        <v>368</v>
      </c>
      <c r="G169" s="4" t="s">
        <v>1337</v>
      </c>
      <c r="H169" s="4" t="s">
        <v>906</v>
      </c>
      <c r="I169" s="4"/>
      <c r="J169" s="4" t="s">
        <v>2111</v>
      </c>
      <c r="K169" s="4" t="s">
        <v>2381</v>
      </c>
      <c r="L169" s="15" t="str">
        <f t="shared" si="1"/>
        <v>ok</v>
      </c>
    </row>
    <row r="170" ht="60.0" customHeight="1">
      <c r="A170" s="13" t="s">
        <v>1757</v>
      </c>
      <c r="B170" s="13">
        <v>4.0</v>
      </c>
      <c r="C170" s="13" t="s">
        <v>2360</v>
      </c>
      <c r="D170" s="13" t="s">
        <v>1759</v>
      </c>
      <c r="E170" s="13" t="s">
        <v>1760</v>
      </c>
      <c r="F170" s="13" t="s">
        <v>97</v>
      </c>
      <c r="G170" s="4" t="s">
        <v>1757</v>
      </c>
      <c r="H170" s="4" t="s">
        <v>906</v>
      </c>
      <c r="I170" s="4"/>
      <c r="J170" s="4" t="s">
        <v>1522</v>
      </c>
      <c r="K170" s="4" t="s">
        <v>2382</v>
      </c>
      <c r="L170" s="15" t="str">
        <f t="shared" si="1"/>
        <v>ok</v>
      </c>
    </row>
    <row r="171" ht="60.0" customHeight="1">
      <c r="A171" s="13" t="s">
        <v>1340</v>
      </c>
      <c r="B171" s="13">
        <v>4.0</v>
      </c>
      <c r="C171" s="13" t="s">
        <v>2360</v>
      </c>
      <c r="D171" s="13" t="s">
        <v>1342</v>
      </c>
      <c r="E171" s="13" t="s">
        <v>1343</v>
      </c>
      <c r="F171" s="13" t="s">
        <v>368</v>
      </c>
      <c r="G171" s="4" t="s">
        <v>1340</v>
      </c>
      <c r="H171" s="4" t="s">
        <v>906</v>
      </c>
      <c r="I171" s="4"/>
      <c r="J171" s="4" t="s">
        <v>1023</v>
      </c>
      <c r="K171" s="4" t="s">
        <v>2383</v>
      </c>
      <c r="L171" s="15" t="str">
        <f t="shared" si="1"/>
        <v>ok</v>
      </c>
    </row>
    <row r="172" ht="60.0" customHeight="1">
      <c r="A172" s="13" t="s">
        <v>478</v>
      </c>
      <c r="B172" s="13">
        <v>4.0</v>
      </c>
      <c r="C172" s="13" t="s">
        <v>2360</v>
      </c>
      <c r="D172" s="13" t="s">
        <v>480</v>
      </c>
      <c r="E172" s="13" t="s">
        <v>481</v>
      </c>
      <c r="F172" s="13" t="s">
        <v>97</v>
      </c>
      <c r="G172" s="4" t="s">
        <v>478</v>
      </c>
      <c r="H172" s="4" t="s">
        <v>98</v>
      </c>
      <c r="I172" s="4" t="s">
        <v>97</v>
      </c>
      <c r="J172" s="4"/>
      <c r="K172" s="4" t="s">
        <v>2384</v>
      </c>
      <c r="L172" s="15" t="str">
        <f t="shared" si="1"/>
        <v>ok</v>
      </c>
    </row>
    <row r="173" ht="60.0" customHeight="1">
      <c r="A173" s="13" t="s">
        <v>482</v>
      </c>
      <c r="B173" s="13">
        <v>4.0</v>
      </c>
      <c r="C173" s="13" t="s">
        <v>2360</v>
      </c>
      <c r="D173" s="13" t="s">
        <v>484</v>
      </c>
      <c r="E173" s="13" t="s">
        <v>485</v>
      </c>
      <c r="F173" s="13" t="s">
        <v>126</v>
      </c>
      <c r="G173" s="4" t="s">
        <v>482</v>
      </c>
      <c r="H173" s="4" t="s">
        <v>98</v>
      </c>
      <c r="I173" s="4" t="s">
        <v>126</v>
      </c>
      <c r="J173" s="4"/>
      <c r="K173" s="4" t="s">
        <v>2385</v>
      </c>
      <c r="L173" s="15" t="str">
        <f t="shared" si="1"/>
        <v>ok</v>
      </c>
    </row>
    <row r="174" ht="60.0" customHeight="1">
      <c r="A174" s="13" t="s">
        <v>1761</v>
      </c>
      <c r="B174" s="13">
        <v>4.0</v>
      </c>
      <c r="C174" s="13" t="s">
        <v>2360</v>
      </c>
      <c r="D174" s="13" t="s">
        <v>1763</v>
      </c>
      <c r="E174" s="13" t="s">
        <v>1764</v>
      </c>
      <c r="F174" s="13" t="s">
        <v>97</v>
      </c>
      <c r="G174" s="4" t="s">
        <v>1761</v>
      </c>
      <c r="H174" s="4" t="s">
        <v>906</v>
      </c>
      <c r="I174" s="4"/>
      <c r="J174" s="4" t="s">
        <v>1522</v>
      </c>
      <c r="K174" s="4" t="s">
        <v>2386</v>
      </c>
      <c r="L174" s="15" t="str">
        <f t="shared" si="1"/>
        <v>ok</v>
      </c>
    </row>
    <row r="175" ht="60.0" customHeight="1">
      <c r="A175" s="13" t="s">
        <v>846</v>
      </c>
      <c r="B175" s="13">
        <v>4.0</v>
      </c>
      <c r="C175" s="13" t="s">
        <v>2360</v>
      </c>
      <c r="D175" s="13" t="s">
        <v>847</v>
      </c>
      <c r="E175" s="13" t="s">
        <v>848</v>
      </c>
      <c r="F175" s="13" t="s">
        <v>850</v>
      </c>
      <c r="G175" s="4" t="s">
        <v>846</v>
      </c>
      <c r="H175" s="4" t="s">
        <v>694</v>
      </c>
      <c r="I175" s="4"/>
      <c r="J175" s="4"/>
      <c r="K175" s="4" t="s">
        <v>2387</v>
      </c>
      <c r="L175" s="15" t="str">
        <f t="shared" si="1"/>
        <v>ok</v>
      </c>
    </row>
    <row r="176" ht="60.0" customHeight="1">
      <c r="A176" s="13" t="s">
        <v>486</v>
      </c>
      <c r="B176" s="13">
        <v>4.0</v>
      </c>
      <c r="C176" s="13" t="s">
        <v>2360</v>
      </c>
      <c r="D176" s="13" t="s">
        <v>488</v>
      </c>
      <c r="E176" s="13" t="s">
        <v>489</v>
      </c>
      <c r="F176" s="13" t="s">
        <v>97</v>
      </c>
      <c r="G176" s="4" t="s">
        <v>486</v>
      </c>
      <c r="H176" s="4" t="s">
        <v>98</v>
      </c>
      <c r="I176" s="4" t="s">
        <v>97</v>
      </c>
      <c r="J176" s="4"/>
      <c r="K176" s="4" t="s">
        <v>2388</v>
      </c>
      <c r="L176" s="15" t="str">
        <f t="shared" si="1"/>
        <v>ok</v>
      </c>
    </row>
    <row r="177" ht="60.0" customHeight="1">
      <c r="A177" s="13" t="s">
        <v>491</v>
      </c>
      <c r="B177" s="13">
        <v>4.0</v>
      </c>
      <c r="C177" s="13" t="s">
        <v>2360</v>
      </c>
      <c r="D177" s="13" t="s">
        <v>493</v>
      </c>
      <c r="E177" s="13" t="s">
        <v>494</v>
      </c>
      <c r="F177" s="13" t="s">
        <v>97</v>
      </c>
      <c r="G177" s="4" t="s">
        <v>491</v>
      </c>
      <c r="H177" s="4" t="s">
        <v>98</v>
      </c>
      <c r="I177" s="4" t="s">
        <v>97</v>
      </c>
      <c r="J177" s="4"/>
      <c r="K177" s="4" t="s">
        <v>2389</v>
      </c>
      <c r="L177" s="15" t="str">
        <f t="shared" si="1"/>
        <v>ok</v>
      </c>
    </row>
    <row r="178" ht="60.0" customHeight="1">
      <c r="A178" s="13" t="s">
        <v>803</v>
      </c>
      <c r="B178" s="13">
        <v>4.0</v>
      </c>
      <c r="C178" s="13" t="s">
        <v>2360</v>
      </c>
      <c r="D178" s="13" t="s">
        <v>804</v>
      </c>
      <c r="E178" s="13" t="s">
        <v>805</v>
      </c>
      <c r="F178" s="13" t="s">
        <v>97</v>
      </c>
      <c r="G178" s="4" t="s">
        <v>803</v>
      </c>
      <c r="H178" s="4" t="s">
        <v>694</v>
      </c>
      <c r="I178" s="4"/>
      <c r="J178" s="4"/>
      <c r="K178" s="4" t="s">
        <v>2390</v>
      </c>
      <c r="L178" s="15" t="str">
        <f t="shared" si="1"/>
        <v>ok</v>
      </c>
    </row>
    <row r="179" ht="60.0" customHeight="1">
      <c r="A179" s="13" t="s">
        <v>1765</v>
      </c>
      <c r="B179" s="13">
        <v>4.0</v>
      </c>
      <c r="C179" s="13" t="s">
        <v>2360</v>
      </c>
      <c r="D179" s="13" t="s">
        <v>1767</v>
      </c>
      <c r="E179" s="13" t="s">
        <v>1768</v>
      </c>
      <c r="F179" s="13" t="s">
        <v>368</v>
      </c>
      <c r="G179" s="4" t="s">
        <v>1765</v>
      </c>
      <c r="H179" s="4" t="s">
        <v>906</v>
      </c>
      <c r="I179" s="4"/>
      <c r="J179" s="4" t="s">
        <v>1522</v>
      </c>
      <c r="K179" s="4" t="s">
        <v>2391</v>
      </c>
      <c r="L179" s="15" t="str">
        <f t="shared" si="1"/>
        <v>ok</v>
      </c>
    </row>
    <row r="180" ht="60.0" customHeight="1">
      <c r="A180" s="13" t="s">
        <v>1344</v>
      </c>
      <c r="B180" s="13">
        <v>4.0</v>
      </c>
      <c r="C180" s="13" t="s">
        <v>2360</v>
      </c>
      <c r="D180" s="13" t="s">
        <v>1346</v>
      </c>
      <c r="E180" s="13" t="s">
        <v>1347</v>
      </c>
      <c r="F180" s="13" t="s">
        <v>368</v>
      </c>
      <c r="G180" s="4" t="s">
        <v>1344</v>
      </c>
      <c r="H180" s="4" t="s">
        <v>906</v>
      </c>
      <c r="I180" s="4"/>
      <c r="J180" s="4" t="s">
        <v>1023</v>
      </c>
      <c r="K180" s="4" t="s">
        <v>2392</v>
      </c>
      <c r="L180" s="15" t="str">
        <f t="shared" si="1"/>
        <v>ok</v>
      </c>
    </row>
    <row r="181" ht="60.0" customHeight="1">
      <c r="A181" s="13" t="s">
        <v>1348</v>
      </c>
      <c r="B181" s="13">
        <v>4.0</v>
      </c>
      <c r="C181" s="13" t="s">
        <v>2360</v>
      </c>
      <c r="D181" s="13" t="s">
        <v>1350</v>
      </c>
      <c r="E181" s="13" t="s">
        <v>1351</v>
      </c>
      <c r="F181" s="13" t="s">
        <v>368</v>
      </c>
      <c r="G181" s="4" t="s">
        <v>1348</v>
      </c>
      <c r="H181" s="4" t="s">
        <v>906</v>
      </c>
      <c r="I181" s="4"/>
      <c r="J181" s="4" t="s">
        <v>1023</v>
      </c>
      <c r="K181" s="4" t="s">
        <v>2393</v>
      </c>
      <c r="L181" s="15" t="str">
        <f t="shared" si="1"/>
        <v>ok</v>
      </c>
    </row>
    <row r="182" ht="60.0" customHeight="1">
      <c r="A182" s="13" t="s">
        <v>1936</v>
      </c>
      <c r="B182" s="13">
        <v>4.0</v>
      </c>
      <c r="C182" s="13" t="s">
        <v>2360</v>
      </c>
      <c r="D182" s="13" t="s">
        <v>1938</v>
      </c>
      <c r="E182" s="13" t="s">
        <v>1939</v>
      </c>
      <c r="F182" s="13" t="s">
        <v>97</v>
      </c>
      <c r="G182" s="4" t="s">
        <v>1936</v>
      </c>
      <c r="H182" s="4" t="s">
        <v>694</v>
      </c>
      <c r="I182" s="4"/>
      <c r="J182" s="4"/>
      <c r="K182" s="4" t="s">
        <v>2394</v>
      </c>
      <c r="L182" s="15" t="str">
        <f t="shared" si="1"/>
        <v>ok</v>
      </c>
    </row>
    <row r="183" ht="60.0" customHeight="1">
      <c r="A183" s="13" t="s">
        <v>2154</v>
      </c>
      <c r="B183" s="13">
        <v>4.0</v>
      </c>
      <c r="C183" s="13" t="s">
        <v>2360</v>
      </c>
      <c r="D183" s="13" t="s">
        <v>2156</v>
      </c>
      <c r="E183" s="13" t="s">
        <v>2157</v>
      </c>
      <c r="F183" s="13" t="s">
        <v>368</v>
      </c>
      <c r="G183" s="4" t="s">
        <v>2154</v>
      </c>
      <c r="H183" s="4" t="s">
        <v>906</v>
      </c>
      <c r="I183" s="4"/>
      <c r="J183" s="4" t="s">
        <v>2144</v>
      </c>
      <c r="K183" s="4" t="s">
        <v>2395</v>
      </c>
      <c r="L183" s="15" t="str">
        <f t="shared" si="1"/>
        <v>ok</v>
      </c>
    </row>
    <row r="184" ht="60.0" customHeight="1">
      <c r="A184" s="13" t="s">
        <v>495</v>
      </c>
      <c r="B184" s="13">
        <v>4.0</v>
      </c>
      <c r="C184" s="13" t="s">
        <v>2360</v>
      </c>
      <c r="D184" s="13" t="s">
        <v>497</v>
      </c>
      <c r="E184" s="13" t="s">
        <v>498</v>
      </c>
      <c r="F184" s="13" t="s">
        <v>368</v>
      </c>
      <c r="G184" s="4" t="s">
        <v>495</v>
      </c>
      <c r="H184" s="4" t="s">
        <v>98</v>
      </c>
      <c r="I184" s="4" t="s">
        <v>368</v>
      </c>
      <c r="J184" s="4"/>
      <c r="K184" s="4" t="s">
        <v>2396</v>
      </c>
      <c r="L184" s="15" t="str">
        <f t="shared" si="1"/>
        <v>ok</v>
      </c>
    </row>
    <row r="185" ht="60.0" customHeight="1">
      <c r="A185" s="13" t="s">
        <v>808</v>
      </c>
      <c r="B185" s="13">
        <v>4.0</v>
      </c>
      <c r="C185" s="13" t="s">
        <v>2360</v>
      </c>
      <c r="D185" s="13" t="s">
        <v>809</v>
      </c>
      <c r="E185" s="13" t="s">
        <v>810</v>
      </c>
      <c r="F185" s="13" t="s">
        <v>97</v>
      </c>
      <c r="G185" s="4" t="s">
        <v>808</v>
      </c>
      <c r="H185" s="4" t="s">
        <v>694</v>
      </c>
      <c r="I185" s="4"/>
      <c r="J185" s="4"/>
      <c r="K185" s="4" t="s">
        <v>2397</v>
      </c>
      <c r="L185" s="15" t="str">
        <f t="shared" si="1"/>
        <v>ok</v>
      </c>
    </row>
    <row r="186" ht="60.0" customHeight="1">
      <c r="A186" s="13" t="s">
        <v>813</v>
      </c>
      <c r="B186" s="13">
        <v>4.0</v>
      </c>
      <c r="C186" s="13" t="s">
        <v>2360</v>
      </c>
      <c r="D186" s="13" t="s">
        <v>815</v>
      </c>
      <c r="E186" s="13" t="s">
        <v>816</v>
      </c>
      <c r="F186" s="13" t="s">
        <v>126</v>
      </c>
      <c r="G186" s="4" t="s">
        <v>813</v>
      </c>
      <c r="H186" s="4" t="s">
        <v>694</v>
      </c>
      <c r="I186" s="4"/>
      <c r="J186" s="4"/>
      <c r="K186" s="4" t="s">
        <v>2398</v>
      </c>
      <c r="L186" s="15" t="str">
        <f t="shared" si="1"/>
        <v>ok</v>
      </c>
    </row>
    <row r="187" ht="60.0" customHeight="1">
      <c r="A187" s="13" t="s">
        <v>820</v>
      </c>
      <c r="B187" s="13">
        <v>4.0</v>
      </c>
      <c r="C187" s="13" t="s">
        <v>2360</v>
      </c>
      <c r="D187" s="13" t="s">
        <v>822</v>
      </c>
      <c r="E187" s="13" t="s">
        <v>823</v>
      </c>
      <c r="F187" s="13" t="s">
        <v>97</v>
      </c>
      <c r="G187" s="4" t="s">
        <v>820</v>
      </c>
      <c r="H187" s="4" t="s">
        <v>694</v>
      </c>
      <c r="I187" s="4"/>
      <c r="J187" s="4"/>
      <c r="K187" s="4" t="s">
        <v>2399</v>
      </c>
      <c r="L187" s="15" t="str">
        <f t="shared" si="1"/>
        <v>ok</v>
      </c>
    </row>
    <row r="188" ht="60.0" customHeight="1">
      <c r="A188" s="13" t="s">
        <v>825</v>
      </c>
      <c r="B188" s="13">
        <v>4.0</v>
      </c>
      <c r="C188" s="13" t="s">
        <v>2360</v>
      </c>
      <c r="D188" s="13" t="s">
        <v>827</v>
      </c>
      <c r="E188" s="13" t="s">
        <v>828</v>
      </c>
      <c r="F188" s="13" t="s">
        <v>97</v>
      </c>
      <c r="G188" s="4" t="s">
        <v>825</v>
      </c>
      <c r="H188" s="4" t="s">
        <v>694</v>
      </c>
      <c r="I188" s="4"/>
      <c r="J188" s="4"/>
      <c r="K188" s="4" t="s">
        <v>2400</v>
      </c>
      <c r="L188" s="15" t="str">
        <f t="shared" si="1"/>
        <v>ok</v>
      </c>
    </row>
    <row r="189" ht="60.0" customHeight="1">
      <c r="A189" s="13" t="s">
        <v>500</v>
      </c>
      <c r="B189" s="13">
        <v>4.0</v>
      </c>
      <c r="C189" s="13" t="s">
        <v>2360</v>
      </c>
      <c r="D189" s="13" t="s">
        <v>502</v>
      </c>
      <c r="E189" s="13" t="s">
        <v>503</v>
      </c>
      <c r="F189" s="13" t="s">
        <v>126</v>
      </c>
      <c r="G189" s="4" t="s">
        <v>500</v>
      </c>
      <c r="H189" s="4" t="s">
        <v>98</v>
      </c>
      <c r="I189" s="4" t="s">
        <v>126</v>
      </c>
      <c r="J189" s="4"/>
      <c r="K189" s="4" t="s">
        <v>2401</v>
      </c>
      <c r="L189" s="15" t="str">
        <f t="shared" si="1"/>
        <v>ok</v>
      </c>
    </row>
    <row r="190" ht="60.0" customHeight="1">
      <c r="A190" s="13" t="s">
        <v>504</v>
      </c>
      <c r="B190" s="13">
        <v>4.0</v>
      </c>
      <c r="C190" s="13" t="s">
        <v>2360</v>
      </c>
      <c r="D190" s="13" t="s">
        <v>506</v>
      </c>
      <c r="E190" s="13" t="s">
        <v>507</v>
      </c>
      <c r="F190" s="13" t="s">
        <v>97</v>
      </c>
      <c r="G190" s="4" t="s">
        <v>504</v>
      </c>
      <c r="H190" s="4" t="s">
        <v>98</v>
      </c>
      <c r="I190" s="4" t="s">
        <v>97</v>
      </c>
      <c r="J190" s="4"/>
      <c r="K190" s="4" t="s">
        <v>2402</v>
      </c>
      <c r="L190" s="15" t="str">
        <f t="shared" si="1"/>
        <v>ok</v>
      </c>
    </row>
    <row r="191" ht="60.0" customHeight="1">
      <c r="A191" s="13" t="s">
        <v>2021</v>
      </c>
      <c r="B191" s="13">
        <v>4.0</v>
      </c>
      <c r="C191" s="13" t="s">
        <v>2360</v>
      </c>
      <c r="D191" s="13" t="s">
        <v>2023</v>
      </c>
      <c r="E191" s="13" t="s">
        <v>2024</v>
      </c>
      <c r="F191" s="13" t="s">
        <v>97</v>
      </c>
      <c r="G191" s="4" t="s">
        <v>2021</v>
      </c>
      <c r="H191" s="4" t="s">
        <v>694</v>
      </c>
      <c r="I191" s="4"/>
      <c r="J191" s="4"/>
      <c r="K191" s="4" t="s">
        <v>2403</v>
      </c>
      <c r="L191" s="15" t="str">
        <f t="shared" si="1"/>
        <v>ok</v>
      </c>
    </row>
    <row r="192" ht="60.0" customHeight="1">
      <c r="A192" s="13" t="s">
        <v>433</v>
      </c>
      <c r="B192" s="13">
        <v>4.0</v>
      </c>
      <c r="C192" s="13" t="s">
        <v>2404</v>
      </c>
      <c r="D192" s="13" t="s">
        <v>435</v>
      </c>
      <c r="E192" s="13" t="s">
        <v>436</v>
      </c>
      <c r="F192" s="13" t="s">
        <v>97</v>
      </c>
      <c r="G192" s="4" t="s">
        <v>433</v>
      </c>
      <c r="H192" s="4" t="s">
        <v>98</v>
      </c>
      <c r="I192" s="4" t="s">
        <v>97</v>
      </c>
      <c r="J192" s="4"/>
      <c r="K192" s="4" t="s">
        <v>2405</v>
      </c>
      <c r="L192" s="15" t="str">
        <f t="shared" si="1"/>
        <v>ok</v>
      </c>
    </row>
    <row r="193" ht="60.0" customHeight="1">
      <c r="A193" s="13" t="s">
        <v>509</v>
      </c>
      <c r="B193" s="13">
        <v>4.0</v>
      </c>
      <c r="C193" s="13" t="s">
        <v>2360</v>
      </c>
      <c r="D193" s="13" t="s">
        <v>511</v>
      </c>
      <c r="E193" s="13" t="s">
        <v>512</v>
      </c>
      <c r="F193" s="13" t="s">
        <v>97</v>
      </c>
      <c r="G193" s="4" t="s">
        <v>509</v>
      </c>
      <c r="H193" s="4" t="s">
        <v>98</v>
      </c>
      <c r="I193" s="4" t="s">
        <v>97</v>
      </c>
      <c r="J193" s="4"/>
      <c r="K193" s="4" t="s">
        <v>2406</v>
      </c>
      <c r="L193" s="15" t="str">
        <f t="shared" si="1"/>
        <v>ok</v>
      </c>
    </row>
    <row r="194" ht="60.0" customHeight="1">
      <c r="A194" s="13" t="s">
        <v>2025</v>
      </c>
      <c r="B194" s="13">
        <v>4.0</v>
      </c>
      <c r="C194" s="13" t="s">
        <v>2360</v>
      </c>
      <c r="D194" s="13" t="s">
        <v>2027</v>
      </c>
      <c r="E194" s="13" t="s">
        <v>2028</v>
      </c>
      <c r="F194" s="13" t="s">
        <v>97</v>
      </c>
      <c r="G194" s="4" t="s">
        <v>2025</v>
      </c>
      <c r="H194" s="4" t="s">
        <v>98</v>
      </c>
      <c r="I194" s="4" t="s">
        <v>97</v>
      </c>
      <c r="J194" s="4"/>
      <c r="K194" s="4" t="s">
        <v>2407</v>
      </c>
      <c r="L194" s="15" t="str">
        <f t="shared" si="1"/>
        <v>ok</v>
      </c>
    </row>
    <row r="195" ht="60.0" customHeight="1">
      <c r="A195" s="13" t="s">
        <v>1308</v>
      </c>
      <c r="B195" s="13">
        <v>4.0</v>
      </c>
      <c r="C195" s="13" t="s">
        <v>2404</v>
      </c>
      <c r="D195" s="13" t="s">
        <v>1310</v>
      </c>
      <c r="E195" s="13" t="s">
        <v>1311</v>
      </c>
      <c r="F195" s="13" t="s">
        <v>368</v>
      </c>
      <c r="G195" s="4" t="s">
        <v>1308</v>
      </c>
      <c r="H195" s="4" t="s">
        <v>906</v>
      </c>
      <c r="I195" s="4"/>
      <c r="J195" s="4" t="s">
        <v>1023</v>
      </c>
      <c r="K195" s="4" t="s">
        <v>2408</v>
      </c>
      <c r="L195" s="15" t="str">
        <f t="shared" si="1"/>
        <v>ok</v>
      </c>
    </row>
    <row r="196" ht="60.0" customHeight="1">
      <c r="A196" s="13" t="s">
        <v>514</v>
      </c>
      <c r="B196" s="13">
        <v>4.0</v>
      </c>
      <c r="C196" s="13" t="s">
        <v>2360</v>
      </c>
      <c r="D196" s="13" t="s">
        <v>516</v>
      </c>
      <c r="E196" s="13" t="s">
        <v>517</v>
      </c>
      <c r="F196" s="13" t="s">
        <v>97</v>
      </c>
      <c r="G196" s="4" t="s">
        <v>514</v>
      </c>
      <c r="H196" s="4" t="s">
        <v>98</v>
      </c>
      <c r="I196" s="4" t="s">
        <v>97</v>
      </c>
      <c r="J196" s="4"/>
      <c r="K196" s="4" t="s">
        <v>2409</v>
      </c>
      <c r="L196" s="15" t="str">
        <f t="shared" si="1"/>
        <v>ok</v>
      </c>
    </row>
    <row r="197" ht="60.0" customHeight="1">
      <c r="A197" s="13" t="s">
        <v>831</v>
      </c>
      <c r="B197" s="13">
        <v>4.0</v>
      </c>
      <c r="C197" s="13" t="s">
        <v>2360</v>
      </c>
      <c r="D197" s="13" t="s">
        <v>833</v>
      </c>
      <c r="E197" s="13" t="s">
        <v>834</v>
      </c>
      <c r="F197" s="13" t="s">
        <v>97</v>
      </c>
      <c r="G197" s="4" t="s">
        <v>831</v>
      </c>
      <c r="H197" s="4" t="s">
        <v>694</v>
      </c>
      <c r="I197" s="4"/>
      <c r="J197" s="4"/>
      <c r="K197" s="4" t="s">
        <v>2410</v>
      </c>
      <c r="L197" s="15" t="str">
        <f t="shared" si="1"/>
        <v>ok</v>
      </c>
    </row>
    <row r="198" ht="60.0" customHeight="1">
      <c r="A198" s="13" t="s">
        <v>437</v>
      </c>
      <c r="B198" s="13">
        <v>4.0</v>
      </c>
      <c r="C198" s="13" t="s">
        <v>2404</v>
      </c>
      <c r="D198" s="13" t="s">
        <v>439</v>
      </c>
      <c r="E198" s="13" t="s">
        <v>440</v>
      </c>
      <c r="F198" s="13" t="s">
        <v>368</v>
      </c>
      <c r="G198" s="4" t="s">
        <v>437</v>
      </c>
      <c r="H198" s="4" t="s">
        <v>98</v>
      </c>
      <c r="I198" s="4" t="s">
        <v>368</v>
      </c>
      <c r="J198" s="4"/>
      <c r="K198" s="4" t="s">
        <v>2411</v>
      </c>
      <c r="L198" s="15" t="str">
        <f t="shared" si="1"/>
        <v>ok</v>
      </c>
    </row>
    <row r="199" ht="60.0" customHeight="1">
      <c r="A199" s="13" t="s">
        <v>836</v>
      </c>
      <c r="B199" s="13">
        <v>4.0</v>
      </c>
      <c r="C199" s="13" t="s">
        <v>2360</v>
      </c>
      <c r="D199" s="13" t="s">
        <v>838</v>
      </c>
      <c r="E199" s="13" t="s">
        <v>839</v>
      </c>
      <c r="F199" s="13" t="s">
        <v>97</v>
      </c>
      <c r="G199" s="4" t="s">
        <v>836</v>
      </c>
      <c r="H199" s="4" t="s">
        <v>694</v>
      </c>
      <c r="I199" s="4"/>
      <c r="J199" s="4"/>
      <c r="K199" s="4" t="s">
        <v>2412</v>
      </c>
      <c r="L199" s="15" t="str">
        <f t="shared" si="1"/>
        <v>ok</v>
      </c>
    </row>
    <row r="200" ht="60.0" customHeight="1">
      <c r="A200" s="13" t="s">
        <v>1353</v>
      </c>
      <c r="B200" s="13">
        <v>4.0</v>
      </c>
      <c r="C200" s="13" t="s">
        <v>2360</v>
      </c>
      <c r="D200" s="13" t="s">
        <v>1355</v>
      </c>
      <c r="E200" s="13" t="s">
        <v>1356</v>
      </c>
      <c r="F200" s="13" t="s">
        <v>368</v>
      </c>
      <c r="G200" s="4" t="s">
        <v>1353</v>
      </c>
      <c r="H200" s="4" t="s">
        <v>906</v>
      </c>
      <c r="I200" s="4"/>
      <c r="J200" s="4" t="s">
        <v>1023</v>
      </c>
      <c r="K200" s="4" t="s">
        <v>2413</v>
      </c>
      <c r="L200" s="15" t="str">
        <f t="shared" si="1"/>
        <v>ok</v>
      </c>
    </row>
    <row r="201" ht="60.0" customHeight="1">
      <c r="A201" s="13" t="s">
        <v>1358</v>
      </c>
      <c r="B201" s="13">
        <v>4.0</v>
      </c>
      <c r="C201" s="13" t="s">
        <v>2360</v>
      </c>
      <c r="D201" s="13" t="s">
        <v>1360</v>
      </c>
      <c r="E201" s="13" t="s">
        <v>1361</v>
      </c>
      <c r="F201" s="13" t="s">
        <v>368</v>
      </c>
      <c r="G201" s="4" t="s">
        <v>1358</v>
      </c>
      <c r="H201" s="4" t="s">
        <v>906</v>
      </c>
      <c r="I201" s="4"/>
      <c r="J201" s="4" t="s">
        <v>1023</v>
      </c>
      <c r="K201" s="4" t="s">
        <v>2414</v>
      </c>
      <c r="L201" s="15" t="str">
        <f t="shared" si="1"/>
        <v>ok</v>
      </c>
    </row>
    <row r="202" ht="60.0" customHeight="1">
      <c r="A202" s="13" t="s">
        <v>841</v>
      </c>
      <c r="B202" s="13">
        <v>4.0</v>
      </c>
      <c r="C202" s="13" t="s">
        <v>2360</v>
      </c>
      <c r="D202" s="13" t="s">
        <v>843</v>
      </c>
      <c r="E202" s="13" t="s">
        <v>844</v>
      </c>
      <c r="F202" s="13" t="s">
        <v>368</v>
      </c>
      <c r="G202" s="4" t="s">
        <v>841</v>
      </c>
      <c r="H202" s="4" t="s">
        <v>98</v>
      </c>
      <c r="I202" s="4" t="s">
        <v>368</v>
      </c>
      <c r="J202" s="4"/>
      <c r="K202" s="4" t="s">
        <v>2415</v>
      </c>
      <c r="L202" s="15" t="str">
        <f t="shared" si="1"/>
        <v>ok</v>
      </c>
    </row>
    <row r="203" ht="60.0" customHeight="1">
      <c r="A203" s="13" t="s">
        <v>1713</v>
      </c>
      <c r="B203" s="13">
        <v>4.0</v>
      </c>
      <c r="C203" s="13" t="s">
        <v>2404</v>
      </c>
      <c r="D203" s="13" t="s">
        <v>1715</v>
      </c>
      <c r="E203" s="13" t="s">
        <v>1716</v>
      </c>
      <c r="F203" s="13" t="s">
        <v>368</v>
      </c>
      <c r="G203" s="4" t="s">
        <v>1713</v>
      </c>
      <c r="H203" s="4" t="s">
        <v>906</v>
      </c>
      <c r="I203" s="4"/>
      <c r="J203" s="4" t="s">
        <v>1522</v>
      </c>
      <c r="K203" s="4" t="s">
        <v>2416</v>
      </c>
      <c r="L203" s="15" t="str">
        <f t="shared" si="1"/>
        <v>ok</v>
      </c>
    </row>
    <row r="204" ht="60.0" customHeight="1">
      <c r="A204" s="13" t="s">
        <v>1718</v>
      </c>
      <c r="B204" s="13">
        <v>4.0</v>
      </c>
      <c r="C204" s="13" t="s">
        <v>2404</v>
      </c>
      <c r="D204" s="13" t="s">
        <v>1720</v>
      </c>
      <c r="E204" s="13" t="s">
        <v>1721</v>
      </c>
      <c r="F204" s="13" t="s">
        <v>126</v>
      </c>
      <c r="G204" s="4" t="s">
        <v>1718</v>
      </c>
      <c r="H204" s="4" t="s">
        <v>906</v>
      </c>
      <c r="I204" s="4"/>
      <c r="J204" s="4" t="s">
        <v>1522</v>
      </c>
      <c r="K204" s="4" t="s">
        <v>2417</v>
      </c>
      <c r="L204" s="15" t="str">
        <f t="shared" si="1"/>
        <v>ok</v>
      </c>
    </row>
    <row r="205" ht="60.0" customHeight="1">
      <c r="A205" s="13" t="s">
        <v>443</v>
      </c>
      <c r="B205" s="13">
        <v>4.0</v>
      </c>
      <c r="C205" s="13" t="s">
        <v>2404</v>
      </c>
      <c r="D205" s="13" t="s">
        <v>445</v>
      </c>
      <c r="E205" s="13" t="s">
        <v>446</v>
      </c>
      <c r="F205" s="13" t="s">
        <v>368</v>
      </c>
      <c r="G205" s="4" t="s">
        <v>443</v>
      </c>
      <c r="H205" s="4" t="s">
        <v>98</v>
      </c>
      <c r="I205" s="4" t="s">
        <v>368</v>
      </c>
      <c r="J205" s="4"/>
      <c r="K205" s="4" t="s">
        <v>2418</v>
      </c>
      <c r="L205" s="15" t="str">
        <f t="shared" si="1"/>
        <v>ok</v>
      </c>
    </row>
    <row r="206" ht="60.0" customHeight="1">
      <c r="A206" s="13" t="s">
        <v>448</v>
      </c>
      <c r="B206" s="13">
        <v>4.0</v>
      </c>
      <c r="C206" s="13" t="s">
        <v>2404</v>
      </c>
      <c r="D206" s="13" t="s">
        <v>449</v>
      </c>
      <c r="E206" s="13" t="s">
        <v>450</v>
      </c>
      <c r="F206" s="13" t="s">
        <v>97</v>
      </c>
      <c r="G206" s="4" t="s">
        <v>448</v>
      </c>
      <c r="H206" s="4" t="s">
        <v>98</v>
      </c>
      <c r="I206" s="4" t="s">
        <v>97</v>
      </c>
      <c r="J206" s="4"/>
      <c r="K206" s="4" t="s">
        <v>2419</v>
      </c>
      <c r="L206" s="15" t="str">
        <f t="shared" si="1"/>
        <v>ok</v>
      </c>
    </row>
    <row r="207" ht="60.0" customHeight="1">
      <c r="A207" s="13" t="s">
        <v>1313</v>
      </c>
      <c r="B207" s="13">
        <v>5.0</v>
      </c>
      <c r="C207" s="13" t="s">
        <v>2404</v>
      </c>
      <c r="D207" s="13" t="s">
        <v>1315</v>
      </c>
      <c r="E207" s="13" t="s">
        <v>1316</v>
      </c>
      <c r="F207" s="13" t="s">
        <v>368</v>
      </c>
      <c r="G207" s="4" t="s">
        <v>1313</v>
      </c>
      <c r="H207" s="4" t="s">
        <v>906</v>
      </c>
      <c r="I207" s="4"/>
      <c r="J207" s="4" t="s">
        <v>1023</v>
      </c>
      <c r="K207" s="4" t="s">
        <v>2420</v>
      </c>
      <c r="L207" s="15" t="str">
        <f t="shared" si="1"/>
        <v>ok</v>
      </c>
    </row>
    <row r="208" ht="60.0" customHeight="1">
      <c r="A208" s="13" t="s">
        <v>786</v>
      </c>
      <c r="B208" s="13">
        <v>5.0</v>
      </c>
      <c r="C208" s="13" t="s">
        <v>2421</v>
      </c>
      <c r="D208" s="13" t="s">
        <v>788</v>
      </c>
      <c r="E208" s="13" t="s">
        <v>789</v>
      </c>
      <c r="F208" s="13" t="s">
        <v>97</v>
      </c>
      <c r="G208" s="4" t="s">
        <v>786</v>
      </c>
      <c r="H208" s="4" t="s">
        <v>694</v>
      </c>
      <c r="I208" s="4"/>
      <c r="J208" s="4"/>
      <c r="K208" s="4" t="s">
        <v>2422</v>
      </c>
      <c r="L208" s="15" t="str">
        <f t="shared" si="1"/>
        <v>ok</v>
      </c>
    </row>
    <row r="209" ht="60.0" customHeight="1">
      <c r="A209" s="13" t="s">
        <v>451</v>
      </c>
      <c r="B209" s="13">
        <v>5.0</v>
      </c>
      <c r="C209" s="13" t="s">
        <v>2404</v>
      </c>
      <c r="D209" s="13" t="s">
        <v>453</v>
      </c>
      <c r="E209" s="13" t="s">
        <v>454</v>
      </c>
      <c r="F209" s="13" t="s">
        <v>126</v>
      </c>
      <c r="G209" s="4" t="s">
        <v>451</v>
      </c>
      <c r="H209" s="4" t="s">
        <v>98</v>
      </c>
      <c r="I209" s="4" t="s">
        <v>368</v>
      </c>
      <c r="J209" s="4"/>
      <c r="K209" s="4" t="s">
        <v>2423</v>
      </c>
      <c r="L209" s="15" t="str">
        <f t="shared" si="1"/>
        <v>ok</v>
      </c>
    </row>
    <row r="210" ht="60.0" customHeight="1">
      <c r="A210" s="13" t="s">
        <v>792</v>
      </c>
      <c r="B210" s="13">
        <v>5.0</v>
      </c>
      <c r="C210" s="13" t="s">
        <v>2404</v>
      </c>
      <c r="D210" s="13" t="s">
        <v>794</v>
      </c>
      <c r="E210" s="13" t="s">
        <v>795</v>
      </c>
      <c r="F210" s="13" t="s">
        <v>97</v>
      </c>
      <c r="G210" s="4" t="s">
        <v>792</v>
      </c>
      <c r="H210" s="4" t="s">
        <v>694</v>
      </c>
      <c r="I210" s="4"/>
      <c r="J210" s="4"/>
      <c r="K210" s="4" t="s">
        <v>2424</v>
      </c>
      <c r="L210" s="15" t="str">
        <f t="shared" si="1"/>
        <v>ok</v>
      </c>
    </row>
    <row r="211" ht="60.0" customHeight="1">
      <c r="A211" s="13" t="s">
        <v>1723</v>
      </c>
      <c r="B211" s="13">
        <v>5.0</v>
      </c>
      <c r="C211" s="13" t="s">
        <v>2404</v>
      </c>
      <c r="D211" s="13" t="s">
        <v>1725</v>
      </c>
      <c r="E211" s="13" t="s">
        <v>1726</v>
      </c>
      <c r="F211" s="13" t="s">
        <v>368</v>
      </c>
      <c r="G211" s="4" t="s">
        <v>1723</v>
      </c>
      <c r="H211" s="4" t="s">
        <v>906</v>
      </c>
      <c r="I211" s="4"/>
      <c r="J211" s="4" t="s">
        <v>1522</v>
      </c>
      <c r="K211" s="4" t="s">
        <v>2425</v>
      </c>
      <c r="L211" s="15" t="str">
        <f t="shared" si="1"/>
        <v>ok</v>
      </c>
    </row>
    <row r="212" ht="60.0" customHeight="1">
      <c r="A212" s="13" t="s">
        <v>1318</v>
      </c>
      <c r="B212" s="13">
        <v>5.0</v>
      </c>
      <c r="C212" s="13" t="s">
        <v>2404</v>
      </c>
      <c r="D212" s="13" t="s">
        <v>1320</v>
      </c>
      <c r="E212" s="13" t="s">
        <v>1321</v>
      </c>
      <c r="F212" s="13" t="s">
        <v>368</v>
      </c>
      <c r="G212" s="4" t="s">
        <v>1318</v>
      </c>
      <c r="H212" s="4" t="s">
        <v>906</v>
      </c>
      <c r="I212" s="4"/>
      <c r="J212" s="4" t="s">
        <v>1023</v>
      </c>
      <c r="K212" s="4" t="s">
        <v>2426</v>
      </c>
      <c r="L212" s="15" t="str">
        <f t="shared" si="1"/>
        <v>ok</v>
      </c>
    </row>
    <row r="213" ht="60.0" customHeight="1">
      <c r="A213" s="13" t="s">
        <v>455</v>
      </c>
      <c r="B213" s="13">
        <v>5.0</v>
      </c>
      <c r="C213" s="13" t="s">
        <v>2404</v>
      </c>
      <c r="D213" s="13" t="s">
        <v>457</v>
      </c>
      <c r="E213" s="13" t="s">
        <v>458</v>
      </c>
      <c r="F213" s="13" t="s">
        <v>97</v>
      </c>
      <c r="G213" s="4" t="s">
        <v>455</v>
      </c>
      <c r="H213" s="4" t="s">
        <v>98</v>
      </c>
      <c r="I213" s="4" t="s">
        <v>97</v>
      </c>
      <c r="J213" s="4"/>
      <c r="K213" s="4" t="s">
        <v>2427</v>
      </c>
      <c r="L213" s="15" t="str">
        <f t="shared" si="1"/>
        <v>ok</v>
      </c>
    </row>
    <row r="214" ht="60.0" customHeight="1">
      <c r="A214" s="13" t="s">
        <v>2150</v>
      </c>
      <c r="B214" s="13">
        <v>5.0</v>
      </c>
      <c r="C214" s="13" t="s">
        <v>2404</v>
      </c>
      <c r="D214" s="13" t="s">
        <v>2152</v>
      </c>
      <c r="E214" s="13" t="s">
        <v>2153</v>
      </c>
      <c r="F214" s="13" t="s">
        <v>97</v>
      </c>
      <c r="G214" s="4" t="s">
        <v>2150</v>
      </c>
      <c r="H214" s="4" t="s">
        <v>906</v>
      </c>
      <c r="I214" s="4"/>
      <c r="J214" s="4" t="s">
        <v>2144</v>
      </c>
      <c r="K214" s="4" t="s">
        <v>2428</v>
      </c>
      <c r="L214" s="15" t="str">
        <f t="shared" si="1"/>
        <v>ok</v>
      </c>
    </row>
    <row r="215" ht="60.0" customHeight="1">
      <c r="A215" s="13" t="s">
        <v>798</v>
      </c>
      <c r="B215" s="13">
        <v>5.0</v>
      </c>
      <c r="C215" s="13" t="s">
        <v>2404</v>
      </c>
      <c r="D215" s="13" t="s">
        <v>800</v>
      </c>
      <c r="E215" s="13" t="s">
        <v>801</v>
      </c>
      <c r="F215" s="13" t="s">
        <v>97</v>
      </c>
      <c r="G215" s="4" t="s">
        <v>798</v>
      </c>
      <c r="H215" s="4" t="s">
        <v>694</v>
      </c>
      <c r="I215" s="4"/>
      <c r="J215" s="4"/>
      <c r="K215" s="4" t="s">
        <v>2429</v>
      </c>
      <c r="L215" s="15" t="str">
        <f t="shared" si="1"/>
        <v>ok</v>
      </c>
    </row>
    <row r="216" ht="60.0" customHeight="1">
      <c r="A216" s="13" t="s">
        <v>1296</v>
      </c>
      <c r="B216" s="13">
        <v>5.0</v>
      </c>
      <c r="C216" s="13" t="s">
        <v>2421</v>
      </c>
      <c r="D216" s="13" t="s">
        <v>1298</v>
      </c>
      <c r="E216" s="13" t="s">
        <v>1299</v>
      </c>
      <c r="F216" s="13" t="s">
        <v>368</v>
      </c>
      <c r="G216" s="4" t="s">
        <v>1296</v>
      </c>
      <c r="H216" s="4" t="s">
        <v>906</v>
      </c>
      <c r="I216" s="4"/>
      <c r="J216" s="4" t="s">
        <v>1023</v>
      </c>
      <c r="K216" s="4" t="s">
        <v>2430</v>
      </c>
      <c r="L216" s="15" t="str">
        <f t="shared" si="1"/>
        <v>ok</v>
      </c>
    </row>
    <row r="217" ht="60.0" customHeight="1">
      <c r="A217" s="13" t="s">
        <v>2125</v>
      </c>
      <c r="B217" s="13">
        <v>5.0</v>
      </c>
      <c r="C217" s="13" t="s">
        <v>2421</v>
      </c>
      <c r="D217" s="13" t="s">
        <v>2127</v>
      </c>
      <c r="E217" s="13" t="s">
        <v>2128</v>
      </c>
      <c r="F217" s="13" t="s">
        <v>368</v>
      </c>
      <c r="G217" s="4" t="s">
        <v>2125</v>
      </c>
      <c r="H217" s="4" t="s">
        <v>694</v>
      </c>
      <c r="I217" s="4"/>
      <c r="J217" s="4"/>
      <c r="K217" s="4" t="s">
        <v>2431</v>
      </c>
      <c r="L217" s="15" t="str">
        <f t="shared" si="1"/>
        <v>ok</v>
      </c>
    </row>
    <row r="218" ht="60.0" customHeight="1">
      <c r="A218" s="13" t="s">
        <v>1727</v>
      </c>
      <c r="B218" s="13">
        <v>5.0</v>
      </c>
      <c r="C218" s="13" t="s">
        <v>2404</v>
      </c>
      <c r="D218" s="13" t="s">
        <v>1729</v>
      </c>
      <c r="E218" s="13" t="s">
        <v>1730</v>
      </c>
      <c r="F218" s="13" t="s">
        <v>97</v>
      </c>
      <c r="G218" s="4" t="s">
        <v>1727</v>
      </c>
      <c r="H218" s="4" t="s">
        <v>906</v>
      </c>
      <c r="I218" s="4"/>
      <c r="J218" s="4" t="s">
        <v>1522</v>
      </c>
      <c r="K218" s="4" t="s">
        <v>2432</v>
      </c>
      <c r="L218" s="15" t="str">
        <f t="shared" si="1"/>
        <v>ok</v>
      </c>
    </row>
    <row r="219" ht="60.0" customHeight="1">
      <c r="A219" s="13" t="s">
        <v>1300</v>
      </c>
      <c r="B219" s="13">
        <v>5.0</v>
      </c>
      <c r="C219" s="13" t="s">
        <v>2421</v>
      </c>
      <c r="D219" s="13" t="s">
        <v>1302</v>
      </c>
      <c r="E219" s="13" t="s">
        <v>1303</v>
      </c>
      <c r="F219" s="13" t="s">
        <v>368</v>
      </c>
      <c r="G219" s="4" t="s">
        <v>1300</v>
      </c>
      <c r="H219" s="4" t="s">
        <v>906</v>
      </c>
      <c r="I219" s="4"/>
      <c r="J219" s="4" t="s">
        <v>1023</v>
      </c>
      <c r="K219" s="4" t="s">
        <v>2433</v>
      </c>
      <c r="L219" s="15" t="str">
        <f t="shared" si="1"/>
        <v>ok</v>
      </c>
    </row>
    <row r="220" ht="60.0" customHeight="1">
      <c r="A220" s="13" t="s">
        <v>1731</v>
      </c>
      <c r="B220" s="13">
        <v>5.0</v>
      </c>
      <c r="C220" s="13" t="s">
        <v>2404</v>
      </c>
      <c r="D220" s="13" t="s">
        <v>1733</v>
      </c>
      <c r="E220" s="13" t="s">
        <v>1734</v>
      </c>
      <c r="F220" s="13" t="s">
        <v>368</v>
      </c>
      <c r="G220" s="4" t="s">
        <v>1731</v>
      </c>
      <c r="H220" s="4" t="s">
        <v>906</v>
      </c>
      <c r="I220" s="4"/>
      <c r="J220" s="4" t="s">
        <v>1522</v>
      </c>
      <c r="K220" s="4" t="s">
        <v>2434</v>
      </c>
      <c r="L220" s="15" t="str">
        <f t="shared" si="1"/>
        <v>ok</v>
      </c>
    </row>
    <row r="221" ht="60.0" customHeight="1">
      <c r="A221" s="13" t="s">
        <v>1735</v>
      </c>
      <c r="B221" s="13">
        <v>5.0</v>
      </c>
      <c r="C221" s="13" t="s">
        <v>2404</v>
      </c>
      <c r="D221" s="13" t="s">
        <v>1737</v>
      </c>
      <c r="E221" s="13" t="s">
        <v>1738</v>
      </c>
      <c r="F221" s="13" t="s">
        <v>97</v>
      </c>
      <c r="G221" s="4" t="s">
        <v>1735</v>
      </c>
      <c r="H221" s="4" t="s">
        <v>906</v>
      </c>
      <c r="I221" s="4"/>
      <c r="J221" s="4" t="s">
        <v>1522</v>
      </c>
      <c r="K221" s="4" t="s">
        <v>2435</v>
      </c>
      <c r="L221" s="15" t="str">
        <f t="shared" si="1"/>
        <v>ok</v>
      </c>
    </row>
    <row r="222" ht="60.0" customHeight="1">
      <c r="A222" s="13" t="s">
        <v>930</v>
      </c>
      <c r="B222" s="13">
        <v>5.0</v>
      </c>
      <c r="C222" s="13" t="s">
        <v>2404</v>
      </c>
      <c r="D222" s="13" t="s">
        <v>932</v>
      </c>
      <c r="E222" s="13" t="s">
        <v>933</v>
      </c>
      <c r="F222" s="13" t="s">
        <v>97</v>
      </c>
      <c r="G222" s="4" t="s">
        <v>930</v>
      </c>
      <c r="H222" s="4" t="s">
        <v>906</v>
      </c>
      <c r="I222" s="4"/>
      <c r="J222" s="4" t="s">
        <v>1522</v>
      </c>
      <c r="K222" s="4" t="s">
        <v>2436</v>
      </c>
      <c r="L222" s="15" t="str">
        <f t="shared" si="1"/>
        <v>ok</v>
      </c>
    </row>
    <row r="223" ht="60.0" customHeight="1">
      <c r="A223" s="13" t="s">
        <v>1740</v>
      </c>
      <c r="B223" s="13">
        <v>5.0</v>
      </c>
      <c r="C223" s="13" t="s">
        <v>2404</v>
      </c>
      <c r="D223" s="13" t="s">
        <v>1742</v>
      </c>
      <c r="E223" s="13" t="s">
        <v>1743</v>
      </c>
      <c r="F223" s="13" t="s">
        <v>368</v>
      </c>
      <c r="G223" s="4" t="s">
        <v>1740</v>
      </c>
      <c r="H223" s="4" t="s">
        <v>906</v>
      </c>
      <c r="I223" s="4"/>
      <c r="J223" s="4" t="s">
        <v>1522</v>
      </c>
      <c r="K223" s="4" t="s">
        <v>2437</v>
      </c>
      <c r="L223" s="15" t="str">
        <f t="shared" si="1"/>
        <v>ok</v>
      </c>
    </row>
    <row r="224" ht="60.0" customHeight="1">
      <c r="A224" s="13" t="s">
        <v>1323</v>
      </c>
      <c r="B224" s="13">
        <v>5.0</v>
      </c>
      <c r="C224" s="13" t="s">
        <v>2404</v>
      </c>
      <c r="D224" s="13" t="s">
        <v>1325</v>
      </c>
      <c r="E224" s="13" t="s">
        <v>1326</v>
      </c>
      <c r="F224" s="13" t="s">
        <v>368</v>
      </c>
      <c r="G224" s="4" t="s">
        <v>1323</v>
      </c>
      <c r="H224" s="4" t="s">
        <v>906</v>
      </c>
      <c r="I224" s="4"/>
      <c r="J224" s="4" t="s">
        <v>1023</v>
      </c>
      <c r="K224" s="4" t="s">
        <v>2438</v>
      </c>
      <c r="L224" s="15" t="str">
        <f t="shared" si="1"/>
        <v>ok</v>
      </c>
    </row>
    <row r="225" ht="60.0" customHeight="1">
      <c r="A225" s="13" t="s">
        <v>413</v>
      </c>
      <c r="B225" s="13">
        <v>5.0</v>
      </c>
      <c r="C225" s="13" t="s">
        <v>2421</v>
      </c>
      <c r="D225" s="13" t="s">
        <v>415</v>
      </c>
      <c r="E225" s="13" t="s">
        <v>416</v>
      </c>
      <c r="F225" s="13" t="s">
        <v>97</v>
      </c>
      <c r="G225" s="4" t="s">
        <v>413</v>
      </c>
      <c r="H225" s="4" t="s">
        <v>98</v>
      </c>
      <c r="I225" s="4" t="s">
        <v>97</v>
      </c>
      <c r="J225" s="4"/>
      <c r="K225" s="4" t="s">
        <v>2439</v>
      </c>
      <c r="L225" s="15" t="str">
        <f t="shared" si="1"/>
        <v>ok</v>
      </c>
    </row>
    <row r="226" ht="60.0" customHeight="1">
      <c r="A226" s="13" t="s">
        <v>935</v>
      </c>
      <c r="B226" s="13">
        <v>5.0</v>
      </c>
      <c r="C226" s="13" t="s">
        <v>2404</v>
      </c>
      <c r="D226" s="13" t="s">
        <v>936</v>
      </c>
      <c r="E226" s="13" t="s">
        <v>937</v>
      </c>
      <c r="F226" s="13" t="s">
        <v>97</v>
      </c>
      <c r="G226" s="4" t="s">
        <v>935</v>
      </c>
      <c r="H226" s="4" t="s">
        <v>906</v>
      </c>
      <c r="I226" s="4"/>
      <c r="J226" s="4" t="s">
        <v>907</v>
      </c>
      <c r="K226" s="4" t="s">
        <v>2440</v>
      </c>
      <c r="L226" s="15" t="str">
        <f t="shared" si="1"/>
        <v>ok</v>
      </c>
    </row>
    <row r="227" ht="60.0" customHeight="1">
      <c r="A227" s="13" t="s">
        <v>460</v>
      </c>
      <c r="B227" s="13">
        <v>5.0</v>
      </c>
      <c r="C227" s="13" t="s">
        <v>2404</v>
      </c>
      <c r="D227" s="13" t="s">
        <v>461</v>
      </c>
      <c r="E227" s="13" t="s">
        <v>462</v>
      </c>
      <c r="F227" s="13" t="s">
        <v>97</v>
      </c>
      <c r="G227" s="4" t="s">
        <v>460</v>
      </c>
      <c r="H227" s="4" t="s">
        <v>98</v>
      </c>
      <c r="I227" s="4" t="s">
        <v>97</v>
      </c>
      <c r="J227" s="4"/>
      <c r="K227" s="4" t="s">
        <v>2441</v>
      </c>
      <c r="L227" s="15" t="str">
        <f t="shared" si="1"/>
        <v>ok</v>
      </c>
    </row>
    <row r="228" ht="60.0" customHeight="1">
      <c r="A228" s="13" t="s">
        <v>2016</v>
      </c>
      <c r="B228" s="13">
        <v>5.0</v>
      </c>
      <c r="C228" s="13" t="s">
        <v>2404</v>
      </c>
      <c r="D228" s="13" t="s">
        <v>2018</v>
      </c>
      <c r="E228" s="13" t="s">
        <v>2019</v>
      </c>
      <c r="F228" s="13" t="s">
        <v>97</v>
      </c>
      <c r="G228" s="4" t="s">
        <v>2016</v>
      </c>
      <c r="H228" s="4" t="s">
        <v>906</v>
      </c>
      <c r="I228" s="4"/>
      <c r="J228" s="4" t="s">
        <v>1953</v>
      </c>
      <c r="K228" s="4" t="s">
        <v>2442</v>
      </c>
      <c r="L228" s="15" t="str">
        <f t="shared" si="1"/>
        <v>ok</v>
      </c>
    </row>
    <row r="229" ht="60.0" customHeight="1">
      <c r="A229" s="13" t="s">
        <v>417</v>
      </c>
      <c r="B229" s="13">
        <v>5.0</v>
      </c>
      <c r="C229" s="13" t="s">
        <v>2421</v>
      </c>
      <c r="D229" s="13" t="s">
        <v>419</v>
      </c>
      <c r="E229" s="13" t="s">
        <v>420</v>
      </c>
      <c r="F229" s="13" t="s">
        <v>97</v>
      </c>
      <c r="G229" s="4" t="s">
        <v>417</v>
      </c>
      <c r="H229" s="4" t="s">
        <v>98</v>
      </c>
      <c r="I229" s="4" t="s">
        <v>126</v>
      </c>
      <c r="J229" s="4"/>
      <c r="K229" s="4" t="s">
        <v>2443</v>
      </c>
      <c r="L229" s="15" t="str">
        <f t="shared" si="1"/>
        <v>ok</v>
      </c>
    </row>
    <row r="230" ht="60.0" customHeight="1">
      <c r="A230" s="13" t="s">
        <v>1327</v>
      </c>
      <c r="B230" s="13">
        <v>5.0</v>
      </c>
      <c r="C230" s="13" t="s">
        <v>2404</v>
      </c>
      <c r="D230" s="13" t="s">
        <v>1329</v>
      </c>
      <c r="E230" s="13" t="s">
        <v>1330</v>
      </c>
      <c r="F230" s="13" t="s">
        <v>368</v>
      </c>
      <c r="G230" s="4" t="s">
        <v>1327</v>
      </c>
      <c r="H230" s="4" t="s">
        <v>906</v>
      </c>
      <c r="I230" s="4"/>
      <c r="J230" s="4" t="s">
        <v>1023</v>
      </c>
      <c r="K230" s="4" t="s">
        <v>2444</v>
      </c>
      <c r="L230" s="15" t="str">
        <f t="shared" si="1"/>
        <v>ok</v>
      </c>
    </row>
    <row r="231" ht="60.0" customHeight="1">
      <c r="A231" s="13" t="s">
        <v>1704</v>
      </c>
      <c r="B231" s="13">
        <v>5.0</v>
      </c>
      <c r="C231" s="13" t="s">
        <v>2421</v>
      </c>
      <c r="D231" s="13" t="s">
        <v>1706</v>
      </c>
      <c r="E231" s="13" t="s">
        <v>1707</v>
      </c>
      <c r="F231" s="13" t="s">
        <v>368</v>
      </c>
      <c r="G231" s="4" t="s">
        <v>1704</v>
      </c>
      <c r="H231" s="4" t="s">
        <v>906</v>
      </c>
      <c r="I231" s="4"/>
      <c r="J231" s="4" t="s">
        <v>1522</v>
      </c>
      <c r="K231" s="4" t="s">
        <v>2445</v>
      </c>
      <c r="L231" s="15" t="str">
        <f t="shared" si="1"/>
        <v>ok</v>
      </c>
    </row>
    <row r="232" ht="60.0" customHeight="1">
      <c r="A232" s="13" t="s">
        <v>1304</v>
      </c>
      <c r="B232" s="13">
        <v>5.0</v>
      </c>
      <c r="C232" s="13" t="s">
        <v>2421</v>
      </c>
      <c r="D232" s="13" t="s">
        <v>1306</v>
      </c>
      <c r="E232" s="13" t="s">
        <v>1307</v>
      </c>
      <c r="F232" s="13" t="s">
        <v>368</v>
      </c>
      <c r="G232" s="4" t="s">
        <v>1304</v>
      </c>
      <c r="H232" s="4" t="s">
        <v>906</v>
      </c>
      <c r="I232" s="4"/>
      <c r="J232" s="4" t="s">
        <v>2111</v>
      </c>
      <c r="K232" s="4" t="s">
        <v>2446</v>
      </c>
      <c r="L232" s="15" t="str">
        <f t="shared" si="1"/>
        <v>ok</v>
      </c>
    </row>
    <row r="233" ht="60.0" customHeight="1">
      <c r="A233" s="13" t="s">
        <v>422</v>
      </c>
      <c r="B233" s="13">
        <v>5.0</v>
      </c>
      <c r="C233" s="13" t="s">
        <v>2421</v>
      </c>
      <c r="D233" s="13" t="s">
        <v>424</v>
      </c>
      <c r="E233" s="13" t="s">
        <v>425</v>
      </c>
      <c r="F233" s="13" t="s">
        <v>126</v>
      </c>
      <c r="G233" s="4" t="s">
        <v>422</v>
      </c>
      <c r="H233" s="4" t="s">
        <v>98</v>
      </c>
      <c r="I233" s="4" t="s">
        <v>126</v>
      </c>
      <c r="J233" s="4"/>
      <c r="K233" s="4" t="s">
        <v>2447</v>
      </c>
      <c r="L233" s="15" t="str">
        <f t="shared" si="1"/>
        <v>ok</v>
      </c>
    </row>
    <row r="234" ht="60.0" customHeight="1">
      <c r="A234" s="13" t="s">
        <v>1269</v>
      </c>
      <c r="B234" s="13">
        <v>5.0</v>
      </c>
      <c r="C234" s="13" t="s">
        <v>2448</v>
      </c>
      <c r="D234" s="13" t="s">
        <v>1271</v>
      </c>
      <c r="E234" s="13" t="s">
        <v>1272</v>
      </c>
      <c r="F234" s="13" t="s">
        <v>368</v>
      </c>
      <c r="G234" s="4" t="s">
        <v>1269</v>
      </c>
      <c r="H234" s="4" t="s">
        <v>906</v>
      </c>
      <c r="I234" s="4"/>
      <c r="J234" s="4" t="s">
        <v>1023</v>
      </c>
      <c r="K234" s="4" t="s">
        <v>2449</v>
      </c>
      <c r="L234" s="15" t="str">
        <f t="shared" si="1"/>
        <v>ok</v>
      </c>
    </row>
    <row r="235" ht="60.0" customHeight="1">
      <c r="A235" s="13" t="s">
        <v>1708</v>
      </c>
      <c r="B235" s="13">
        <v>5.0</v>
      </c>
      <c r="C235" s="13" t="s">
        <v>2421</v>
      </c>
      <c r="D235" s="13" t="s">
        <v>1710</v>
      </c>
      <c r="E235" s="13" t="s">
        <v>1711</v>
      </c>
      <c r="F235" s="13" t="s">
        <v>368</v>
      </c>
      <c r="G235" s="4" t="s">
        <v>1708</v>
      </c>
      <c r="H235" s="4" t="s">
        <v>906</v>
      </c>
      <c r="I235" s="4"/>
      <c r="J235" s="4" t="s">
        <v>1522</v>
      </c>
      <c r="K235" s="4" t="s">
        <v>2450</v>
      </c>
      <c r="L235" s="15" t="str">
        <f t="shared" si="1"/>
        <v>ok</v>
      </c>
    </row>
    <row r="236" ht="60.0" customHeight="1">
      <c r="A236" s="13" t="s">
        <v>1273</v>
      </c>
      <c r="B236" s="13">
        <v>5.0</v>
      </c>
      <c r="C236" s="13" t="s">
        <v>2448</v>
      </c>
      <c r="D236" s="13" t="s">
        <v>1275</v>
      </c>
      <c r="E236" s="13" t="s">
        <v>1276</v>
      </c>
      <c r="F236" s="13" t="s">
        <v>368</v>
      </c>
      <c r="G236" s="4" t="s">
        <v>1273</v>
      </c>
      <c r="H236" s="4" t="s">
        <v>906</v>
      </c>
      <c r="I236" s="4"/>
      <c r="J236" s="4" t="s">
        <v>1023</v>
      </c>
      <c r="K236" s="4" t="s">
        <v>2451</v>
      </c>
      <c r="L236" s="15" t="str">
        <f t="shared" si="1"/>
        <v>ok</v>
      </c>
    </row>
    <row r="237" ht="60.0" customHeight="1">
      <c r="A237" s="13" t="s">
        <v>925</v>
      </c>
      <c r="B237" s="13">
        <v>5.0</v>
      </c>
      <c r="C237" s="13" t="s">
        <v>2421</v>
      </c>
      <c r="D237" s="13" t="s">
        <v>927</v>
      </c>
      <c r="E237" s="13" t="s">
        <v>928</v>
      </c>
      <c r="F237" s="13" t="s">
        <v>97</v>
      </c>
      <c r="G237" s="4" t="s">
        <v>925</v>
      </c>
      <c r="H237" s="4" t="s">
        <v>906</v>
      </c>
      <c r="I237" s="4"/>
      <c r="J237" s="4" t="s">
        <v>907</v>
      </c>
      <c r="K237" s="4" t="s">
        <v>2452</v>
      </c>
      <c r="L237" s="15" t="str">
        <f t="shared" si="1"/>
        <v>ok</v>
      </c>
    </row>
    <row r="238" ht="60.0" customHeight="1">
      <c r="A238" s="13" t="s">
        <v>428</v>
      </c>
      <c r="B238" s="13">
        <v>5.0</v>
      </c>
      <c r="C238" s="13" t="s">
        <v>2421</v>
      </c>
      <c r="D238" s="13" t="s">
        <v>430</v>
      </c>
      <c r="E238" s="13" t="s">
        <v>431</v>
      </c>
      <c r="F238" s="13" t="s">
        <v>97</v>
      </c>
      <c r="G238" s="4" t="s">
        <v>428</v>
      </c>
      <c r="H238" s="4" t="s">
        <v>98</v>
      </c>
      <c r="I238" s="4" t="s">
        <v>97</v>
      </c>
      <c r="J238" s="4"/>
      <c r="K238" s="4" t="s">
        <v>2453</v>
      </c>
      <c r="L238" s="15" t="str">
        <f t="shared" si="1"/>
        <v>ok</v>
      </c>
    </row>
    <row r="239" ht="60.0" customHeight="1">
      <c r="A239" s="13" t="s">
        <v>375</v>
      </c>
      <c r="B239" s="13">
        <v>5.0</v>
      </c>
      <c r="C239" s="13" t="s">
        <v>2448</v>
      </c>
      <c r="D239" s="13" t="s">
        <v>377</v>
      </c>
      <c r="E239" s="13" t="s">
        <v>378</v>
      </c>
      <c r="F239" s="13" t="s">
        <v>97</v>
      </c>
      <c r="G239" s="4" t="s">
        <v>375</v>
      </c>
      <c r="H239" s="4" t="s">
        <v>98</v>
      </c>
      <c r="I239" s="4" t="s">
        <v>97</v>
      </c>
      <c r="J239" s="4"/>
      <c r="K239" s="4" t="s">
        <v>2454</v>
      </c>
      <c r="L239" s="15" t="str">
        <f t="shared" si="1"/>
        <v>ok</v>
      </c>
    </row>
    <row r="240" ht="60.0" customHeight="1">
      <c r="A240" s="13" t="s">
        <v>1278</v>
      </c>
      <c r="B240" s="13">
        <v>5.0</v>
      </c>
      <c r="C240" s="13" t="s">
        <v>2448</v>
      </c>
      <c r="D240" s="13" t="s">
        <v>1280</v>
      </c>
      <c r="E240" s="13" t="s">
        <v>1281</v>
      </c>
      <c r="F240" s="13" t="s">
        <v>368</v>
      </c>
      <c r="G240" s="4" t="s">
        <v>1278</v>
      </c>
      <c r="H240" s="4" t="s">
        <v>906</v>
      </c>
      <c r="I240" s="4"/>
      <c r="J240" s="4" t="s">
        <v>1023</v>
      </c>
      <c r="K240" s="4" t="s">
        <v>2455</v>
      </c>
      <c r="L240" s="15" t="str">
        <f t="shared" si="1"/>
        <v>ok</v>
      </c>
    </row>
    <row r="241" ht="60.0" customHeight="1">
      <c r="A241" s="13" t="s">
        <v>380</v>
      </c>
      <c r="B241" s="13">
        <v>5.0</v>
      </c>
      <c r="C241" s="13" t="s">
        <v>2448</v>
      </c>
      <c r="D241" s="13" t="s">
        <v>382</v>
      </c>
      <c r="E241" s="13" t="s">
        <v>383</v>
      </c>
      <c r="F241" s="13" t="s">
        <v>97</v>
      </c>
      <c r="G241" s="4" t="s">
        <v>380</v>
      </c>
      <c r="H241" s="4" t="s">
        <v>98</v>
      </c>
      <c r="I241" s="4" t="s">
        <v>97</v>
      </c>
      <c r="J241" s="4"/>
      <c r="K241" s="4" t="s">
        <v>2456</v>
      </c>
      <c r="L241" s="15" t="str">
        <f t="shared" si="1"/>
        <v>ok</v>
      </c>
    </row>
    <row r="242" ht="60.0" customHeight="1">
      <c r="A242" s="13" t="s">
        <v>774</v>
      </c>
      <c r="B242" s="13">
        <v>5.0</v>
      </c>
      <c r="C242" s="13" t="s">
        <v>2448</v>
      </c>
      <c r="D242" s="13" t="s">
        <v>776</v>
      </c>
      <c r="E242" s="13" t="s">
        <v>777</v>
      </c>
      <c r="F242" s="13" t="s">
        <v>97</v>
      </c>
      <c r="G242" s="4" t="s">
        <v>774</v>
      </c>
      <c r="H242" s="4" t="s">
        <v>694</v>
      </c>
      <c r="I242" s="4"/>
      <c r="J242" s="4"/>
      <c r="K242" s="4" t="s">
        <v>2457</v>
      </c>
      <c r="L242" s="15" t="str">
        <f t="shared" si="1"/>
        <v>ok</v>
      </c>
    </row>
    <row r="243" ht="60.0" customHeight="1">
      <c r="A243" s="13" t="s">
        <v>1282</v>
      </c>
      <c r="B243" s="13">
        <v>5.0</v>
      </c>
      <c r="C243" s="13" t="s">
        <v>2448</v>
      </c>
      <c r="D243" s="13" t="s">
        <v>1284</v>
      </c>
      <c r="E243" s="13" t="s">
        <v>1285</v>
      </c>
      <c r="F243" s="13" t="s">
        <v>368</v>
      </c>
      <c r="G243" s="4" t="s">
        <v>1282</v>
      </c>
      <c r="H243" s="4" t="s">
        <v>906</v>
      </c>
      <c r="I243" s="4"/>
      <c r="J243" s="4" t="s">
        <v>1023</v>
      </c>
      <c r="K243" s="4" t="s">
        <v>2458</v>
      </c>
      <c r="L243" s="15" t="str">
        <f t="shared" si="1"/>
        <v>ok</v>
      </c>
    </row>
    <row r="244" ht="60.0" customHeight="1">
      <c r="A244" s="13" t="s">
        <v>920</v>
      </c>
      <c r="B244" s="13">
        <v>5.0</v>
      </c>
      <c r="C244" s="13" t="s">
        <v>2448</v>
      </c>
      <c r="D244" s="13" t="s">
        <v>922</v>
      </c>
      <c r="E244" s="13" t="s">
        <v>923</v>
      </c>
      <c r="F244" s="13" t="s">
        <v>368</v>
      </c>
      <c r="G244" s="4" t="s">
        <v>920</v>
      </c>
      <c r="H244" s="4" t="s">
        <v>906</v>
      </c>
      <c r="I244" s="4"/>
      <c r="J244" s="4" t="s">
        <v>1522</v>
      </c>
      <c r="K244" s="4" t="s">
        <v>2459</v>
      </c>
      <c r="L244" s="15" t="str">
        <f t="shared" si="1"/>
        <v>ok</v>
      </c>
    </row>
    <row r="245" ht="60.0" customHeight="1">
      <c r="A245" s="13" t="s">
        <v>384</v>
      </c>
      <c r="B245" s="13">
        <v>5.0</v>
      </c>
      <c r="C245" s="13" t="s">
        <v>2448</v>
      </c>
      <c r="D245" s="13" t="s">
        <v>386</v>
      </c>
      <c r="E245" s="13" t="s">
        <v>387</v>
      </c>
      <c r="F245" s="13" t="s">
        <v>97</v>
      </c>
      <c r="G245" s="4" t="s">
        <v>384</v>
      </c>
      <c r="H245" s="4" t="s">
        <v>694</v>
      </c>
      <c r="I245" s="4"/>
      <c r="J245" s="4"/>
      <c r="K245" s="4" t="s">
        <v>2460</v>
      </c>
      <c r="L245" s="15" t="str">
        <f t="shared" si="1"/>
        <v>ok</v>
      </c>
    </row>
    <row r="246" ht="60.0" customHeight="1">
      <c r="A246" s="13" t="s">
        <v>388</v>
      </c>
      <c r="B246" s="13">
        <v>5.0</v>
      </c>
      <c r="C246" s="13" t="s">
        <v>2448</v>
      </c>
      <c r="D246" s="13" t="s">
        <v>390</v>
      </c>
      <c r="E246" s="13" t="s">
        <v>391</v>
      </c>
      <c r="F246" s="13" t="s">
        <v>97</v>
      </c>
      <c r="G246" s="4" t="s">
        <v>388</v>
      </c>
      <c r="H246" s="4" t="s">
        <v>98</v>
      </c>
      <c r="I246" s="4" t="s">
        <v>97</v>
      </c>
      <c r="J246" s="4"/>
      <c r="K246" s="4" t="s">
        <v>2461</v>
      </c>
      <c r="L246" s="15" t="str">
        <f t="shared" si="1"/>
        <v>ok</v>
      </c>
    </row>
    <row r="247" ht="60.0" customHeight="1">
      <c r="A247" s="13" t="s">
        <v>394</v>
      </c>
      <c r="B247" s="13">
        <v>5.0</v>
      </c>
      <c r="C247" s="13" t="s">
        <v>2448</v>
      </c>
      <c r="D247" s="13" t="s">
        <v>396</v>
      </c>
      <c r="E247" s="13" t="s">
        <v>397</v>
      </c>
      <c r="F247" s="13" t="s">
        <v>97</v>
      </c>
      <c r="G247" s="4" t="s">
        <v>394</v>
      </c>
      <c r="H247" s="4" t="s">
        <v>98</v>
      </c>
      <c r="I247" s="4" t="s">
        <v>97</v>
      </c>
      <c r="J247" s="4"/>
      <c r="K247" s="4" t="s">
        <v>2462</v>
      </c>
      <c r="L247" s="15" t="str">
        <f t="shared" si="1"/>
        <v>ok</v>
      </c>
    </row>
    <row r="248" ht="60.0" customHeight="1">
      <c r="A248" s="13" t="s">
        <v>1699</v>
      </c>
      <c r="B248" s="13">
        <v>5.0</v>
      </c>
      <c r="C248" s="13" t="s">
        <v>2448</v>
      </c>
      <c r="D248" s="13" t="s">
        <v>1701</v>
      </c>
      <c r="E248" s="13" t="s">
        <v>1702</v>
      </c>
      <c r="F248" s="13" t="s">
        <v>97</v>
      </c>
      <c r="G248" s="4" t="s">
        <v>1699</v>
      </c>
      <c r="H248" s="4" t="s">
        <v>906</v>
      </c>
      <c r="I248" s="4"/>
      <c r="J248" s="4" t="s">
        <v>1522</v>
      </c>
      <c r="K248" s="4" t="s">
        <v>2463</v>
      </c>
      <c r="L248" s="15" t="str">
        <f t="shared" si="1"/>
        <v>ok</v>
      </c>
    </row>
    <row r="249" ht="60.0" customHeight="1">
      <c r="A249" s="13" t="s">
        <v>398</v>
      </c>
      <c r="B249" s="13">
        <v>5.0</v>
      </c>
      <c r="C249" s="13" t="s">
        <v>2448</v>
      </c>
      <c r="D249" s="13" t="s">
        <v>400</v>
      </c>
      <c r="E249" s="13" t="s">
        <v>401</v>
      </c>
      <c r="F249" s="13" t="s">
        <v>126</v>
      </c>
      <c r="G249" s="4" t="s">
        <v>398</v>
      </c>
      <c r="H249" s="4" t="s">
        <v>98</v>
      </c>
      <c r="I249" s="4" t="s">
        <v>126</v>
      </c>
      <c r="J249" s="4"/>
      <c r="K249" s="4" t="s">
        <v>2464</v>
      </c>
      <c r="L249" s="15" t="str">
        <f t="shared" si="1"/>
        <v>ok</v>
      </c>
    </row>
    <row r="250" ht="60.0" customHeight="1">
      <c r="A250" s="13" t="s">
        <v>1682</v>
      </c>
      <c r="B250" s="13">
        <v>5.0</v>
      </c>
      <c r="C250" s="13" t="s">
        <v>2465</v>
      </c>
      <c r="D250" s="13" t="s">
        <v>1684</v>
      </c>
      <c r="E250" s="13" t="s">
        <v>1685</v>
      </c>
      <c r="F250" s="13" t="s">
        <v>97</v>
      </c>
      <c r="G250" s="4" t="s">
        <v>1682</v>
      </c>
      <c r="H250" s="4" t="s">
        <v>98</v>
      </c>
      <c r="I250" s="4" t="s">
        <v>126</v>
      </c>
      <c r="J250" s="4"/>
      <c r="K250" s="4" t="s">
        <v>2466</v>
      </c>
      <c r="L250" s="15" t="str">
        <f t="shared" si="1"/>
        <v>ok</v>
      </c>
    </row>
    <row r="251" ht="60.0" customHeight="1">
      <c r="A251" s="13" t="s">
        <v>1286</v>
      </c>
      <c r="B251" s="13">
        <v>5.0</v>
      </c>
      <c r="C251" s="13" t="s">
        <v>2448</v>
      </c>
      <c r="D251" s="13" t="s">
        <v>1288</v>
      </c>
      <c r="E251" s="13" t="s">
        <v>1289</v>
      </c>
      <c r="F251" s="13" t="s">
        <v>368</v>
      </c>
      <c r="G251" s="4" t="s">
        <v>1286</v>
      </c>
      <c r="H251" s="4" t="s">
        <v>906</v>
      </c>
      <c r="I251" s="4"/>
      <c r="J251" s="4" t="s">
        <v>1023</v>
      </c>
      <c r="K251" s="4" t="s">
        <v>2467</v>
      </c>
      <c r="L251" s="15" t="str">
        <f t="shared" si="1"/>
        <v>ok</v>
      </c>
    </row>
    <row r="252" ht="60.0" customHeight="1">
      <c r="A252" s="13" t="s">
        <v>404</v>
      </c>
      <c r="B252" s="13">
        <v>5.0</v>
      </c>
      <c r="C252" s="13" t="s">
        <v>2448</v>
      </c>
      <c r="D252" s="13" t="s">
        <v>406</v>
      </c>
      <c r="E252" s="13" t="s">
        <v>407</v>
      </c>
      <c r="F252" s="13" t="s">
        <v>97</v>
      </c>
      <c r="G252" s="4" t="s">
        <v>404</v>
      </c>
      <c r="H252" s="4" t="s">
        <v>98</v>
      </c>
      <c r="I252" s="4" t="s">
        <v>97</v>
      </c>
      <c r="J252" s="4"/>
      <c r="K252" s="4" t="s">
        <v>2468</v>
      </c>
      <c r="L252" s="15" t="str">
        <f t="shared" si="1"/>
        <v>ok</v>
      </c>
    </row>
    <row r="253" ht="60.0" customHeight="1">
      <c r="A253" s="13" t="s">
        <v>2089</v>
      </c>
      <c r="B253" s="13">
        <v>5.0</v>
      </c>
      <c r="C253" s="13" t="s">
        <v>2469</v>
      </c>
      <c r="D253" s="13" t="s">
        <v>2090</v>
      </c>
      <c r="E253" s="13"/>
      <c r="F253" s="13" t="s">
        <v>97</v>
      </c>
      <c r="G253" s="4" t="s">
        <v>2089</v>
      </c>
      <c r="H253" s="4" t="s">
        <v>906</v>
      </c>
      <c r="I253" s="4"/>
      <c r="J253" s="4" t="s">
        <v>1522</v>
      </c>
      <c r="K253" s="4" t="s">
        <v>2470</v>
      </c>
      <c r="L253" s="15" t="str">
        <f t="shared" si="1"/>
        <v>ok</v>
      </c>
    </row>
    <row r="254" ht="60.0" customHeight="1">
      <c r="A254" s="13" t="s">
        <v>1291</v>
      </c>
      <c r="B254" s="13">
        <v>5.0</v>
      </c>
      <c r="C254" s="13" t="s">
        <v>2448</v>
      </c>
      <c r="D254" s="13" t="s">
        <v>1293</v>
      </c>
      <c r="E254" s="13" t="s">
        <v>1294</v>
      </c>
      <c r="F254" s="13" t="s">
        <v>368</v>
      </c>
      <c r="G254" s="4" t="s">
        <v>1291</v>
      </c>
      <c r="H254" s="4" t="s">
        <v>906</v>
      </c>
      <c r="I254" s="4"/>
      <c r="J254" s="4" t="s">
        <v>1522</v>
      </c>
      <c r="K254" s="4" t="s">
        <v>2471</v>
      </c>
      <c r="L254" s="15" t="str">
        <f t="shared" si="1"/>
        <v>ok</v>
      </c>
    </row>
    <row r="255" ht="60.0" customHeight="1">
      <c r="A255" s="13" t="s">
        <v>409</v>
      </c>
      <c r="B255" s="13">
        <v>5.0</v>
      </c>
      <c r="C255" s="13" t="s">
        <v>2448</v>
      </c>
      <c r="D255" s="13" t="s">
        <v>411</v>
      </c>
      <c r="E255" s="13" t="s">
        <v>412</v>
      </c>
      <c r="F255" s="13" t="s">
        <v>126</v>
      </c>
      <c r="G255" s="4" t="s">
        <v>409</v>
      </c>
      <c r="H255" s="4" t="s">
        <v>98</v>
      </c>
      <c r="I255" s="4" t="s">
        <v>126</v>
      </c>
      <c r="J255" s="4"/>
      <c r="K255" s="4" t="s">
        <v>2472</v>
      </c>
      <c r="L255" s="15" t="str">
        <f t="shared" si="1"/>
        <v>ok</v>
      </c>
    </row>
    <row r="256" ht="60.0" customHeight="1">
      <c r="A256" s="13" t="s">
        <v>1229</v>
      </c>
      <c r="B256" s="13">
        <v>5.0</v>
      </c>
      <c r="C256" s="13" t="s">
        <v>2465</v>
      </c>
      <c r="D256" s="13" t="s">
        <v>1231</v>
      </c>
      <c r="E256" s="13" t="s">
        <v>1232</v>
      </c>
      <c r="F256" s="13" t="s">
        <v>368</v>
      </c>
      <c r="G256" s="4" t="s">
        <v>1229</v>
      </c>
      <c r="H256" s="4" t="s">
        <v>906</v>
      </c>
      <c r="I256" s="4"/>
      <c r="J256" s="4" t="s">
        <v>1023</v>
      </c>
      <c r="K256" s="4" t="s">
        <v>2473</v>
      </c>
      <c r="L256" s="15" t="str">
        <f t="shared" si="1"/>
        <v>ok</v>
      </c>
    </row>
    <row r="257" ht="60.0" customHeight="1">
      <c r="A257" s="13" t="s">
        <v>2146</v>
      </c>
      <c r="B257" s="13">
        <v>6.0</v>
      </c>
      <c r="C257" s="13" t="s">
        <v>2448</v>
      </c>
      <c r="D257" s="13" t="s">
        <v>2148</v>
      </c>
      <c r="E257" s="13" t="s">
        <v>2149</v>
      </c>
      <c r="F257" s="13" t="s">
        <v>368</v>
      </c>
      <c r="G257" s="4" t="s">
        <v>2146</v>
      </c>
      <c r="H257" s="4" t="s">
        <v>906</v>
      </c>
      <c r="I257" s="4"/>
      <c r="J257" s="4" t="s">
        <v>2144</v>
      </c>
      <c r="K257" s="4" t="s">
        <v>2474</v>
      </c>
      <c r="L257" s="15" t="str">
        <f t="shared" si="1"/>
        <v>ok</v>
      </c>
    </row>
    <row r="258" ht="60.0" customHeight="1">
      <c r="A258" s="13" t="s">
        <v>780</v>
      </c>
      <c r="B258" s="13">
        <v>6.0</v>
      </c>
      <c r="C258" s="13" t="s">
        <v>2448</v>
      </c>
      <c r="D258" s="13" t="s">
        <v>782</v>
      </c>
      <c r="E258" s="13" t="s">
        <v>783</v>
      </c>
      <c r="F258" s="13" t="s">
        <v>97</v>
      </c>
      <c r="G258" s="4" t="s">
        <v>780</v>
      </c>
      <c r="H258" s="4" t="s">
        <v>694</v>
      </c>
      <c r="I258" s="4"/>
      <c r="J258" s="4"/>
      <c r="K258" s="4" t="s">
        <v>2475</v>
      </c>
      <c r="L258" s="15" t="str">
        <f t="shared" si="1"/>
        <v>ok</v>
      </c>
    </row>
    <row r="259" ht="60.0" customHeight="1">
      <c r="A259" s="13" t="s">
        <v>1233</v>
      </c>
      <c r="B259" s="13">
        <v>6.0</v>
      </c>
      <c r="C259" s="13" t="s">
        <v>2465</v>
      </c>
      <c r="D259" s="13" t="s">
        <v>1235</v>
      </c>
      <c r="E259" s="13" t="s">
        <v>1236</v>
      </c>
      <c r="F259" s="13" t="s">
        <v>368</v>
      </c>
      <c r="G259" s="4" t="s">
        <v>1233</v>
      </c>
      <c r="H259" s="4" t="s">
        <v>906</v>
      </c>
      <c r="I259" s="4"/>
      <c r="J259" s="4" t="s">
        <v>1023</v>
      </c>
      <c r="K259" s="4" t="s">
        <v>2476</v>
      </c>
      <c r="L259" s="15" t="str">
        <f t="shared" si="1"/>
        <v>ok</v>
      </c>
    </row>
    <row r="260" ht="60.0" customHeight="1">
      <c r="A260" s="13" t="s">
        <v>352</v>
      </c>
      <c r="B260" s="13">
        <v>6.0</v>
      </c>
      <c r="C260" s="13" t="s">
        <v>2465</v>
      </c>
      <c r="D260" s="13" t="s">
        <v>354</v>
      </c>
      <c r="E260" s="13" t="s">
        <v>355</v>
      </c>
      <c r="F260" s="13" t="s">
        <v>97</v>
      </c>
      <c r="G260" s="4" t="s">
        <v>352</v>
      </c>
      <c r="H260" s="4" t="s">
        <v>98</v>
      </c>
      <c r="I260" s="4" t="s">
        <v>97</v>
      </c>
      <c r="J260" s="4"/>
      <c r="K260" s="4" t="s">
        <v>2477</v>
      </c>
      <c r="L260" s="15" t="str">
        <f t="shared" si="1"/>
        <v>ok</v>
      </c>
    </row>
    <row r="261" ht="60.0" customHeight="1">
      <c r="A261" s="13" t="s">
        <v>1237</v>
      </c>
      <c r="B261" s="13">
        <v>6.0</v>
      </c>
      <c r="C261" s="13" t="s">
        <v>2465</v>
      </c>
      <c r="D261" s="13" t="s">
        <v>1238</v>
      </c>
      <c r="E261" s="13" t="s">
        <v>1239</v>
      </c>
      <c r="F261" s="13" t="s">
        <v>368</v>
      </c>
      <c r="G261" s="4" t="s">
        <v>1237</v>
      </c>
      <c r="H261" s="4" t="s">
        <v>906</v>
      </c>
      <c r="I261" s="4"/>
      <c r="J261" s="4" t="s">
        <v>1023</v>
      </c>
      <c r="K261" s="4" t="s">
        <v>2478</v>
      </c>
      <c r="L261" s="15" t="str">
        <f t="shared" si="1"/>
        <v>ok</v>
      </c>
    </row>
    <row r="262" ht="60.0" customHeight="1">
      <c r="A262" s="13" t="s">
        <v>754</v>
      </c>
      <c r="B262" s="13">
        <v>6.0</v>
      </c>
      <c r="C262" s="13" t="s">
        <v>2465</v>
      </c>
      <c r="D262" s="13" t="s">
        <v>756</v>
      </c>
      <c r="E262" s="13" t="s">
        <v>757</v>
      </c>
      <c r="F262" s="13" t="s">
        <v>97</v>
      </c>
      <c r="G262" s="4" t="s">
        <v>754</v>
      </c>
      <c r="H262" s="4" t="s">
        <v>694</v>
      </c>
      <c r="I262" s="4"/>
      <c r="J262" s="4"/>
      <c r="K262" s="4" t="s">
        <v>2479</v>
      </c>
      <c r="L262" s="15" t="str">
        <f t="shared" si="1"/>
        <v>ok</v>
      </c>
    </row>
    <row r="263" ht="60.0" customHeight="1">
      <c r="A263" s="13" t="s">
        <v>1928</v>
      </c>
      <c r="B263" s="13">
        <v>6.0</v>
      </c>
      <c r="C263" s="13" t="s">
        <v>2465</v>
      </c>
      <c r="D263" s="13" t="s">
        <v>1930</v>
      </c>
      <c r="E263" s="13" t="s">
        <v>1931</v>
      </c>
      <c r="F263" s="13" t="s">
        <v>126</v>
      </c>
      <c r="G263" s="4" t="s">
        <v>1928</v>
      </c>
      <c r="H263" s="4" t="s">
        <v>694</v>
      </c>
      <c r="I263" s="4"/>
      <c r="J263" s="4"/>
      <c r="K263" s="4" t="s">
        <v>2480</v>
      </c>
      <c r="L263" s="15" t="str">
        <f t="shared" si="1"/>
        <v>ok</v>
      </c>
    </row>
    <row r="264" ht="60.0" customHeight="1">
      <c r="A264" s="13" t="s">
        <v>1175</v>
      </c>
      <c r="B264" s="13">
        <v>6.0</v>
      </c>
      <c r="C264" s="13" t="s">
        <v>2481</v>
      </c>
      <c r="D264" s="13" t="s">
        <v>1177</v>
      </c>
      <c r="E264" s="13" t="s">
        <v>1178</v>
      </c>
      <c r="F264" s="13" t="s">
        <v>368</v>
      </c>
      <c r="G264" s="4" t="s">
        <v>1175</v>
      </c>
      <c r="H264" s="4" t="s">
        <v>906</v>
      </c>
      <c r="I264" s="4"/>
      <c r="J264" s="4" t="s">
        <v>1023</v>
      </c>
      <c r="K264" s="4" t="s">
        <v>2482</v>
      </c>
      <c r="L264" s="15" t="str">
        <f t="shared" si="1"/>
        <v>ok</v>
      </c>
    </row>
    <row r="265" ht="60.0" customHeight="1">
      <c r="A265" s="13" t="s">
        <v>1686</v>
      </c>
      <c r="B265" s="13">
        <v>6.0</v>
      </c>
      <c r="C265" s="13" t="s">
        <v>2465</v>
      </c>
      <c r="D265" s="13" t="s">
        <v>1688</v>
      </c>
      <c r="E265" s="13" t="s">
        <v>1689</v>
      </c>
      <c r="F265" s="13" t="s">
        <v>97</v>
      </c>
      <c r="G265" s="4" t="s">
        <v>1686</v>
      </c>
      <c r="H265" s="4" t="s">
        <v>906</v>
      </c>
      <c r="I265" s="4"/>
      <c r="J265" s="4" t="s">
        <v>1522</v>
      </c>
      <c r="K265" s="4" t="s">
        <v>2483</v>
      </c>
      <c r="L265" s="15" t="str">
        <f t="shared" si="1"/>
        <v>ok</v>
      </c>
    </row>
    <row r="266" ht="60.0" customHeight="1">
      <c r="A266" s="13" t="s">
        <v>359</v>
      </c>
      <c r="B266" s="13">
        <v>6.0</v>
      </c>
      <c r="C266" s="13" t="s">
        <v>2465</v>
      </c>
      <c r="D266" s="13" t="s">
        <v>361</v>
      </c>
      <c r="E266" s="13" t="s">
        <v>362</v>
      </c>
      <c r="F266" s="13" t="s">
        <v>97</v>
      </c>
      <c r="G266" s="4" t="s">
        <v>359</v>
      </c>
      <c r="H266" s="4" t="s">
        <v>98</v>
      </c>
      <c r="I266" s="4" t="s">
        <v>97</v>
      </c>
      <c r="J266" s="4"/>
      <c r="K266" s="4" t="s">
        <v>2484</v>
      </c>
      <c r="L266" s="15" t="str">
        <f t="shared" si="1"/>
        <v>ok</v>
      </c>
    </row>
    <row r="267" ht="60.0" customHeight="1">
      <c r="A267" s="13" t="s">
        <v>1690</v>
      </c>
      <c r="B267" s="13">
        <v>6.0</v>
      </c>
      <c r="C267" s="13" t="s">
        <v>2465</v>
      </c>
      <c r="D267" s="13" t="s">
        <v>1692</v>
      </c>
      <c r="E267" s="13" t="s">
        <v>1693</v>
      </c>
      <c r="F267" s="13" t="s">
        <v>368</v>
      </c>
      <c r="G267" s="4" t="s">
        <v>1690</v>
      </c>
      <c r="H267" s="4" t="s">
        <v>906</v>
      </c>
      <c r="I267" s="4"/>
      <c r="J267" s="4" t="s">
        <v>1522</v>
      </c>
      <c r="K267" s="4" t="s">
        <v>2485</v>
      </c>
      <c r="L267" s="15" t="str">
        <f t="shared" si="1"/>
        <v>ok</v>
      </c>
    </row>
    <row r="268" ht="60.0" customHeight="1">
      <c r="A268" s="13" t="s">
        <v>759</v>
      </c>
      <c r="B268" s="13">
        <v>6.0</v>
      </c>
      <c r="C268" s="13" t="s">
        <v>2465</v>
      </c>
      <c r="D268" s="13" t="s">
        <v>761</v>
      </c>
      <c r="E268" s="13" t="s">
        <v>762</v>
      </c>
      <c r="F268" s="13" t="s">
        <v>97</v>
      </c>
      <c r="G268" s="4" t="s">
        <v>759</v>
      </c>
      <c r="H268" s="4" t="s">
        <v>694</v>
      </c>
      <c r="I268" s="4"/>
      <c r="J268" s="4"/>
      <c r="K268" s="4" t="s">
        <v>2486</v>
      </c>
      <c r="L268" s="15" t="str">
        <f t="shared" si="1"/>
        <v>ok</v>
      </c>
    </row>
    <row r="269" ht="60.0" customHeight="1">
      <c r="A269" s="13" t="s">
        <v>1240</v>
      </c>
      <c r="B269" s="13">
        <v>6.0</v>
      </c>
      <c r="C269" s="13" t="s">
        <v>2465</v>
      </c>
      <c r="D269" s="13" t="s">
        <v>1242</v>
      </c>
      <c r="E269" s="13" t="s">
        <v>1243</v>
      </c>
      <c r="F269" s="13" t="s">
        <v>368</v>
      </c>
      <c r="G269" s="4" t="s">
        <v>1240</v>
      </c>
      <c r="H269" s="4" t="s">
        <v>906</v>
      </c>
      <c r="I269" s="4"/>
      <c r="J269" s="4" t="s">
        <v>1023</v>
      </c>
      <c r="K269" s="4" t="s">
        <v>2487</v>
      </c>
      <c r="L269" s="15" t="str">
        <f t="shared" si="1"/>
        <v>ok</v>
      </c>
    </row>
    <row r="270" ht="60.0" customHeight="1">
      <c r="A270" s="13" t="s">
        <v>1694</v>
      </c>
      <c r="B270" s="13">
        <v>6.0</v>
      </c>
      <c r="C270" s="13" t="s">
        <v>2465</v>
      </c>
      <c r="D270" s="13" t="s">
        <v>1696</v>
      </c>
      <c r="E270" s="13" t="s">
        <v>1697</v>
      </c>
      <c r="F270" s="13" t="s">
        <v>97</v>
      </c>
      <c r="G270" s="4" t="s">
        <v>1694</v>
      </c>
      <c r="H270" s="4" t="s">
        <v>906</v>
      </c>
      <c r="I270" s="4"/>
      <c r="J270" s="4" t="s">
        <v>1522</v>
      </c>
      <c r="K270" s="4" t="s">
        <v>2488</v>
      </c>
      <c r="L270" s="15" t="str">
        <f t="shared" si="1"/>
        <v>ok</v>
      </c>
    </row>
    <row r="271" ht="60.0" customHeight="1">
      <c r="A271" s="13" t="s">
        <v>1932</v>
      </c>
      <c r="B271" s="13">
        <v>6.0</v>
      </c>
      <c r="C271" s="13" t="s">
        <v>2465</v>
      </c>
      <c r="D271" s="13" t="s">
        <v>1934</v>
      </c>
      <c r="E271" s="13" t="s">
        <v>1935</v>
      </c>
      <c r="F271" s="13" t="s">
        <v>97</v>
      </c>
      <c r="G271" s="4" t="s">
        <v>1932</v>
      </c>
      <c r="H271" s="4" t="s">
        <v>694</v>
      </c>
      <c r="I271" s="4"/>
      <c r="J271" s="4"/>
      <c r="K271" s="4" t="s">
        <v>2489</v>
      </c>
      <c r="L271" s="15" t="str">
        <f t="shared" si="1"/>
        <v>ok</v>
      </c>
    </row>
    <row r="272" ht="60.0" customHeight="1">
      <c r="A272" s="13" t="s">
        <v>2011</v>
      </c>
      <c r="B272" s="13">
        <v>6.0</v>
      </c>
      <c r="C272" s="13" t="s">
        <v>2465</v>
      </c>
      <c r="D272" s="13" t="s">
        <v>2013</v>
      </c>
      <c r="E272" s="13" t="s">
        <v>2014</v>
      </c>
      <c r="F272" s="13" t="s">
        <v>97</v>
      </c>
      <c r="G272" s="4" t="s">
        <v>2011</v>
      </c>
      <c r="H272" s="4" t="s">
        <v>98</v>
      </c>
      <c r="I272" s="4" t="s">
        <v>97</v>
      </c>
      <c r="J272" s="4"/>
      <c r="K272" s="4" t="s">
        <v>2490</v>
      </c>
      <c r="L272" s="15" t="str">
        <f t="shared" si="1"/>
        <v>ok</v>
      </c>
    </row>
    <row r="273" ht="60.0" customHeight="1">
      <c r="A273" s="13" t="s">
        <v>2122</v>
      </c>
      <c r="B273" s="13">
        <v>6.0</v>
      </c>
      <c r="C273" s="13" t="s">
        <v>2465</v>
      </c>
      <c r="D273" s="13" t="s">
        <v>2123</v>
      </c>
      <c r="E273" s="13" t="s">
        <v>2124</v>
      </c>
      <c r="F273" s="13" t="s">
        <v>126</v>
      </c>
      <c r="G273" s="4" t="s">
        <v>2122</v>
      </c>
      <c r="H273" s="4" t="s">
        <v>906</v>
      </c>
      <c r="I273" s="4"/>
      <c r="J273" s="4" t="s">
        <v>2144</v>
      </c>
      <c r="K273" s="4" t="s">
        <v>2491</v>
      </c>
      <c r="L273" s="15" t="str">
        <f t="shared" si="1"/>
        <v>ok</v>
      </c>
    </row>
    <row r="274" ht="60.0" customHeight="1">
      <c r="A274" s="13" t="s">
        <v>304</v>
      </c>
      <c r="B274" s="13">
        <v>6.0</v>
      </c>
      <c r="C274" s="13" t="s">
        <v>2481</v>
      </c>
      <c r="D274" s="13" t="s">
        <v>306</v>
      </c>
      <c r="E274" s="13" t="s">
        <v>307</v>
      </c>
      <c r="F274" s="13" t="s">
        <v>97</v>
      </c>
      <c r="G274" s="4" t="s">
        <v>304</v>
      </c>
      <c r="H274" s="4" t="s">
        <v>98</v>
      </c>
      <c r="I274" s="4" t="s">
        <v>97</v>
      </c>
      <c r="J274" s="4"/>
      <c r="K274" s="4" t="s">
        <v>2492</v>
      </c>
      <c r="L274" s="15" t="str">
        <f t="shared" si="1"/>
        <v>ok</v>
      </c>
    </row>
    <row r="275" ht="60.0" customHeight="1">
      <c r="A275" s="13" t="s">
        <v>1245</v>
      </c>
      <c r="B275" s="13">
        <v>6.0</v>
      </c>
      <c r="C275" s="13" t="s">
        <v>2465</v>
      </c>
      <c r="D275" s="13" t="s">
        <v>1247</v>
      </c>
      <c r="E275" s="13" t="s">
        <v>1248</v>
      </c>
      <c r="F275" s="13" t="s">
        <v>368</v>
      </c>
      <c r="G275" s="4" t="s">
        <v>1245</v>
      </c>
      <c r="H275" s="4" t="s">
        <v>906</v>
      </c>
      <c r="I275" s="4"/>
      <c r="J275" s="4" t="s">
        <v>1023</v>
      </c>
      <c r="K275" s="4" t="s">
        <v>2493</v>
      </c>
      <c r="L275" s="15" t="str">
        <f t="shared" si="1"/>
        <v>ok</v>
      </c>
    </row>
    <row r="276" ht="60.0" customHeight="1">
      <c r="A276" s="13" t="s">
        <v>1250</v>
      </c>
      <c r="B276" s="13">
        <v>6.0</v>
      </c>
      <c r="C276" s="13" t="s">
        <v>2465</v>
      </c>
      <c r="D276" s="13" t="s">
        <v>1252</v>
      </c>
      <c r="E276" s="13" t="s">
        <v>1253</v>
      </c>
      <c r="F276" s="13" t="s">
        <v>368</v>
      </c>
      <c r="G276" s="4" t="s">
        <v>1250</v>
      </c>
      <c r="H276" s="4" t="s">
        <v>906</v>
      </c>
      <c r="I276" s="4"/>
      <c r="J276" s="4" t="s">
        <v>1023</v>
      </c>
      <c r="K276" s="4" t="s">
        <v>2494</v>
      </c>
      <c r="L276" s="15" t="str">
        <f t="shared" si="1"/>
        <v>ok</v>
      </c>
    </row>
    <row r="277" ht="60.0" customHeight="1">
      <c r="A277" s="13" t="s">
        <v>1254</v>
      </c>
      <c r="B277" s="13">
        <v>6.0</v>
      </c>
      <c r="C277" s="13" t="s">
        <v>2465</v>
      </c>
      <c r="D277" s="13" t="s">
        <v>1256</v>
      </c>
      <c r="E277" s="13" t="s">
        <v>1257</v>
      </c>
      <c r="F277" s="13" t="s">
        <v>368</v>
      </c>
      <c r="G277" s="4" t="s">
        <v>1254</v>
      </c>
      <c r="H277" s="4" t="s">
        <v>906</v>
      </c>
      <c r="I277" s="4"/>
      <c r="J277" s="4" t="s">
        <v>1023</v>
      </c>
      <c r="K277" s="4" t="s">
        <v>2495</v>
      </c>
      <c r="L277" s="15" t="str">
        <f t="shared" si="1"/>
        <v>ok</v>
      </c>
    </row>
    <row r="278" ht="60.0" customHeight="1">
      <c r="A278" s="13" t="s">
        <v>764</v>
      </c>
      <c r="B278" s="13">
        <v>6.0</v>
      </c>
      <c r="C278" s="13" t="s">
        <v>2465</v>
      </c>
      <c r="D278" s="13" t="s">
        <v>766</v>
      </c>
      <c r="E278" s="13" t="s">
        <v>767</v>
      </c>
      <c r="F278" s="13" t="s">
        <v>97</v>
      </c>
      <c r="G278" s="4" t="s">
        <v>764</v>
      </c>
      <c r="H278" s="4" t="s">
        <v>694</v>
      </c>
      <c r="I278" s="4"/>
      <c r="J278" s="4"/>
      <c r="K278" s="4" t="s">
        <v>2496</v>
      </c>
      <c r="L278" s="15" t="str">
        <f t="shared" si="1"/>
        <v>ok</v>
      </c>
    </row>
    <row r="279" ht="60.0" customHeight="1">
      <c r="A279" s="13" t="s">
        <v>363</v>
      </c>
      <c r="B279" s="13">
        <v>6.0</v>
      </c>
      <c r="C279" s="13" t="s">
        <v>2465</v>
      </c>
      <c r="D279" s="13" t="s">
        <v>365</v>
      </c>
      <c r="E279" s="13" t="s">
        <v>366</v>
      </c>
      <c r="F279" s="13" t="s">
        <v>368</v>
      </c>
      <c r="G279" s="4" t="s">
        <v>363</v>
      </c>
      <c r="H279" s="4" t="s">
        <v>98</v>
      </c>
      <c r="I279" s="4" t="s">
        <v>126</v>
      </c>
      <c r="J279" s="4"/>
      <c r="K279" s="4" t="s">
        <v>2497</v>
      </c>
      <c r="L279" s="15" t="str">
        <f t="shared" si="1"/>
        <v>ok</v>
      </c>
    </row>
    <row r="280" ht="60.0" customHeight="1">
      <c r="A280" s="13" t="s">
        <v>308</v>
      </c>
      <c r="B280" s="13">
        <v>6.0</v>
      </c>
      <c r="C280" s="13" t="s">
        <v>2481</v>
      </c>
      <c r="D280" s="13" t="s">
        <v>310</v>
      </c>
      <c r="E280" s="13" t="s">
        <v>311</v>
      </c>
      <c r="F280" s="13" t="s">
        <v>97</v>
      </c>
      <c r="G280" s="4" t="s">
        <v>308</v>
      </c>
      <c r="H280" s="4" t="s">
        <v>98</v>
      </c>
      <c r="I280" s="4" t="s">
        <v>97</v>
      </c>
      <c r="J280" s="4"/>
      <c r="K280" s="4" t="s">
        <v>2498</v>
      </c>
      <c r="L280" s="15" t="str">
        <f t="shared" si="1"/>
        <v>ok</v>
      </c>
    </row>
    <row r="281" ht="60.0" customHeight="1">
      <c r="A281" s="13" t="s">
        <v>769</v>
      </c>
      <c r="B281" s="13">
        <v>6.0</v>
      </c>
      <c r="C281" s="13" t="s">
        <v>2465</v>
      </c>
      <c r="D281" s="13" t="s">
        <v>771</v>
      </c>
      <c r="E281" s="13" t="s">
        <v>772</v>
      </c>
      <c r="F281" s="13" t="s">
        <v>97</v>
      </c>
      <c r="G281" s="4" t="s">
        <v>769</v>
      </c>
      <c r="H281" s="4" t="s">
        <v>694</v>
      </c>
      <c r="I281" s="4"/>
      <c r="J281" s="4"/>
      <c r="K281" s="4" t="s">
        <v>2499</v>
      </c>
      <c r="L281" s="15" t="str">
        <f t="shared" si="1"/>
        <v>ok</v>
      </c>
    </row>
    <row r="282" ht="60.0" customHeight="1">
      <c r="A282" s="13" t="s">
        <v>313</v>
      </c>
      <c r="B282" s="13">
        <v>6.0</v>
      </c>
      <c r="C282" s="13" t="s">
        <v>2481</v>
      </c>
      <c r="D282" s="13" t="s">
        <v>315</v>
      </c>
      <c r="E282" s="13" t="s">
        <v>316</v>
      </c>
      <c r="F282" s="13" t="s">
        <v>97</v>
      </c>
      <c r="G282" s="4" t="s">
        <v>313</v>
      </c>
      <c r="H282" s="4" t="s">
        <v>98</v>
      </c>
      <c r="I282" s="4" t="s">
        <v>97</v>
      </c>
      <c r="J282" s="4"/>
      <c r="K282" s="4" t="s">
        <v>2500</v>
      </c>
      <c r="L282" s="15" t="str">
        <f t="shared" si="1"/>
        <v>ok</v>
      </c>
    </row>
    <row r="283" ht="60.0" customHeight="1">
      <c r="A283" s="13" t="s">
        <v>2003</v>
      </c>
      <c r="B283" s="13">
        <v>6.0</v>
      </c>
      <c r="C283" s="13" t="s">
        <v>2481</v>
      </c>
      <c r="D283" s="13" t="s">
        <v>2005</v>
      </c>
      <c r="E283" s="13" t="s">
        <v>2006</v>
      </c>
      <c r="F283" s="13" t="s">
        <v>97</v>
      </c>
      <c r="G283" s="4" t="s">
        <v>2003</v>
      </c>
      <c r="H283" s="4" t="s">
        <v>98</v>
      </c>
      <c r="I283" s="4" t="s">
        <v>97</v>
      </c>
      <c r="J283" s="4"/>
      <c r="K283" s="4" t="s">
        <v>2501</v>
      </c>
      <c r="L283" s="15" t="str">
        <f t="shared" si="1"/>
        <v>ok</v>
      </c>
    </row>
    <row r="284" ht="60.0" customHeight="1">
      <c r="A284" s="13" t="s">
        <v>369</v>
      </c>
      <c r="B284" s="13">
        <v>6.0</v>
      </c>
      <c r="C284" s="13" t="s">
        <v>2465</v>
      </c>
      <c r="D284" s="13" t="s">
        <v>370</v>
      </c>
      <c r="E284" s="13" t="s">
        <v>371</v>
      </c>
      <c r="F284" s="13" t="s">
        <v>97</v>
      </c>
      <c r="G284" s="4" t="s">
        <v>369</v>
      </c>
      <c r="H284" s="4" t="s">
        <v>98</v>
      </c>
      <c r="I284" s="4" t="s">
        <v>126</v>
      </c>
      <c r="J284" s="4"/>
      <c r="K284" s="4" t="s">
        <v>2502</v>
      </c>
      <c r="L284" s="15" t="str">
        <f t="shared" si="1"/>
        <v>ok</v>
      </c>
    </row>
    <row r="285" ht="60.0" customHeight="1">
      <c r="A285" s="13" t="s">
        <v>1180</v>
      </c>
      <c r="B285" s="13">
        <v>6.0</v>
      </c>
      <c r="C285" s="13" t="s">
        <v>2481</v>
      </c>
      <c r="D285" s="13" t="s">
        <v>1182</v>
      </c>
      <c r="E285" s="13" t="s">
        <v>1183</v>
      </c>
      <c r="F285" s="13" t="s">
        <v>368</v>
      </c>
      <c r="G285" s="4" t="s">
        <v>1180</v>
      </c>
      <c r="H285" s="4" t="s">
        <v>906</v>
      </c>
      <c r="I285" s="4"/>
      <c r="J285" s="4" t="s">
        <v>1023</v>
      </c>
      <c r="K285" s="4" t="s">
        <v>2503</v>
      </c>
      <c r="L285" s="15" t="str">
        <f t="shared" si="1"/>
        <v>ok</v>
      </c>
    </row>
    <row r="286" ht="60.0" customHeight="1">
      <c r="A286" s="13" t="s">
        <v>1259</v>
      </c>
      <c r="B286" s="13">
        <v>6.0</v>
      </c>
      <c r="C286" s="13" t="s">
        <v>2465</v>
      </c>
      <c r="D286" s="13" t="s">
        <v>1261</v>
      </c>
      <c r="E286" s="13" t="s">
        <v>1262</v>
      </c>
      <c r="F286" s="13" t="s">
        <v>368</v>
      </c>
      <c r="G286" s="4" t="s">
        <v>1259</v>
      </c>
      <c r="H286" s="4" t="s">
        <v>906</v>
      </c>
      <c r="I286" s="4"/>
      <c r="J286" s="4" t="s">
        <v>1023</v>
      </c>
      <c r="K286" s="4" t="s">
        <v>2504</v>
      </c>
      <c r="L286" s="15" t="str">
        <f t="shared" si="1"/>
        <v>ok</v>
      </c>
    </row>
    <row r="287" ht="60.0" customHeight="1">
      <c r="A287" s="13" t="s">
        <v>2085</v>
      </c>
      <c r="B287" s="13">
        <v>6.0</v>
      </c>
      <c r="C287" s="13" t="s">
        <v>2505</v>
      </c>
      <c r="D287" s="13" t="s">
        <v>2087</v>
      </c>
      <c r="E287" s="13"/>
      <c r="F287" s="13" t="s">
        <v>368</v>
      </c>
      <c r="G287" s="4" t="s">
        <v>2085</v>
      </c>
      <c r="H287" s="4" t="s">
        <v>906</v>
      </c>
      <c r="I287" s="4"/>
      <c r="J287" s="4" t="s">
        <v>907</v>
      </c>
      <c r="K287" s="4" t="s">
        <v>2506</v>
      </c>
      <c r="L287" s="15" t="str">
        <f t="shared" si="1"/>
        <v>ok</v>
      </c>
    </row>
    <row r="288" ht="60.0" customHeight="1">
      <c r="A288" s="13" t="s">
        <v>1264</v>
      </c>
      <c r="B288" s="13">
        <v>6.0</v>
      </c>
      <c r="C288" s="13" t="s">
        <v>2465</v>
      </c>
      <c r="D288" s="13" t="s">
        <v>1266</v>
      </c>
      <c r="E288" s="13" t="s">
        <v>1267</v>
      </c>
      <c r="F288" s="13" t="s">
        <v>368</v>
      </c>
      <c r="G288" s="4" t="s">
        <v>1264</v>
      </c>
      <c r="H288" s="4" t="s">
        <v>906</v>
      </c>
      <c r="I288" s="4"/>
      <c r="J288" s="4" t="s">
        <v>1023</v>
      </c>
      <c r="K288" s="4" t="s">
        <v>2507</v>
      </c>
      <c r="L288" s="15" t="str">
        <f t="shared" si="1"/>
        <v>ok</v>
      </c>
    </row>
    <row r="289" ht="60.0" customHeight="1">
      <c r="A289" s="13" t="s">
        <v>1184</v>
      </c>
      <c r="B289" s="13">
        <v>6.0</v>
      </c>
      <c r="C289" s="13" t="s">
        <v>2481</v>
      </c>
      <c r="D289" s="13" t="s">
        <v>1186</v>
      </c>
      <c r="E289" s="13" t="s">
        <v>1187</v>
      </c>
      <c r="F289" s="13" t="s">
        <v>368</v>
      </c>
      <c r="G289" s="4" t="s">
        <v>1184</v>
      </c>
      <c r="H289" s="4" t="s">
        <v>98</v>
      </c>
      <c r="I289" s="4" t="s">
        <v>368</v>
      </c>
      <c r="J289" s="4"/>
      <c r="K289" s="4" t="s">
        <v>2508</v>
      </c>
      <c r="L289" s="15" t="str">
        <f t="shared" si="1"/>
        <v>ok</v>
      </c>
    </row>
    <row r="290" ht="60.0" customHeight="1">
      <c r="A290" s="13" t="s">
        <v>318</v>
      </c>
      <c r="B290" s="13">
        <v>6.0</v>
      </c>
      <c r="C290" s="13" t="s">
        <v>2481</v>
      </c>
      <c r="D290" s="13" t="s">
        <v>320</v>
      </c>
      <c r="E290" s="13" t="s">
        <v>321</v>
      </c>
      <c r="F290" s="13" t="s">
        <v>97</v>
      </c>
      <c r="G290" s="4" t="s">
        <v>318</v>
      </c>
      <c r="H290" s="4" t="s">
        <v>98</v>
      </c>
      <c r="I290" s="4" t="s">
        <v>97</v>
      </c>
      <c r="J290" s="4"/>
      <c r="K290" s="4" t="s">
        <v>2509</v>
      </c>
      <c r="L290" s="15" t="str">
        <f t="shared" si="1"/>
        <v>ok</v>
      </c>
    </row>
    <row r="291" ht="60.0" customHeight="1">
      <c r="A291" s="13" t="s">
        <v>1189</v>
      </c>
      <c r="B291" s="13">
        <v>6.0</v>
      </c>
      <c r="C291" s="13" t="s">
        <v>2481</v>
      </c>
      <c r="D291" s="13" t="s">
        <v>1191</v>
      </c>
      <c r="E291" s="13" t="s">
        <v>1192</v>
      </c>
      <c r="F291" s="13" t="s">
        <v>368</v>
      </c>
      <c r="G291" s="4" t="s">
        <v>1189</v>
      </c>
      <c r="H291" s="4" t="s">
        <v>906</v>
      </c>
      <c r="I291" s="4"/>
      <c r="J291" s="4" t="s">
        <v>1023</v>
      </c>
      <c r="K291" s="4" t="s">
        <v>2510</v>
      </c>
      <c r="L291" s="15" t="str">
        <f t="shared" si="1"/>
        <v>ok</v>
      </c>
    </row>
    <row r="292" ht="60.0" customHeight="1">
      <c r="A292" s="13" t="s">
        <v>323</v>
      </c>
      <c r="B292" s="13">
        <v>6.0</v>
      </c>
      <c r="C292" s="13" t="s">
        <v>2481</v>
      </c>
      <c r="D292" s="13" t="s">
        <v>325</v>
      </c>
      <c r="E292" s="13" t="s">
        <v>326</v>
      </c>
      <c r="F292" s="13" t="s">
        <v>97</v>
      </c>
      <c r="G292" s="4" t="s">
        <v>323</v>
      </c>
      <c r="H292" s="4" t="s">
        <v>98</v>
      </c>
      <c r="I292" s="4" t="s">
        <v>97</v>
      </c>
      <c r="J292" s="4"/>
      <c r="K292" s="4" t="s">
        <v>2511</v>
      </c>
      <c r="L292" s="15" t="str">
        <f t="shared" si="1"/>
        <v>ok</v>
      </c>
    </row>
    <row r="293" ht="60.0" customHeight="1">
      <c r="A293" s="13" t="s">
        <v>329</v>
      </c>
      <c r="B293" s="13">
        <v>6.0</v>
      </c>
      <c r="C293" s="13" t="s">
        <v>2481</v>
      </c>
      <c r="D293" s="13" t="s">
        <v>331</v>
      </c>
      <c r="E293" s="13" t="s">
        <v>332</v>
      </c>
      <c r="F293" s="13" t="s">
        <v>97</v>
      </c>
      <c r="G293" s="4" t="s">
        <v>329</v>
      </c>
      <c r="H293" s="4" t="s">
        <v>98</v>
      </c>
      <c r="I293" s="4" t="s">
        <v>97</v>
      </c>
      <c r="J293" s="4"/>
      <c r="K293" s="4" t="s">
        <v>2512</v>
      </c>
      <c r="L293" s="15" t="str">
        <f t="shared" si="1"/>
        <v>ok</v>
      </c>
    </row>
    <row r="294" ht="60.0" customHeight="1">
      <c r="A294" s="13" t="s">
        <v>749</v>
      </c>
      <c r="B294" s="13">
        <v>6.0</v>
      </c>
      <c r="C294" s="13" t="s">
        <v>2481</v>
      </c>
      <c r="D294" s="13" t="s">
        <v>751</v>
      </c>
      <c r="E294" s="13" t="s">
        <v>752</v>
      </c>
      <c r="F294" s="13" t="s">
        <v>126</v>
      </c>
      <c r="G294" s="4" t="s">
        <v>749</v>
      </c>
      <c r="H294" s="4" t="s">
        <v>694</v>
      </c>
      <c r="I294" s="4"/>
      <c r="J294" s="4"/>
      <c r="K294" s="4" t="s">
        <v>2513</v>
      </c>
      <c r="L294" s="15" t="str">
        <f t="shared" si="1"/>
        <v>ok</v>
      </c>
    </row>
    <row r="295" ht="60.0" customHeight="1">
      <c r="A295" s="13" t="s">
        <v>2007</v>
      </c>
      <c r="B295" s="13">
        <v>6.0</v>
      </c>
      <c r="C295" s="13" t="s">
        <v>2481</v>
      </c>
      <c r="D295" s="13" t="s">
        <v>2009</v>
      </c>
      <c r="E295" s="13" t="s">
        <v>2010</v>
      </c>
      <c r="F295" s="13" t="s">
        <v>97</v>
      </c>
      <c r="G295" s="4" t="s">
        <v>2007</v>
      </c>
      <c r="H295" s="4" t="s">
        <v>98</v>
      </c>
      <c r="I295" s="4" t="s">
        <v>97</v>
      </c>
      <c r="J295" s="4"/>
      <c r="K295" s="4" t="s">
        <v>2514</v>
      </c>
      <c r="L295" s="15" t="str">
        <f t="shared" si="1"/>
        <v>ok</v>
      </c>
    </row>
    <row r="296" ht="60.0" customHeight="1">
      <c r="A296" s="13" t="s">
        <v>915</v>
      </c>
      <c r="B296" s="13">
        <v>6.0</v>
      </c>
      <c r="C296" s="13" t="s">
        <v>2481</v>
      </c>
      <c r="D296" s="13" t="s">
        <v>917</v>
      </c>
      <c r="E296" s="13" t="s">
        <v>918</v>
      </c>
      <c r="F296" s="13" t="s">
        <v>97</v>
      </c>
      <c r="G296" s="4" t="s">
        <v>915</v>
      </c>
      <c r="H296" s="4" t="s">
        <v>906</v>
      </c>
      <c r="I296" s="4"/>
      <c r="J296" s="4" t="s">
        <v>907</v>
      </c>
      <c r="K296" s="4" t="s">
        <v>2515</v>
      </c>
      <c r="L296" s="15" t="str">
        <f t="shared" si="1"/>
        <v>ok</v>
      </c>
    </row>
    <row r="297" ht="60.0" customHeight="1">
      <c r="A297" s="13" t="s">
        <v>1193</v>
      </c>
      <c r="B297" s="13">
        <v>6.0</v>
      </c>
      <c r="C297" s="13" t="s">
        <v>2481</v>
      </c>
      <c r="D297" s="13" t="s">
        <v>1195</v>
      </c>
      <c r="E297" s="13" t="s">
        <v>1196</v>
      </c>
      <c r="F297" s="13" t="s">
        <v>368</v>
      </c>
      <c r="G297" s="4" t="s">
        <v>1193</v>
      </c>
      <c r="H297" s="4" t="s">
        <v>906</v>
      </c>
      <c r="I297" s="4"/>
      <c r="J297" s="4" t="s">
        <v>1023</v>
      </c>
      <c r="K297" s="4" t="s">
        <v>2516</v>
      </c>
      <c r="L297" s="15" t="str">
        <f t="shared" si="1"/>
        <v>ok</v>
      </c>
    </row>
    <row r="298" ht="60.0" customHeight="1">
      <c r="A298" s="13" t="s">
        <v>1198</v>
      </c>
      <c r="B298" s="13">
        <v>6.0</v>
      </c>
      <c r="C298" s="13" t="s">
        <v>2481</v>
      </c>
      <c r="D298" s="13" t="s">
        <v>1200</v>
      </c>
      <c r="E298" s="13" t="s">
        <v>1201</v>
      </c>
      <c r="F298" s="13" t="s">
        <v>368</v>
      </c>
      <c r="G298" s="4" t="s">
        <v>1198</v>
      </c>
      <c r="H298" s="4" t="s">
        <v>906</v>
      </c>
      <c r="I298" s="4"/>
      <c r="J298" s="4" t="s">
        <v>1023</v>
      </c>
      <c r="K298" s="4" t="s">
        <v>2517</v>
      </c>
      <c r="L298" s="15" t="str">
        <f t="shared" si="1"/>
        <v>ok</v>
      </c>
    </row>
    <row r="299" ht="60.0" customHeight="1">
      <c r="A299" s="13" t="s">
        <v>1202</v>
      </c>
      <c r="B299" s="13">
        <v>6.0</v>
      </c>
      <c r="C299" s="13" t="s">
        <v>2481</v>
      </c>
      <c r="D299" s="13" t="s">
        <v>1204</v>
      </c>
      <c r="E299" s="13" t="s">
        <v>1205</v>
      </c>
      <c r="F299" s="13" t="s">
        <v>368</v>
      </c>
      <c r="G299" s="4" t="s">
        <v>1202</v>
      </c>
      <c r="H299" s="4" t="s">
        <v>906</v>
      </c>
      <c r="I299" s="4"/>
      <c r="J299" s="4" t="s">
        <v>1023</v>
      </c>
      <c r="K299" s="4" t="s">
        <v>2518</v>
      </c>
      <c r="L299" s="15" t="str">
        <f t="shared" si="1"/>
        <v>ok</v>
      </c>
    </row>
    <row r="300" ht="60.0" customHeight="1">
      <c r="A300" s="13" t="s">
        <v>1674</v>
      </c>
      <c r="B300" s="13">
        <v>6.0</v>
      </c>
      <c r="C300" s="13" t="s">
        <v>2481</v>
      </c>
      <c r="D300" s="13" t="s">
        <v>1676</v>
      </c>
      <c r="E300" s="13" t="s">
        <v>1677</v>
      </c>
      <c r="F300" s="13" t="s">
        <v>368</v>
      </c>
      <c r="G300" s="4" t="s">
        <v>1674</v>
      </c>
      <c r="H300" s="4" t="s">
        <v>98</v>
      </c>
      <c r="I300" s="4" t="s">
        <v>126</v>
      </c>
      <c r="J300" s="4"/>
      <c r="K300" s="4" t="s">
        <v>2519</v>
      </c>
      <c r="L300" s="15" t="str">
        <f t="shared" si="1"/>
        <v>ok</v>
      </c>
    </row>
    <row r="301" ht="60.0" customHeight="1">
      <c r="A301" s="13" t="s">
        <v>1206</v>
      </c>
      <c r="B301" s="13">
        <v>6.0</v>
      </c>
      <c r="C301" s="13" t="s">
        <v>2481</v>
      </c>
      <c r="D301" s="13" t="s">
        <v>1208</v>
      </c>
      <c r="E301" s="13" t="s">
        <v>1209</v>
      </c>
      <c r="F301" s="13" t="s">
        <v>368</v>
      </c>
      <c r="G301" s="4" t="s">
        <v>1206</v>
      </c>
      <c r="H301" s="4" t="s">
        <v>906</v>
      </c>
      <c r="I301" s="4"/>
      <c r="J301" s="4" t="s">
        <v>1023</v>
      </c>
      <c r="K301" s="4" t="s">
        <v>2520</v>
      </c>
      <c r="L301" s="15" t="str">
        <f t="shared" si="1"/>
        <v>ok</v>
      </c>
    </row>
    <row r="302" ht="60.0" customHeight="1">
      <c r="A302" s="13" t="s">
        <v>1211</v>
      </c>
      <c r="B302" s="13">
        <v>6.0</v>
      </c>
      <c r="C302" s="13" t="s">
        <v>2481</v>
      </c>
      <c r="D302" s="13" t="s">
        <v>1213</v>
      </c>
      <c r="E302" s="13" t="s">
        <v>1214</v>
      </c>
      <c r="F302" s="13" t="s">
        <v>368</v>
      </c>
      <c r="G302" s="4" t="s">
        <v>1211</v>
      </c>
      <c r="H302" s="4" t="s">
        <v>906</v>
      </c>
      <c r="I302" s="4"/>
      <c r="J302" s="4" t="s">
        <v>1023</v>
      </c>
      <c r="K302" s="4" t="s">
        <v>2521</v>
      </c>
      <c r="L302" s="15" t="str">
        <f t="shared" si="1"/>
        <v>ok</v>
      </c>
    </row>
    <row r="303" ht="60.0" customHeight="1">
      <c r="A303" s="13" t="s">
        <v>1216</v>
      </c>
      <c r="B303" s="13">
        <v>6.0</v>
      </c>
      <c r="C303" s="13" t="s">
        <v>2481</v>
      </c>
      <c r="D303" s="13" t="s">
        <v>1218</v>
      </c>
      <c r="E303" s="13" t="s">
        <v>1219</v>
      </c>
      <c r="F303" s="13" t="s">
        <v>368</v>
      </c>
      <c r="G303" s="4" t="s">
        <v>1216</v>
      </c>
      <c r="H303" s="4" t="s">
        <v>906</v>
      </c>
      <c r="I303" s="4"/>
      <c r="J303" s="4" t="s">
        <v>1023</v>
      </c>
      <c r="K303" s="4" t="s">
        <v>2522</v>
      </c>
      <c r="L303" s="15" t="str">
        <f t="shared" si="1"/>
        <v>ok</v>
      </c>
    </row>
    <row r="304" ht="60.0" customHeight="1">
      <c r="A304" s="13" t="s">
        <v>1678</v>
      </c>
      <c r="B304" s="13">
        <v>6.0</v>
      </c>
      <c r="C304" s="13" t="s">
        <v>2481</v>
      </c>
      <c r="D304" s="13" t="s">
        <v>1680</v>
      </c>
      <c r="E304" s="13" t="s">
        <v>1681</v>
      </c>
      <c r="F304" s="13" t="s">
        <v>368</v>
      </c>
      <c r="G304" s="4" t="s">
        <v>1678</v>
      </c>
      <c r="H304" s="4" t="s">
        <v>906</v>
      </c>
      <c r="I304" s="4"/>
      <c r="J304" s="4" t="s">
        <v>1522</v>
      </c>
      <c r="K304" s="4" t="s">
        <v>2523</v>
      </c>
      <c r="L304" s="15" t="str">
        <f t="shared" si="1"/>
        <v>ok</v>
      </c>
    </row>
    <row r="305" ht="60.0" customHeight="1">
      <c r="A305" s="13" t="s">
        <v>333</v>
      </c>
      <c r="B305" s="13">
        <v>6.0</v>
      </c>
      <c r="C305" s="13" t="s">
        <v>2481</v>
      </c>
      <c r="D305" s="13" t="s">
        <v>335</v>
      </c>
      <c r="E305" s="13" t="s">
        <v>336</v>
      </c>
      <c r="F305" s="13" t="s">
        <v>97</v>
      </c>
      <c r="G305" s="4" t="s">
        <v>333</v>
      </c>
      <c r="H305" s="4" t="s">
        <v>98</v>
      </c>
      <c r="I305" s="4" t="s">
        <v>97</v>
      </c>
      <c r="J305" s="4"/>
      <c r="K305" s="4" t="s">
        <v>2524</v>
      </c>
      <c r="L305" s="15" t="str">
        <f t="shared" si="1"/>
        <v>ok</v>
      </c>
    </row>
    <row r="306" ht="60.0" customHeight="1">
      <c r="A306" s="13" t="s">
        <v>1220</v>
      </c>
      <c r="B306" s="13">
        <v>6.0</v>
      </c>
      <c r="C306" s="13" t="s">
        <v>2481</v>
      </c>
      <c r="D306" s="13" t="s">
        <v>1222</v>
      </c>
      <c r="E306" s="13" t="s">
        <v>1223</v>
      </c>
      <c r="F306" s="13" t="s">
        <v>368</v>
      </c>
      <c r="G306" s="4" t="s">
        <v>1220</v>
      </c>
      <c r="H306" s="4" t="s">
        <v>906</v>
      </c>
      <c r="I306" s="4"/>
      <c r="J306" s="4" t="s">
        <v>1023</v>
      </c>
      <c r="K306" s="4" t="s">
        <v>2525</v>
      </c>
      <c r="L306" s="15" t="str">
        <f t="shared" si="1"/>
        <v>ok</v>
      </c>
    </row>
    <row r="307" ht="60.0" customHeight="1">
      <c r="A307" s="13" t="s">
        <v>337</v>
      </c>
      <c r="B307" s="13">
        <v>7.0</v>
      </c>
      <c r="C307" s="13" t="s">
        <v>2481</v>
      </c>
      <c r="D307" s="13" t="s">
        <v>339</v>
      </c>
      <c r="E307" s="13" t="s">
        <v>340</v>
      </c>
      <c r="F307" s="13" t="s">
        <v>97</v>
      </c>
      <c r="G307" s="4" t="s">
        <v>337</v>
      </c>
      <c r="H307" s="4" t="s">
        <v>98</v>
      </c>
      <c r="I307" s="4" t="s">
        <v>126</v>
      </c>
      <c r="J307" s="4"/>
      <c r="K307" s="4" t="s">
        <v>2526</v>
      </c>
      <c r="L307" s="15" t="str">
        <f t="shared" si="1"/>
        <v>ok</v>
      </c>
    </row>
    <row r="308" ht="60.0" customHeight="1">
      <c r="A308" s="13" t="s">
        <v>343</v>
      </c>
      <c r="B308" s="13">
        <v>7.0</v>
      </c>
      <c r="C308" s="13" t="s">
        <v>2481</v>
      </c>
      <c r="D308" s="13" t="s">
        <v>345</v>
      </c>
      <c r="E308" s="13" t="s">
        <v>346</v>
      </c>
      <c r="F308" s="13" t="s">
        <v>97</v>
      </c>
      <c r="G308" s="4" t="s">
        <v>343</v>
      </c>
      <c r="H308" s="4" t="s">
        <v>98</v>
      </c>
      <c r="I308" s="4" t="s">
        <v>97</v>
      </c>
      <c r="J308" s="4"/>
      <c r="K308" s="4" t="s">
        <v>2527</v>
      </c>
      <c r="L308" s="15" t="str">
        <f t="shared" si="1"/>
        <v>ok</v>
      </c>
    </row>
    <row r="309" ht="60.0" customHeight="1">
      <c r="A309" s="13" t="s">
        <v>348</v>
      </c>
      <c r="B309" s="13">
        <v>7.0</v>
      </c>
      <c r="C309" s="13" t="s">
        <v>2481</v>
      </c>
      <c r="D309" s="13" t="s">
        <v>350</v>
      </c>
      <c r="E309" s="13" t="s">
        <v>351</v>
      </c>
      <c r="F309" s="13" t="s">
        <v>97</v>
      </c>
      <c r="G309" s="4" t="s">
        <v>348</v>
      </c>
      <c r="H309" s="4" t="s">
        <v>98</v>
      </c>
      <c r="I309" s="4" t="s">
        <v>97</v>
      </c>
      <c r="J309" s="4"/>
      <c r="K309" s="4" t="s">
        <v>2528</v>
      </c>
      <c r="L309" s="15" t="str">
        <f t="shared" si="1"/>
        <v>ok</v>
      </c>
    </row>
    <row r="310" ht="60.0" customHeight="1">
      <c r="A310" s="13" t="s">
        <v>1135</v>
      </c>
      <c r="B310" s="13">
        <v>7.0</v>
      </c>
      <c r="C310" s="13" t="s">
        <v>2529</v>
      </c>
      <c r="D310" s="13" t="s">
        <v>1137</v>
      </c>
      <c r="E310" s="13" t="s">
        <v>1138</v>
      </c>
      <c r="F310" s="13" t="s">
        <v>368</v>
      </c>
      <c r="G310" s="4" t="s">
        <v>1135</v>
      </c>
      <c r="H310" s="4" t="s">
        <v>906</v>
      </c>
      <c r="I310" s="4"/>
      <c r="J310" s="4" t="s">
        <v>1023</v>
      </c>
      <c r="K310" s="4" t="s">
        <v>2530</v>
      </c>
      <c r="L310" s="15" t="str">
        <f t="shared" si="1"/>
        <v>ok</v>
      </c>
    </row>
    <row r="311" ht="60.0" customHeight="1">
      <c r="A311" s="13" t="s">
        <v>1225</v>
      </c>
      <c r="B311" s="13">
        <v>7.0</v>
      </c>
      <c r="C311" s="13" t="s">
        <v>2481</v>
      </c>
      <c r="D311" s="13" t="s">
        <v>1227</v>
      </c>
      <c r="E311" s="13" t="s">
        <v>1228</v>
      </c>
      <c r="F311" s="13" t="s">
        <v>368</v>
      </c>
      <c r="G311" s="4" t="s">
        <v>1225</v>
      </c>
      <c r="H311" s="4" t="s">
        <v>906</v>
      </c>
      <c r="I311" s="4"/>
      <c r="J311" s="4" t="s">
        <v>1023</v>
      </c>
      <c r="K311" s="4" t="s">
        <v>2531</v>
      </c>
      <c r="L311" s="15" t="str">
        <f t="shared" si="1"/>
        <v>ok</v>
      </c>
    </row>
    <row r="312" ht="60.0" customHeight="1">
      <c r="A312" s="13" t="s">
        <v>272</v>
      </c>
      <c r="B312" s="13">
        <v>7.0</v>
      </c>
      <c r="C312" s="13" t="s">
        <v>2529</v>
      </c>
      <c r="D312" s="13" t="s">
        <v>273</v>
      </c>
      <c r="E312" s="13" t="s">
        <v>274</v>
      </c>
      <c r="F312" s="13" t="s">
        <v>97</v>
      </c>
      <c r="G312" s="4" t="s">
        <v>272</v>
      </c>
      <c r="H312" s="4" t="s">
        <v>98</v>
      </c>
      <c r="I312" s="4" t="s">
        <v>97</v>
      </c>
      <c r="J312" s="4"/>
      <c r="K312" s="4" t="s">
        <v>2532</v>
      </c>
      <c r="L312" s="15" t="str">
        <f t="shared" si="1"/>
        <v>ok</v>
      </c>
    </row>
    <row r="313" ht="60.0" customHeight="1">
      <c r="A313" s="13" t="s">
        <v>743</v>
      </c>
      <c r="B313" s="13">
        <v>7.0</v>
      </c>
      <c r="C313" s="13" t="s">
        <v>2529</v>
      </c>
      <c r="D313" s="13" t="s">
        <v>745</v>
      </c>
      <c r="E313" s="13" t="s">
        <v>746</v>
      </c>
      <c r="F313" s="13" t="s">
        <v>97</v>
      </c>
      <c r="G313" s="4" t="s">
        <v>743</v>
      </c>
      <c r="H313" s="4" t="s">
        <v>694</v>
      </c>
      <c r="I313" s="4"/>
      <c r="J313" s="4"/>
      <c r="K313" s="4" t="s">
        <v>2533</v>
      </c>
      <c r="L313" s="15" t="str">
        <f t="shared" si="1"/>
        <v>ok</v>
      </c>
    </row>
    <row r="314" ht="60.0" customHeight="1">
      <c r="A314" s="13" t="s">
        <v>1140</v>
      </c>
      <c r="B314" s="13">
        <v>7.0</v>
      </c>
      <c r="C314" s="13" t="s">
        <v>2529</v>
      </c>
      <c r="D314" s="13" t="s">
        <v>1142</v>
      </c>
      <c r="E314" s="13" t="s">
        <v>1143</v>
      </c>
      <c r="F314" s="13" t="s">
        <v>368</v>
      </c>
      <c r="G314" s="4" t="s">
        <v>1140</v>
      </c>
      <c r="H314" s="4" t="s">
        <v>906</v>
      </c>
      <c r="I314" s="4"/>
      <c r="J314" s="4" t="s">
        <v>1023</v>
      </c>
      <c r="K314" s="4" t="s">
        <v>2534</v>
      </c>
      <c r="L314" s="15" t="str">
        <f t="shared" si="1"/>
        <v>ok</v>
      </c>
    </row>
    <row r="315" ht="60.0" customHeight="1">
      <c r="A315" s="13" t="s">
        <v>275</v>
      </c>
      <c r="B315" s="13">
        <v>7.0</v>
      </c>
      <c r="C315" s="13" t="s">
        <v>2529</v>
      </c>
      <c r="D315" s="13" t="s">
        <v>277</v>
      </c>
      <c r="E315" s="13" t="s">
        <v>278</v>
      </c>
      <c r="F315" s="13" t="s">
        <v>97</v>
      </c>
      <c r="G315" s="4" t="s">
        <v>275</v>
      </c>
      <c r="H315" s="4" t="s">
        <v>98</v>
      </c>
      <c r="I315" s="4" t="s">
        <v>97</v>
      </c>
      <c r="J315" s="4"/>
      <c r="K315" s="4" t="s">
        <v>2535</v>
      </c>
      <c r="L315" s="15" t="str">
        <f t="shared" si="1"/>
        <v>ok</v>
      </c>
    </row>
    <row r="316" ht="60.0" customHeight="1">
      <c r="A316" s="13" t="s">
        <v>1146</v>
      </c>
      <c r="B316" s="13">
        <v>7.0</v>
      </c>
      <c r="C316" s="13" t="s">
        <v>2529</v>
      </c>
      <c r="D316" s="13" t="s">
        <v>1148</v>
      </c>
      <c r="E316" s="13" t="s">
        <v>1149</v>
      </c>
      <c r="F316" s="13" t="s">
        <v>97</v>
      </c>
      <c r="G316" s="4" t="s">
        <v>1146</v>
      </c>
      <c r="H316" s="4" t="s">
        <v>906</v>
      </c>
      <c r="I316" s="4"/>
      <c r="J316" s="4" t="s">
        <v>1522</v>
      </c>
      <c r="K316" s="4" t="s">
        <v>2536</v>
      </c>
      <c r="L316" s="15" t="str">
        <f t="shared" si="1"/>
        <v>ok</v>
      </c>
    </row>
    <row r="317" ht="60.0" customHeight="1">
      <c r="A317" s="13" t="s">
        <v>1151</v>
      </c>
      <c r="B317" s="13">
        <v>7.0</v>
      </c>
      <c r="C317" s="13" t="s">
        <v>2529</v>
      </c>
      <c r="D317" s="13" t="s">
        <v>1153</v>
      </c>
      <c r="E317" s="13" t="s">
        <v>1154</v>
      </c>
      <c r="F317" s="13" t="s">
        <v>368</v>
      </c>
      <c r="G317" s="4" t="s">
        <v>1151</v>
      </c>
      <c r="H317" s="4" t="s">
        <v>906</v>
      </c>
      <c r="I317" s="4"/>
      <c r="J317" s="4" t="s">
        <v>1023</v>
      </c>
      <c r="K317" s="4" t="s">
        <v>2537</v>
      </c>
      <c r="L317" s="15" t="str">
        <f t="shared" si="1"/>
        <v>ok</v>
      </c>
    </row>
    <row r="318" ht="60.0" customHeight="1">
      <c r="A318" s="13" t="s">
        <v>1670</v>
      </c>
      <c r="B318" s="13">
        <v>7.0</v>
      </c>
      <c r="C318" s="13" t="s">
        <v>2529</v>
      </c>
      <c r="D318" s="13" t="s">
        <v>1672</v>
      </c>
      <c r="E318" s="13" t="s">
        <v>1673</v>
      </c>
      <c r="F318" s="13" t="s">
        <v>368</v>
      </c>
      <c r="G318" s="4" t="s">
        <v>1670</v>
      </c>
      <c r="H318" s="4" t="s">
        <v>906</v>
      </c>
      <c r="I318" s="4"/>
      <c r="J318" s="4" t="s">
        <v>1522</v>
      </c>
      <c r="K318" s="4" t="s">
        <v>2538</v>
      </c>
      <c r="L318" s="15" t="str">
        <f t="shared" si="1"/>
        <v>ok</v>
      </c>
    </row>
    <row r="319" ht="60.0" customHeight="1">
      <c r="A319" s="13" t="s">
        <v>280</v>
      </c>
      <c r="B319" s="13">
        <v>7.0</v>
      </c>
      <c r="C319" s="13" t="s">
        <v>2529</v>
      </c>
      <c r="D319" s="13" t="s">
        <v>282</v>
      </c>
      <c r="E319" s="13" t="s">
        <v>283</v>
      </c>
      <c r="F319" s="13" t="s">
        <v>126</v>
      </c>
      <c r="G319" s="4" t="s">
        <v>280</v>
      </c>
      <c r="H319" s="4" t="s">
        <v>98</v>
      </c>
      <c r="I319" s="4" t="s">
        <v>126</v>
      </c>
      <c r="J319" s="4"/>
      <c r="K319" s="4" t="s">
        <v>2539</v>
      </c>
      <c r="L319" s="15" t="str">
        <f t="shared" si="1"/>
        <v>ok</v>
      </c>
    </row>
    <row r="320" ht="60.0" customHeight="1">
      <c r="A320" s="13" t="s">
        <v>1915</v>
      </c>
      <c r="B320" s="13">
        <v>7.0</v>
      </c>
      <c r="C320" s="13" t="s">
        <v>2529</v>
      </c>
      <c r="D320" s="13" t="s">
        <v>1917</v>
      </c>
      <c r="E320" s="13" t="s">
        <v>1918</v>
      </c>
      <c r="F320" s="13" t="s">
        <v>97</v>
      </c>
      <c r="G320" s="4" t="s">
        <v>1915</v>
      </c>
      <c r="H320" s="4" t="s">
        <v>906</v>
      </c>
      <c r="I320" s="4"/>
      <c r="J320" s="4" t="s">
        <v>907</v>
      </c>
      <c r="K320" s="4" t="s">
        <v>2540</v>
      </c>
      <c r="L320" s="15" t="str">
        <f t="shared" si="1"/>
        <v>ok</v>
      </c>
    </row>
    <row r="321" ht="60.0" customHeight="1">
      <c r="A321" s="13" t="s">
        <v>284</v>
      </c>
      <c r="B321" s="13">
        <v>7.0</v>
      </c>
      <c r="C321" s="13" t="s">
        <v>2529</v>
      </c>
      <c r="D321" s="13" t="s">
        <v>286</v>
      </c>
      <c r="E321" s="13" t="s">
        <v>287</v>
      </c>
      <c r="F321" s="13" t="s">
        <v>97</v>
      </c>
      <c r="G321" s="4" t="s">
        <v>284</v>
      </c>
      <c r="H321" s="4" t="s">
        <v>98</v>
      </c>
      <c r="I321" s="4" t="s">
        <v>126</v>
      </c>
      <c r="J321" s="4"/>
      <c r="K321" s="4" t="s">
        <v>2541</v>
      </c>
      <c r="L321" s="15" t="str">
        <f t="shared" si="1"/>
        <v>ok</v>
      </c>
    </row>
    <row r="322" ht="60.0" customHeight="1">
      <c r="A322" s="13" t="s">
        <v>1155</v>
      </c>
      <c r="B322" s="13">
        <v>7.0</v>
      </c>
      <c r="C322" s="13" t="s">
        <v>2529</v>
      </c>
      <c r="D322" s="13" t="s">
        <v>1157</v>
      </c>
      <c r="E322" s="13" t="s">
        <v>1158</v>
      </c>
      <c r="F322" s="13" t="s">
        <v>368</v>
      </c>
      <c r="G322" s="4" t="s">
        <v>1155</v>
      </c>
      <c r="H322" s="4" t="s">
        <v>906</v>
      </c>
      <c r="I322" s="4"/>
      <c r="J322" s="4" t="s">
        <v>1023</v>
      </c>
      <c r="K322" s="4" t="s">
        <v>2542</v>
      </c>
      <c r="L322" s="15" t="str">
        <f t="shared" si="1"/>
        <v>ok</v>
      </c>
    </row>
    <row r="323" ht="60.0" customHeight="1">
      <c r="A323" s="13" t="s">
        <v>2117</v>
      </c>
      <c r="B323" s="13">
        <v>7.0</v>
      </c>
      <c r="C323" s="13" t="s">
        <v>2529</v>
      </c>
      <c r="D323" s="13" t="s">
        <v>2119</v>
      </c>
      <c r="E323" s="13" t="s">
        <v>2120</v>
      </c>
      <c r="F323" s="13" t="s">
        <v>97</v>
      </c>
      <c r="G323" s="4" t="s">
        <v>2117</v>
      </c>
      <c r="H323" s="4" t="s">
        <v>906</v>
      </c>
      <c r="I323" s="4"/>
      <c r="J323" s="4" t="s">
        <v>1522</v>
      </c>
      <c r="K323" s="4" t="s">
        <v>2543</v>
      </c>
      <c r="L323" s="15" t="str">
        <f t="shared" si="1"/>
        <v>ok</v>
      </c>
    </row>
    <row r="324" ht="60.0" customHeight="1">
      <c r="A324" s="13" t="s">
        <v>289</v>
      </c>
      <c r="B324" s="13">
        <v>7.0</v>
      </c>
      <c r="C324" s="13" t="s">
        <v>2529</v>
      </c>
      <c r="D324" s="13" t="s">
        <v>291</v>
      </c>
      <c r="E324" s="13" t="s">
        <v>292</v>
      </c>
      <c r="F324" s="13" t="s">
        <v>126</v>
      </c>
      <c r="G324" s="4" t="s">
        <v>289</v>
      </c>
      <c r="H324" s="4" t="s">
        <v>98</v>
      </c>
      <c r="I324" s="4" t="s">
        <v>126</v>
      </c>
      <c r="J324" s="4"/>
      <c r="K324" s="4" t="s">
        <v>2544</v>
      </c>
      <c r="L324" s="15" t="str">
        <f t="shared" si="1"/>
        <v>ok</v>
      </c>
    </row>
    <row r="325" ht="60.0" customHeight="1">
      <c r="A325" s="13" t="s">
        <v>1161</v>
      </c>
      <c r="B325" s="13">
        <v>7.0</v>
      </c>
      <c r="C325" s="13" t="s">
        <v>2529</v>
      </c>
      <c r="D325" s="13" t="s">
        <v>1163</v>
      </c>
      <c r="E325" s="13" t="s">
        <v>1164</v>
      </c>
      <c r="F325" s="13" t="s">
        <v>368</v>
      </c>
      <c r="G325" s="4" t="s">
        <v>1161</v>
      </c>
      <c r="H325" s="4" t="s">
        <v>906</v>
      </c>
      <c r="I325" s="4"/>
      <c r="J325" s="4" t="s">
        <v>1023</v>
      </c>
      <c r="K325" s="4" t="s">
        <v>2545</v>
      </c>
      <c r="L325" s="15" t="str">
        <f t="shared" si="1"/>
        <v>ok</v>
      </c>
    </row>
    <row r="326" ht="60.0" customHeight="1">
      <c r="A326" s="13" t="s">
        <v>1919</v>
      </c>
      <c r="B326" s="13">
        <v>7.0</v>
      </c>
      <c r="C326" s="13" t="s">
        <v>2529</v>
      </c>
      <c r="D326" s="13" t="s">
        <v>1920</v>
      </c>
      <c r="E326" s="13" t="s">
        <v>1921</v>
      </c>
      <c r="F326" s="13" t="s">
        <v>368</v>
      </c>
      <c r="G326" s="4" t="s">
        <v>1919</v>
      </c>
      <c r="H326" s="4" t="s">
        <v>906</v>
      </c>
      <c r="I326" s="4"/>
      <c r="J326" s="4" t="s">
        <v>907</v>
      </c>
      <c r="K326" s="4" t="s">
        <v>2546</v>
      </c>
      <c r="L326" s="15" t="str">
        <f t="shared" si="1"/>
        <v>ok</v>
      </c>
    </row>
    <row r="327" ht="60.0" customHeight="1">
      <c r="A327" s="13" t="s">
        <v>1640</v>
      </c>
      <c r="B327" s="13">
        <v>7.0</v>
      </c>
      <c r="C327" s="13" t="s">
        <v>2547</v>
      </c>
      <c r="D327" s="13" t="s">
        <v>1642</v>
      </c>
      <c r="E327" s="13" t="s">
        <v>1643</v>
      </c>
      <c r="F327" s="13" t="s">
        <v>368</v>
      </c>
      <c r="G327" s="4" t="s">
        <v>1640</v>
      </c>
      <c r="H327" s="4" t="s">
        <v>906</v>
      </c>
      <c r="I327" s="4"/>
      <c r="J327" s="4" t="s">
        <v>1522</v>
      </c>
      <c r="K327" s="4" t="s">
        <v>2548</v>
      </c>
      <c r="L327" s="15" t="str">
        <f t="shared" si="1"/>
        <v>ok</v>
      </c>
    </row>
    <row r="328" ht="60.0" customHeight="1">
      <c r="A328" s="13" t="s">
        <v>1166</v>
      </c>
      <c r="B328" s="13">
        <v>7.0</v>
      </c>
      <c r="C328" s="13" t="s">
        <v>2529</v>
      </c>
      <c r="D328" s="13" t="s">
        <v>1168</v>
      </c>
      <c r="E328" s="13" t="s">
        <v>1169</v>
      </c>
      <c r="F328" s="13" t="s">
        <v>368</v>
      </c>
      <c r="G328" s="4" t="s">
        <v>1166</v>
      </c>
      <c r="H328" s="4" t="s">
        <v>906</v>
      </c>
      <c r="I328" s="4"/>
      <c r="J328" s="4" t="s">
        <v>1023</v>
      </c>
      <c r="K328" s="4" t="s">
        <v>2549</v>
      </c>
      <c r="L328" s="15" t="str">
        <f t="shared" si="1"/>
        <v>ok</v>
      </c>
    </row>
    <row r="329" ht="60.0" customHeight="1">
      <c r="A329" s="13" t="s">
        <v>1171</v>
      </c>
      <c r="B329" s="13">
        <v>7.0</v>
      </c>
      <c r="C329" s="13" t="s">
        <v>2529</v>
      </c>
      <c r="D329" s="13" t="s">
        <v>1173</v>
      </c>
      <c r="E329" s="13" t="s">
        <v>1174</v>
      </c>
      <c r="F329" s="13" t="s">
        <v>368</v>
      </c>
      <c r="G329" s="4" t="s">
        <v>1171</v>
      </c>
      <c r="H329" s="4" t="s">
        <v>906</v>
      </c>
      <c r="I329" s="4"/>
      <c r="J329" s="4" t="s">
        <v>1023</v>
      </c>
      <c r="K329" s="4" t="s">
        <v>2550</v>
      </c>
      <c r="L329" s="15" t="str">
        <f t="shared" si="1"/>
        <v>ok</v>
      </c>
    </row>
    <row r="330" ht="60.0" customHeight="1">
      <c r="A330" s="13" t="s">
        <v>1998</v>
      </c>
      <c r="B330" s="13">
        <v>7.0</v>
      </c>
      <c r="C330" s="13" t="s">
        <v>2529</v>
      </c>
      <c r="D330" s="13" t="s">
        <v>2000</v>
      </c>
      <c r="E330" s="13" t="s">
        <v>2001</v>
      </c>
      <c r="F330" s="13" t="s">
        <v>97</v>
      </c>
      <c r="G330" s="4" t="s">
        <v>1998</v>
      </c>
      <c r="H330" s="4" t="s">
        <v>906</v>
      </c>
      <c r="I330" s="4"/>
      <c r="J330" s="4" t="s">
        <v>1953</v>
      </c>
      <c r="K330" s="4" t="s">
        <v>2551</v>
      </c>
      <c r="L330" s="15" t="str">
        <f t="shared" si="1"/>
        <v>ok</v>
      </c>
    </row>
    <row r="331" ht="60.0" customHeight="1">
      <c r="A331" s="13" t="s">
        <v>220</v>
      </c>
      <c r="B331" s="13">
        <v>7.0</v>
      </c>
      <c r="C331" s="13" t="s">
        <v>2547</v>
      </c>
      <c r="D331" s="13" t="s">
        <v>222</v>
      </c>
      <c r="E331" s="13" t="s">
        <v>223</v>
      </c>
      <c r="F331" s="13" t="s">
        <v>97</v>
      </c>
      <c r="G331" s="4" t="s">
        <v>220</v>
      </c>
      <c r="H331" s="4" t="s">
        <v>98</v>
      </c>
      <c r="I331" s="4" t="s">
        <v>97</v>
      </c>
      <c r="J331" s="4"/>
      <c r="K331" s="4" t="s">
        <v>2552</v>
      </c>
      <c r="L331" s="15" t="str">
        <f t="shared" si="1"/>
        <v>ok</v>
      </c>
    </row>
    <row r="332" ht="60.0" customHeight="1">
      <c r="A332" s="13" t="s">
        <v>294</v>
      </c>
      <c r="B332" s="13">
        <v>7.0</v>
      </c>
      <c r="C332" s="13" t="s">
        <v>2529</v>
      </c>
      <c r="D332" s="13" t="s">
        <v>296</v>
      </c>
      <c r="E332" s="13" t="s">
        <v>297</v>
      </c>
      <c r="F332" s="13" t="s">
        <v>126</v>
      </c>
      <c r="G332" s="4" t="s">
        <v>294</v>
      </c>
      <c r="H332" s="4" t="s">
        <v>98</v>
      </c>
      <c r="I332" s="4" t="s">
        <v>126</v>
      </c>
      <c r="J332" s="4"/>
      <c r="K332" s="4" t="s">
        <v>2553</v>
      </c>
      <c r="L332" s="15" t="str">
        <f t="shared" si="1"/>
        <v>ok</v>
      </c>
    </row>
    <row r="333" ht="60.0" customHeight="1">
      <c r="A333" s="13" t="s">
        <v>1644</v>
      </c>
      <c r="B333" s="13">
        <v>7.0</v>
      </c>
      <c r="C333" s="13" t="s">
        <v>2547</v>
      </c>
      <c r="D333" s="13" t="s">
        <v>1646</v>
      </c>
      <c r="E333" s="13" t="s">
        <v>1647</v>
      </c>
      <c r="F333" s="13" t="s">
        <v>368</v>
      </c>
      <c r="G333" s="4" t="s">
        <v>1644</v>
      </c>
      <c r="H333" s="4" t="s">
        <v>906</v>
      </c>
      <c r="I333" s="4"/>
      <c r="J333" s="4" t="s">
        <v>1522</v>
      </c>
      <c r="K333" s="4" t="s">
        <v>2554</v>
      </c>
      <c r="L333" s="15" t="str">
        <f t="shared" si="1"/>
        <v>ok</v>
      </c>
    </row>
    <row r="334" ht="60.0" customHeight="1">
      <c r="A334" s="13" t="s">
        <v>300</v>
      </c>
      <c r="B334" s="13">
        <v>7.0</v>
      </c>
      <c r="C334" s="13" t="s">
        <v>2529</v>
      </c>
      <c r="D334" s="13" t="s">
        <v>302</v>
      </c>
      <c r="E334" s="13" t="s">
        <v>303</v>
      </c>
      <c r="F334" s="13" t="s">
        <v>97</v>
      </c>
      <c r="G334" s="4" t="s">
        <v>300</v>
      </c>
      <c r="H334" s="4" t="s">
        <v>98</v>
      </c>
      <c r="I334" s="4" t="s">
        <v>97</v>
      </c>
      <c r="J334" s="4"/>
      <c r="K334" s="4" t="s">
        <v>2555</v>
      </c>
      <c r="L334" s="15" t="str">
        <f t="shared" si="1"/>
        <v>ok</v>
      </c>
    </row>
    <row r="335" ht="60.0" customHeight="1">
      <c r="A335" s="13" t="s">
        <v>224</v>
      </c>
      <c r="B335" s="13">
        <v>7.0</v>
      </c>
      <c r="C335" s="13" t="s">
        <v>2547</v>
      </c>
      <c r="D335" s="13" t="s">
        <v>226</v>
      </c>
      <c r="E335" s="13" t="s">
        <v>227</v>
      </c>
      <c r="F335" s="13" t="s">
        <v>97</v>
      </c>
      <c r="G335" s="4" t="s">
        <v>224</v>
      </c>
      <c r="H335" s="4" t="s">
        <v>98</v>
      </c>
      <c r="I335" s="4" t="s">
        <v>97</v>
      </c>
      <c r="J335" s="4"/>
      <c r="K335" s="4" t="s">
        <v>2556</v>
      </c>
      <c r="L335" s="15" t="str">
        <f t="shared" si="1"/>
        <v>ok</v>
      </c>
    </row>
    <row r="336" ht="60.0" customHeight="1">
      <c r="A336" s="13" t="s">
        <v>229</v>
      </c>
      <c r="B336" s="13">
        <v>7.0</v>
      </c>
      <c r="C336" s="13" t="s">
        <v>2547</v>
      </c>
      <c r="D336" s="13" t="s">
        <v>231</v>
      </c>
      <c r="E336" s="13" t="s">
        <v>232</v>
      </c>
      <c r="F336" s="13" t="s">
        <v>126</v>
      </c>
      <c r="G336" s="4" t="s">
        <v>229</v>
      </c>
      <c r="H336" s="4" t="s">
        <v>98</v>
      </c>
      <c r="I336" s="4" t="s">
        <v>126</v>
      </c>
      <c r="J336" s="4"/>
      <c r="K336" s="4" t="s">
        <v>2557</v>
      </c>
      <c r="L336" s="15" t="str">
        <f t="shared" si="1"/>
        <v>ok</v>
      </c>
    </row>
    <row r="337" ht="60.0" customHeight="1">
      <c r="A337" s="13" t="s">
        <v>234</v>
      </c>
      <c r="B337" s="13">
        <v>7.0</v>
      </c>
      <c r="C337" s="13" t="s">
        <v>2547</v>
      </c>
      <c r="D337" s="13" t="s">
        <v>236</v>
      </c>
      <c r="E337" s="13" t="s">
        <v>237</v>
      </c>
      <c r="F337" s="13" t="s">
        <v>126</v>
      </c>
      <c r="G337" s="4" t="s">
        <v>234</v>
      </c>
      <c r="H337" s="4" t="s">
        <v>98</v>
      </c>
      <c r="I337" s="4" t="s">
        <v>126</v>
      </c>
      <c r="J337" s="4"/>
      <c r="K337" s="4" t="s">
        <v>2558</v>
      </c>
      <c r="L337" s="15" t="str">
        <f t="shared" si="1"/>
        <v>ok</v>
      </c>
    </row>
    <row r="338" ht="60.0" customHeight="1">
      <c r="A338" s="13" t="s">
        <v>1102</v>
      </c>
      <c r="B338" s="13">
        <v>7.0</v>
      </c>
      <c r="C338" s="13" t="s">
        <v>2547</v>
      </c>
      <c r="D338" s="13" t="s">
        <v>1104</v>
      </c>
      <c r="E338" s="13" t="s">
        <v>1105</v>
      </c>
      <c r="F338" s="13" t="s">
        <v>368</v>
      </c>
      <c r="G338" s="4" t="s">
        <v>1102</v>
      </c>
      <c r="H338" s="4" t="s">
        <v>906</v>
      </c>
      <c r="I338" s="4"/>
      <c r="J338" s="4" t="s">
        <v>1023</v>
      </c>
      <c r="K338" s="4" t="s">
        <v>2559</v>
      </c>
      <c r="L338" s="15" t="str">
        <f t="shared" si="1"/>
        <v>ok</v>
      </c>
    </row>
    <row r="339" ht="60.0" customHeight="1">
      <c r="A339" s="13" t="s">
        <v>1648</v>
      </c>
      <c r="B339" s="13">
        <v>7.0</v>
      </c>
      <c r="C339" s="13" t="s">
        <v>2547</v>
      </c>
      <c r="D339" s="13" t="s">
        <v>1650</v>
      </c>
      <c r="E339" s="13" t="s">
        <v>1651</v>
      </c>
      <c r="F339" s="13" t="s">
        <v>368</v>
      </c>
      <c r="G339" s="4" t="s">
        <v>1648</v>
      </c>
      <c r="H339" s="4" t="s">
        <v>98</v>
      </c>
      <c r="I339" s="4" t="s">
        <v>126</v>
      </c>
      <c r="J339" s="4"/>
      <c r="K339" s="4" t="s">
        <v>2560</v>
      </c>
      <c r="L339" s="15" t="str">
        <f t="shared" si="1"/>
        <v>ok</v>
      </c>
    </row>
    <row r="340" ht="60.0" customHeight="1">
      <c r="A340" s="13" t="s">
        <v>239</v>
      </c>
      <c r="B340" s="13">
        <v>7.0</v>
      </c>
      <c r="C340" s="13" t="s">
        <v>2547</v>
      </c>
      <c r="D340" s="13" t="s">
        <v>241</v>
      </c>
      <c r="E340" s="13" t="s">
        <v>242</v>
      </c>
      <c r="F340" s="13" t="s">
        <v>97</v>
      </c>
      <c r="G340" s="4" t="s">
        <v>239</v>
      </c>
      <c r="H340" s="4" t="s">
        <v>98</v>
      </c>
      <c r="I340" s="4" t="s">
        <v>126</v>
      </c>
      <c r="J340" s="4"/>
      <c r="K340" s="4" t="s">
        <v>2561</v>
      </c>
      <c r="L340" s="15" t="str">
        <f t="shared" si="1"/>
        <v>ok</v>
      </c>
    </row>
    <row r="341" ht="60.0" customHeight="1">
      <c r="A341" s="13" t="s">
        <v>1988</v>
      </c>
      <c r="B341" s="13">
        <v>7.0</v>
      </c>
      <c r="C341" s="13" t="s">
        <v>2547</v>
      </c>
      <c r="D341" s="13" t="s">
        <v>1990</v>
      </c>
      <c r="E341" s="13" t="s">
        <v>1991</v>
      </c>
      <c r="F341" s="13" t="s">
        <v>97</v>
      </c>
      <c r="G341" s="4" t="s">
        <v>1988</v>
      </c>
      <c r="H341" s="4" t="s">
        <v>694</v>
      </c>
      <c r="I341" s="4"/>
      <c r="J341" s="4"/>
      <c r="K341" s="4" t="s">
        <v>2562</v>
      </c>
      <c r="L341" s="15" t="str">
        <f t="shared" si="1"/>
        <v>ok</v>
      </c>
    </row>
    <row r="342" ht="60.0" customHeight="1">
      <c r="A342" s="13" t="s">
        <v>244</v>
      </c>
      <c r="B342" s="13">
        <v>7.0</v>
      </c>
      <c r="C342" s="13" t="s">
        <v>2547</v>
      </c>
      <c r="D342" s="13" t="s">
        <v>246</v>
      </c>
      <c r="E342" s="13" t="s">
        <v>247</v>
      </c>
      <c r="F342" s="13" t="s">
        <v>97</v>
      </c>
      <c r="G342" s="4" t="s">
        <v>244</v>
      </c>
      <c r="H342" s="4" t="s">
        <v>98</v>
      </c>
      <c r="I342" s="4" t="s">
        <v>97</v>
      </c>
      <c r="J342" s="4"/>
      <c r="K342" s="4" t="s">
        <v>2563</v>
      </c>
      <c r="L342" s="15" t="str">
        <f t="shared" si="1"/>
        <v>ok</v>
      </c>
    </row>
    <row r="343" ht="60.0" customHeight="1">
      <c r="A343" s="13" t="s">
        <v>1107</v>
      </c>
      <c r="B343" s="13">
        <v>7.0</v>
      </c>
      <c r="C343" s="13" t="s">
        <v>2547</v>
      </c>
      <c r="D343" s="13" t="s">
        <v>1109</v>
      </c>
      <c r="E343" s="13" t="s">
        <v>1110</v>
      </c>
      <c r="F343" s="13" t="s">
        <v>368</v>
      </c>
      <c r="G343" s="4" t="s">
        <v>1107</v>
      </c>
      <c r="H343" s="4" t="s">
        <v>906</v>
      </c>
      <c r="I343" s="4"/>
      <c r="J343" s="4" t="s">
        <v>1023</v>
      </c>
      <c r="K343" s="4" t="s">
        <v>2564</v>
      </c>
      <c r="L343" s="15" t="str">
        <f t="shared" si="1"/>
        <v>ok</v>
      </c>
    </row>
    <row r="344" ht="60.0" customHeight="1">
      <c r="A344" s="13" t="s">
        <v>1653</v>
      </c>
      <c r="B344" s="13">
        <v>7.0</v>
      </c>
      <c r="C344" s="13" t="s">
        <v>2547</v>
      </c>
      <c r="D344" s="13" t="s">
        <v>1655</v>
      </c>
      <c r="E344" s="13" t="s">
        <v>1656</v>
      </c>
      <c r="F344" s="13" t="s">
        <v>368</v>
      </c>
      <c r="G344" s="4" t="s">
        <v>1653</v>
      </c>
      <c r="H344" s="4" t="s">
        <v>906</v>
      </c>
      <c r="I344" s="4"/>
      <c r="J344" s="4" t="s">
        <v>1522</v>
      </c>
      <c r="K344" s="4" t="s">
        <v>2565</v>
      </c>
      <c r="L344" s="15" t="str">
        <f t="shared" si="1"/>
        <v>ok</v>
      </c>
    </row>
    <row r="345" ht="60.0" customHeight="1">
      <c r="A345" s="13" t="s">
        <v>1994</v>
      </c>
      <c r="B345" s="13">
        <v>7.0</v>
      </c>
      <c r="C345" s="13" t="s">
        <v>2547</v>
      </c>
      <c r="D345" s="13" t="s">
        <v>1996</v>
      </c>
      <c r="E345" s="13" t="s">
        <v>1997</v>
      </c>
      <c r="F345" s="13" t="s">
        <v>97</v>
      </c>
      <c r="G345" s="4" t="s">
        <v>1994</v>
      </c>
      <c r="H345" s="4" t="s">
        <v>98</v>
      </c>
      <c r="I345" s="4" t="s">
        <v>97</v>
      </c>
      <c r="J345" s="4"/>
      <c r="K345" s="4" t="s">
        <v>2566</v>
      </c>
      <c r="L345" s="15" t="str">
        <f t="shared" si="1"/>
        <v>ok</v>
      </c>
    </row>
    <row r="346" ht="60.0" customHeight="1">
      <c r="A346" s="13" t="s">
        <v>1608</v>
      </c>
      <c r="B346" s="13">
        <v>7.0</v>
      </c>
      <c r="C346" s="13" t="s">
        <v>2469</v>
      </c>
      <c r="D346" s="13" t="s">
        <v>1610</v>
      </c>
      <c r="E346" s="13" t="s">
        <v>1611</v>
      </c>
      <c r="F346" s="13" t="s">
        <v>126</v>
      </c>
      <c r="G346" s="4" t="s">
        <v>1608</v>
      </c>
      <c r="H346" s="4" t="s">
        <v>906</v>
      </c>
      <c r="I346" s="4"/>
      <c r="J346" s="4" t="s">
        <v>1522</v>
      </c>
      <c r="K346" s="4" t="s">
        <v>2567</v>
      </c>
      <c r="L346" s="15" t="str">
        <f t="shared" si="1"/>
        <v>ok</v>
      </c>
    </row>
    <row r="347" ht="60.0" customHeight="1">
      <c r="A347" s="13" t="s">
        <v>1657</v>
      </c>
      <c r="B347" s="13">
        <v>7.0</v>
      </c>
      <c r="C347" s="13" t="s">
        <v>2547</v>
      </c>
      <c r="D347" s="13" t="s">
        <v>1659</v>
      </c>
      <c r="E347" s="13" t="s">
        <v>1660</v>
      </c>
      <c r="F347" s="13" t="s">
        <v>97</v>
      </c>
      <c r="G347" s="4" t="s">
        <v>1657</v>
      </c>
      <c r="H347" s="4" t="s">
        <v>906</v>
      </c>
      <c r="I347" s="4"/>
      <c r="J347" s="4" t="s">
        <v>1522</v>
      </c>
      <c r="K347" s="4" t="s">
        <v>2568</v>
      </c>
      <c r="L347" s="15" t="str">
        <f t="shared" si="1"/>
        <v>ok</v>
      </c>
    </row>
    <row r="348" ht="60.0" customHeight="1">
      <c r="A348" s="13" t="s">
        <v>1112</v>
      </c>
      <c r="B348" s="13">
        <v>7.0</v>
      </c>
      <c r="C348" s="13" t="s">
        <v>2547</v>
      </c>
      <c r="D348" s="13" t="s">
        <v>1114</v>
      </c>
      <c r="E348" s="13" t="s">
        <v>1115</v>
      </c>
      <c r="F348" s="13" t="s">
        <v>97</v>
      </c>
      <c r="G348" s="4" t="s">
        <v>1112</v>
      </c>
      <c r="H348" s="4" t="s">
        <v>906</v>
      </c>
      <c r="I348" s="4"/>
      <c r="J348" s="4" t="s">
        <v>1023</v>
      </c>
      <c r="K348" s="4" t="s">
        <v>2569</v>
      </c>
      <c r="L348" s="15" t="str">
        <f t="shared" si="1"/>
        <v>ok</v>
      </c>
    </row>
    <row r="349" ht="60.0" customHeight="1">
      <c r="A349" s="13" t="s">
        <v>1612</v>
      </c>
      <c r="B349" s="13">
        <v>7.0</v>
      </c>
      <c r="C349" s="13" t="s">
        <v>2469</v>
      </c>
      <c r="D349" s="13" t="s">
        <v>1614</v>
      </c>
      <c r="E349" s="13" t="s">
        <v>1615</v>
      </c>
      <c r="F349" s="13" t="s">
        <v>368</v>
      </c>
      <c r="G349" s="4" t="s">
        <v>1612</v>
      </c>
      <c r="H349" s="4" t="s">
        <v>906</v>
      </c>
      <c r="I349" s="4"/>
      <c r="J349" s="4" t="s">
        <v>1023</v>
      </c>
      <c r="K349" s="4" t="s">
        <v>2570</v>
      </c>
      <c r="L349" s="15" t="str">
        <f t="shared" si="1"/>
        <v>ok</v>
      </c>
    </row>
    <row r="350" ht="60.0" customHeight="1">
      <c r="A350" s="13" t="s">
        <v>737</v>
      </c>
      <c r="B350" s="13">
        <v>7.0</v>
      </c>
      <c r="C350" s="13" t="s">
        <v>2547</v>
      </c>
      <c r="D350" s="13" t="s">
        <v>738</v>
      </c>
      <c r="E350" s="13" t="s">
        <v>739</v>
      </c>
      <c r="F350" s="13" t="s">
        <v>97</v>
      </c>
      <c r="G350" s="4" t="s">
        <v>737</v>
      </c>
      <c r="H350" s="4" t="s">
        <v>694</v>
      </c>
      <c r="I350" s="4"/>
      <c r="J350" s="4"/>
      <c r="K350" s="4" t="s">
        <v>2571</v>
      </c>
      <c r="L350" s="15" t="str">
        <f t="shared" si="1"/>
        <v>ok</v>
      </c>
    </row>
    <row r="351" ht="60.0" customHeight="1">
      <c r="A351" s="13" t="s">
        <v>1117</v>
      </c>
      <c r="B351" s="13">
        <v>7.0</v>
      </c>
      <c r="C351" s="13" t="s">
        <v>2547</v>
      </c>
      <c r="D351" s="13" t="s">
        <v>1119</v>
      </c>
      <c r="E351" s="13" t="s">
        <v>1120</v>
      </c>
      <c r="F351" s="13" t="s">
        <v>368</v>
      </c>
      <c r="G351" s="4" t="s">
        <v>1117</v>
      </c>
      <c r="H351" s="4" t="s">
        <v>906</v>
      </c>
      <c r="I351" s="4"/>
      <c r="J351" s="4" t="s">
        <v>1023</v>
      </c>
      <c r="K351" s="4" t="s">
        <v>2572</v>
      </c>
      <c r="L351" s="15" t="str">
        <f t="shared" si="1"/>
        <v>ok</v>
      </c>
    </row>
    <row r="352" ht="60.0" customHeight="1">
      <c r="A352" s="13" t="s">
        <v>720</v>
      </c>
      <c r="B352" s="13">
        <v>7.0</v>
      </c>
      <c r="C352" s="13" t="s">
        <v>2469</v>
      </c>
      <c r="D352" s="13" t="s">
        <v>722</v>
      </c>
      <c r="E352" s="13" t="s">
        <v>723</v>
      </c>
      <c r="F352" s="13" t="s">
        <v>97</v>
      </c>
      <c r="G352" s="4" t="s">
        <v>720</v>
      </c>
      <c r="H352" s="4" t="s">
        <v>694</v>
      </c>
      <c r="I352" s="4"/>
      <c r="J352" s="4"/>
      <c r="K352" s="4" t="s">
        <v>2573</v>
      </c>
      <c r="L352" s="15" t="str">
        <f t="shared" si="1"/>
        <v>ok</v>
      </c>
    </row>
    <row r="353" ht="60.0" customHeight="1">
      <c r="A353" s="13" t="s">
        <v>1122</v>
      </c>
      <c r="B353" s="13">
        <v>7.0</v>
      </c>
      <c r="C353" s="13" t="s">
        <v>2547</v>
      </c>
      <c r="D353" s="13" t="s">
        <v>1123</v>
      </c>
      <c r="E353" s="13" t="s">
        <v>1124</v>
      </c>
      <c r="F353" s="13" t="s">
        <v>368</v>
      </c>
      <c r="G353" s="4" t="s">
        <v>1122</v>
      </c>
      <c r="H353" s="4" t="s">
        <v>906</v>
      </c>
      <c r="I353" s="4"/>
      <c r="J353" s="4" t="s">
        <v>1023</v>
      </c>
      <c r="K353" s="4" t="s">
        <v>2574</v>
      </c>
      <c r="L353" s="15" t="str">
        <f t="shared" si="1"/>
        <v>ok</v>
      </c>
    </row>
    <row r="354" ht="60.0" customHeight="1">
      <c r="A354" s="13" t="s">
        <v>249</v>
      </c>
      <c r="B354" s="13">
        <v>7.0</v>
      </c>
      <c r="C354" s="13" t="s">
        <v>2547</v>
      </c>
      <c r="D354" s="13" t="s">
        <v>251</v>
      </c>
      <c r="E354" s="13" t="s">
        <v>252</v>
      </c>
      <c r="F354" s="13" t="s">
        <v>97</v>
      </c>
      <c r="G354" s="4" t="s">
        <v>249</v>
      </c>
      <c r="H354" s="4" t="s">
        <v>98</v>
      </c>
      <c r="I354" s="4" t="s">
        <v>97</v>
      </c>
      <c r="J354" s="4"/>
      <c r="K354" s="4" t="s">
        <v>2575</v>
      </c>
      <c r="L354" s="15" t="str">
        <f t="shared" si="1"/>
        <v>ok</v>
      </c>
    </row>
    <row r="355" ht="60.0" customHeight="1">
      <c r="A355" s="13" t="s">
        <v>1661</v>
      </c>
      <c r="B355" s="13">
        <v>7.0</v>
      </c>
      <c r="C355" s="13" t="s">
        <v>2547</v>
      </c>
      <c r="D355" s="13" t="s">
        <v>1663</v>
      </c>
      <c r="E355" s="13" t="s">
        <v>1664</v>
      </c>
      <c r="F355" s="13" t="s">
        <v>126</v>
      </c>
      <c r="G355" s="4" t="s">
        <v>1661</v>
      </c>
      <c r="H355" s="4" t="s">
        <v>98</v>
      </c>
      <c r="I355" s="4" t="s">
        <v>126</v>
      </c>
      <c r="J355" s="4"/>
      <c r="K355" s="4" t="s">
        <v>2576</v>
      </c>
      <c r="L355" s="15" t="str">
        <f t="shared" si="1"/>
        <v>ok</v>
      </c>
    </row>
    <row r="356" ht="60.0" customHeight="1">
      <c r="A356" s="13" t="s">
        <v>1923</v>
      </c>
      <c r="B356" s="13">
        <v>7.0</v>
      </c>
      <c r="C356" s="13" t="s">
        <v>2481</v>
      </c>
      <c r="D356" s="13" t="s">
        <v>1925</v>
      </c>
      <c r="E356" s="13" t="s">
        <v>1926</v>
      </c>
      <c r="F356" s="13" t="s">
        <v>97</v>
      </c>
      <c r="G356" s="4" t="s">
        <v>1923</v>
      </c>
      <c r="H356" s="4" t="s">
        <v>694</v>
      </c>
      <c r="I356" s="4"/>
      <c r="J356" s="4"/>
      <c r="K356" s="4" t="s">
        <v>2577</v>
      </c>
      <c r="L356" s="15" t="str">
        <f t="shared" si="1"/>
        <v>ok</v>
      </c>
    </row>
    <row r="357" ht="60.0" customHeight="1">
      <c r="A357" s="13" t="s">
        <v>1126</v>
      </c>
      <c r="B357" s="13">
        <v>8.0</v>
      </c>
      <c r="C357" s="13" t="s">
        <v>2547</v>
      </c>
      <c r="D357" s="13" t="s">
        <v>1128</v>
      </c>
      <c r="E357" s="13" t="s">
        <v>1129</v>
      </c>
      <c r="F357" s="13" t="s">
        <v>368</v>
      </c>
      <c r="G357" s="4" t="s">
        <v>1126</v>
      </c>
      <c r="H357" s="4" t="s">
        <v>906</v>
      </c>
      <c r="I357" s="4"/>
      <c r="J357" s="4" t="s">
        <v>1023</v>
      </c>
      <c r="K357" s="4" t="s">
        <v>2578</v>
      </c>
      <c r="L357" s="15" t="str">
        <f t="shared" si="1"/>
        <v>ok</v>
      </c>
    </row>
    <row r="358" ht="60.0" customHeight="1">
      <c r="A358" s="13" t="s">
        <v>253</v>
      </c>
      <c r="B358" s="13">
        <v>8.0</v>
      </c>
      <c r="C358" s="13" t="s">
        <v>2547</v>
      </c>
      <c r="D358" s="13" t="s">
        <v>255</v>
      </c>
      <c r="E358" s="13" t="s">
        <v>256</v>
      </c>
      <c r="F358" s="13" t="s">
        <v>97</v>
      </c>
      <c r="G358" s="4" t="s">
        <v>253</v>
      </c>
      <c r="H358" s="4" t="s">
        <v>906</v>
      </c>
      <c r="I358" s="4"/>
      <c r="J358" s="4" t="s">
        <v>2144</v>
      </c>
      <c r="K358" s="4" t="s">
        <v>2579</v>
      </c>
      <c r="L358" s="15" t="str">
        <f t="shared" si="1"/>
        <v>ok</v>
      </c>
    </row>
    <row r="359" ht="60.0" customHeight="1">
      <c r="A359" s="13" t="s">
        <v>190</v>
      </c>
      <c r="B359" s="13">
        <v>8.0</v>
      </c>
      <c r="C359" s="13" t="s">
        <v>2469</v>
      </c>
      <c r="D359" s="13" t="s">
        <v>192</v>
      </c>
      <c r="E359" s="13" t="s">
        <v>193</v>
      </c>
      <c r="F359" s="13" t="s">
        <v>126</v>
      </c>
      <c r="G359" s="4" t="s">
        <v>190</v>
      </c>
      <c r="H359" s="4" t="s">
        <v>98</v>
      </c>
      <c r="I359" s="4" t="s">
        <v>97</v>
      </c>
      <c r="J359" s="4"/>
      <c r="K359" s="4" t="s">
        <v>2580</v>
      </c>
      <c r="L359" s="15" t="str">
        <f t="shared" si="1"/>
        <v>ok</v>
      </c>
    </row>
    <row r="360" ht="60.0" customHeight="1">
      <c r="A360" s="13" t="s">
        <v>2091</v>
      </c>
      <c r="B360" s="13">
        <v>8.0</v>
      </c>
      <c r="C360" s="13" t="s">
        <v>2547</v>
      </c>
      <c r="D360" s="13" t="s">
        <v>2093</v>
      </c>
      <c r="E360" s="13" t="s">
        <v>2094</v>
      </c>
      <c r="F360" s="13" t="s">
        <v>97</v>
      </c>
      <c r="G360" s="4" t="s">
        <v>2091</v>
      </c>
      <c r="H360" s="4" t="s">
        <v>906</v>
      </c>
      <c r="I360" s="4"/>
      <c r="J360" s="4" t="s">
        <v>1899</v>
      </c>
      <c r="K360" s="4" t="s">
        <v>2581</v>
      </c>
      <c r="L360" s="15" t="str">
        <f t="shared" si="1"/>
        <v>ok</v>
      </c>
    </row>
    <row r="361" ht="60.0" customHeight="1">
      <c r="A361" s="13" t="s">
        <v>1970</v>
      </c>
      <c r="B361" s="13">
        <v>8.0</v>
      </c>
      <c r="C361" s="13" t="s">
        <v>2469</v>
      </c>
      <c r="D361" s="13" t="s">
        <v>1972</v>
      </c>
      <c r="E361" s="13" t="s">
        <v>1973</v>
      </c>
      <c r="F361" s="13" t="s">
        <v>97</v>
      </c>
      <c r="G361" s="4" t="s">
        <v>1970</v>
      </c>
      <c r="H361" s="4" t="s">
        <v>98</v>
      </c>
      <c r="I361" s="4" t="s">
        <v>97</v>
      </c>
      <c r="J361" s="4"/>
      <c r="K361" s="4" t="s">
        <v>2582</v>
      </c>
      <c r="L361" s="15" t="str">
        <f t="shared" si="1"/>
        <v>ok</v>
      </c>
    </row>
    <row r="362" ht="60.0" customHeight="1">
      <c r="A362" s="13" t="s">
        <v>2140</v>
      </c>
      <c r="B362" s="13">
        <v>8.0</v>
      </c>
      <c r="C362" s="13" t="s">
        <v>2469</v>
      </c>
      <c r="D362" s="13" t="s">
        <v>2142</v>
      </c>
      <c r="E362" s="13" t="s">
        <v>2143</v>
      </c>
      <c r="F362" s="13" t="s">
        <v>368</v>
      </c>
      <c r="G362" s="4" t="s">
        <v>2140</v>
      </c>
      <c r="H362" s="4" t="s">
        <v>906</v>
      </c>
      <c r="I362" s="4"/>
      <c r="J362" s="4" t="s">
        <v>2144</v>
      </c>
      <c r="K362" s="4" t="s">
        <v>2583</v>
      </c>
      <c r="L362" s="15" t="str">
        <f t="shared" si="1"/>
        <v>ok</v>
      </c>
    </row>
    <row r="363" ht="60.0" customHeight="1">
      <c r="A363" s="13" t="s">
        <v>1130</v>
      </c>
      <c r="B363" s="13">
        <v>8.0</v>
      </c>
      <c r="C363" s="13" t="s">
        <v>2547</v>
      </c>
      <c r="D363" s="13" t="s">
        <v>1132</v>
      </c>
      <c r="E363" s="13" t="s">
        <v>1133</v>
      </c>
      <c r="F363" s="13" t="s">
        <v>368</v>
      </c>
      <c r="G363" s="4" t="s">
        <v>1130</v>
      </c>
      <c r="H363" s="4" t="s">
        <v>906</v>
      </c>
      <c r="I363" s="4"/>
      <c r="J363" s="4" t="s">
        <v>1522</v>
      </c>
      <c r="K363" s="4" t="s">
        <v>2584</v>
      </c>
      <c r="L363" s="15" t="str">
        <f t="shared" si="1"/>
        <v>ok</v>
      </c>
    </row>
    <row r="364" ht="60.0" customHeight="1">
      <c r="A364" s="13" t="s">
        <v>1975</v>
      </c>
      <c r="B364" s="13">
        <v>8.0</v>
      </c>
      <c r="C364" s="13" t="s">
        <v>2469</v>
      </c>
      <c r="D364" s="13" t="s">
        <v>1977</v>
      </c>
      <c r="E364" s="13" t="s">
        <v>1978</v>
      </c>
      <c r="F364" s="13" t="s">
        <v>97</v>
      </c>
      <c r="G364" s="4" t="s">
        <v>1975</v>
      </c>
      <c r="H364" s="4" t="s">
        <v>906</v>
      </c>
      <c r="I364" s="4"/>
      <c r="J364" s="4" t="s">
        <v>1522</v>
      </c>
      <c r="K364" s="4" t="s">
        <v>2585</v>
      </c>
      <c r="L364" s="15" t="str">
        <f t="shared" si="1"/>
        <v>ok</v>
      </c>
    </row>
    <row r="365" ht="60.0" customHeight="1">
      <c r="A365" s="13" t="s">
        <v>258</v>
      </c>
      <c r="B365" s="13">
        <v>8.0</v>
      </c>
      <c r="C365" s="13" t="s">
        <v>2547</v>
      </c>
      <c r="D365" s="13" t="s">
        <v>259</v>
      </c>
      <c r="E365" s="13" t="s">
        <v>260</v>
      </c>
      <c r="F365" s="13" t="s">
        <v>97</v>
      </c>
      <c r="G365" s="4" t="s">
        <v>258</v>
      </c>
      <c r="H365" s="4" t="s">
        <v>98</v>
      </c>
      <c r="I365" s="4" t="s">
        <v>97</v>
      </c>
      <c r="J365" s="4"/>
      <c r="K365" s="4" t="s">
        <v>2586</v>
      </c>
      <c r="L365" s="15" t="str">
        <f t="shared" si="1"/>
        <v>ok</v>
      </c>
    </row>
    <row r="366" ht="60.0" customHeight="1">
      <c r="A366" s="13" t="s">
        <v>1980</v>
      </c>
      <c r="B366" s="13">
        <v>8.0</v>
      </c>
      <c r="C366" s="13" t="s">
        <v>2469</v>
      </c>
      <c r="D366" s="13" t="s">
        <v>1982</v>
      </c>
      <c r="E366" s="13" t="s">
        <v>1983</v>
      </c>
      <c r="F366" s="13" t="s">
        <v>97</v>
      </c>
      <c r="G366" s="4" t="s">
        <v>1980</v>
      </c>
      <c r="H366" s="4" t="s">
        <v>98</v>
      </c>
      <c r="I366" s="4" t="s">
        <v>97</v>
      </c>
      <c r="J366" s="4"/>
      <c r="K366" s="4" t="s">
        <v>2587</v>
      </c>
      <c r="L366" s="15" t="str">
        <f t="shared" si="1"/>
        <v>ok</v>
      </c>
    </row>
    <row r="367" ht="60.0" customHeight="1">
      <c r="A367" s="13" t="s">
        <v>195</v>
      </c>
      <c r="B367" s="13">
        <v>8.0</v>
      </c>
      <c r="C367" s="13" t="s">
        <v>2469</v>
      </c>
      <c r="D367" s="13" t="s">
        <v>197</v>
      </c>
      <c r="E367" s="13" t="s">
        <v>198</v>
      </c>
      <c r="F367" s="13" t="s">
        <v>97</v>
      </c>
      <c r="G367" s="4" t="s">
        <v>195</v>
      </c>
      <c r="H367" s="4" t="s">
        <v>98</v>
      </c>
      <c r="I367" s="4" t="s">
        <v>97</v>
      </c>
      <c r="J367" s="4"/>
      <c r="K367" s="4" t="s">
        <v>2588</v>
      </c>
      <c r="L367" s="15" t="str">
        <f t="shared" si="1"/>
        <v>ok</v>
      </c>
    </row>
    <row r="368" ht="60.0" customHeight="1">
      <c r="A368" s="13" t="s">
        <v>261</v>
      </c>
      <c r="B368" s="13">
        <v>8.0</v>
      </c>
      <c r="C368" s="13" t="s">
        <v>2547</v>
      </c>
      <c r="D368" s="13" t="s">
        <v>263</v>
      </c>
      <c r="E368" s="13" t="s">
        <v>264</v>
      </c>
      <c r="F368" s="13" t="s">
        <v>97</v>
      </c>
      <c r="G368" s="4" t="s">
        <v>261</v>
      </c>
      <c r="H368" s="4" t="s">
        <v>98</v>
      </c>
      <c r="I368" s="4" t="s">
        <v>97</v>
      </c>
      <c r="J368" s="4"/>
      <c r="K368" s="4" t="s">
        <v>2589</v>
      </c>
      <c r="L368" s="15" t="str">
        <f t="shared" si="1"/>
        <v>ok</v>
      </c>
    </row>
    <row r="369" ht="60.0" customHeight="1">
      <c r="A369" s="13" t="s">
        <v>266</v>
      </c>
      <c r="B369" s="13">
        <v>8.0</v>
      </c>
      <c r="C369" s="13" t="s">
        <v>2547</v>
      </c>
      <c r="D369" s="13" t="s">
        <v>268</v>
      </c>
      <c r="E369" s="13" t="s">
        <v>269</v>
      </c>
      <c r="F369" s="13" t="s">
        <v>97</v>
      </c>
      <c r="G369" s="4" t="s">
        <v>266</v>
      </c>
      <c r="H369" s="4" t="s">
        <v>98</v>
      </c>
      <c r="I369" s="4" t="s">
        <v>126</v>
      </c>
      <c r="J369" s="4"/>
      <c r="K369" s="4" t="s">
        <v>2590</v>
      </c>
      <c r="L369" s="15" t="str">
        <f t="shared" si="1"/>
        <v>ok</v>
      </c>
    </row>
    <row r="370" ht="60.0" customHeight="1">
      <c r="A370" s="13" t="s">
        <v>1074</v>
      </c>
      <c r="B370" s="13">
        <v>8.0</v>
      </c>
      <c r="C370" s="13" t="s">
        <v>2469</v>
      </c>
      <c r="D370" s="13" t="s">
        <v>1076</v>
      </c>
      <c r="E370" s="13" t="s">
        <v>1077</v>
      </c>
      <c r="F370" s="13" t="s">
        <v>368</v>
      </c>
      <c r="G370" s="4" t="s">
        <v>1074</v>
      </c>
      <c r="H370" s="4" t="s">
        <v>906</v>
      </c>
      <c r="I370" s="4"/>
      <c r="J370" s="4" t="s">
        <v>1023</v>
      </c>
      <c r="K370" s="4" t="s">
        <v>2591</v>
      </c>
      <c r="L370" s="15" t="str">
        <f t="shared" si="1"/>
        <v>ok</v>
      </c>
    </row>
    <row r="371" ht="60.0" customHeight="1">
      <c r="A371" s="13" t="s">
        <v>725</v>
      </c>
      <c r="B371" s="13">
        <v>8.0</v>
      </c>
      <c r="C371" s="13" t="s">
        <v>2469</v>
      </c>
      <c r="D371" s="13" t="s">
        <v>727</v>
      </c>
      <c r="E371" s="13" t="s">
        <v>728</v>
      </c>
      <c r="F371" s="13" t="s">
        <v>97</v>
      </c>
      <c r="G371" s="4" t="s">
        <v>725</v>
      </c>
      <c r="H371" s="4" t="s">
        <v>694</v>
      </c>
      <c r="I371" s="4"/>
      <c r="J371" s="4"/>
      <c r="K371" s="4" t="s">
        <v>2592</v>
      </c>
      <c r="L371" s="15" t="str">
        <f t="shared" si="1"/>
        <v>ok</v>
      </c>
    </row>
    <row r="372" ht="60.0" customHeight="1">
      <c r="A372" s="13" t="s">
        <v>1665</v>
      </c>
      <c r="B372" s="13">
        <v>8.0</v>
      </c>
      <c r="C372" s="13" t="s">
        <v>2547</v>
      </c>
      <c r="D372" s="13" t="s">
        <v>1667</v>
      </c>
      <c r="E372" s="13" t="s">
        <v>1668</v>
      </c>
      <c r="F372" s="13" t="s">
        <v>368</v>
      </c>
      <c r="G372" s="4" t="s">
        <v>1665</v>
      </c>
      <c r="H372" s="4" t="s">
        <v>906</v>
      </c>
      <c r="I372" s="4"/>
      <c r="J372" s="4" t="s">
        <v>1522</v>
      </c>
      <c r="K372" s="4" t="s">
        <v>2593</v>
      </c>
      <c r="L372" s="15" t="str">
        <f t="shared" si="1"/>
        <v>ok</v>
      </c>
    </row>
    <row r="373" ht="60.0" customHeight="1">
      <c r="A373" s="13" t="s">
        <v>200</v>
      </c>
      <c r="B373" s="13">
        <v>8.0</v>
      </c>
      <c r="C373" s="13" t="s">
        <v>2469</v>
      </c>
      <c r="D373" s="13" t="s">
        <v>202</v>
      </c>
      <c r="E373" s="13" t="s">
        <v>203</v>
      </c>
      <c r="F373" s="13" t="s">
        <v>97</v>
      </c>
      <c r="G373" s="4" t="s">
        <v>200</v>
      </c>
      <c r="H373" s="4" t="s">
        <v>98</v>
      </c>
      <c r="I373" s="4" t="s">
        <v>97</v>
      </c>
      <c r="J373" s="4"/>
      <c r="K373" s="4" t="s">
        <v>2594</v>
      </c>
      <c r="L373" s="15" t="str">
        <f t="shared" si="1"/>
        <v>ok</v>
      </c>
    </row>
    <row r="374" ht="60.0" customHeight="1">
      <c r="A374" s="13" t="s">
        <v>909</v>
      </c>
      <c r="B374" s="13">
        <v>8.0</v>
      </c>
      <c r="C374" s="13" t="s">
        <v>2469</v>
      </c>
      <c r="D374" s="13" t="s">
        <v>911</v>
      </c>
      <c r="E374" s="13" t="s">
        <v>912</v>
      </c>
      <c r="F374" s="13" t="s">
        <v>97</v>
      </c>
      <c r="G374" s="4" t="s">
        <v>909</v>
      </c>
      <c r="H374" s="4" t="s">
        <v>906</v>
      </c>
      <c r="I374" s="4"/>
      <c r="J374" s="4" t="s">
        <v>907</v>
      </c>
      <c r="K374" s="4" t="s">
        <v>2595</v>
      </c>
      <c r="L374" s="15" t="str">
        <f t="shared" si="1"/>
        <v>ok</v>
      </c>
    </row>
    <row r="375" ht="60.0" customHeight="1">
      <c r="A375" s="13" t="s">
        <v>1617</v>
      </c>
      <c r="B375" s="13">
        <v>8.0</v>
      </c>
      <c r="C375" s="13" t="s">
        <v>2469</v>
      </c>
      <c r="D375" s="13" t="s">
        <v>1619</v>
      </c>
      <c r="E375" s="13" t="s">
        <v>1620</v>
      </c>
      <c r="F375" s="13" t="s">
        <v>368</v>
      </c>
      <c r="G375" s="4" t="s">
        <v>1617</v>
      </c>
      <c r="H375" s="4" t="s">
        <v>906</v>
      </c>
      <c r="I375" s="4"/>
      <c r="J375" s="4" t="s">
        <v>1522</v>
      </c>
      <c r="K375" s="4" t="s">
        <v>2596</v>
      </c>
      <c r="L375" s="15" t="str">
        <f t="shared" si="1"/>
        <v>ok</v>
      </c>
    </row>
    <row r="376" ht="60.0" customHeight="1">
      <c r="A376" s="13" t="s">
        <v>1621</v>
      </c>
      <c r="B376" s="13">
        <v>8.0</v>
      </c>
      <c r="C376" s="13" t="s">
        <v>2469</v>
      </c>
      <c r="D376" s="13" t="s">
        <v>1623</v>
      </c>
      <c r="E376" s="13" t="s">
        <v>1624</v>
      </c>
      <c r="F376" s="13" t="s">
        <v>368</v>
      </c>
      <c r="G376" s="4" t="s">
        <v>1621</v>
      </c>
      <c r="H376" s="4" t="s">
        <v>906</v>
      </c>
      <c r="I376" s="4"/>
      <c r="J376" s="4" t="s">
        <v>1522</v>
      </c>
      <c r="K376" s="4" t="s">
        <v>2597</v>
      </c>
      <c r="L376" s="15" t="str">
        <f t="shared" si="1"/>
        <v>ok</v>
      </c>
    </row>
    <row r="377" ht="60.0" customHeight="1">
      <c r="A377" s="13" t="s">
        <v>1625</v>
      </c>
      <c r="B377" s="13">
        <v>8.0</v>
      </c>
      <c r="C377" s="13" t="s">
        <v>2469</v>
      </c>
      <c r="D377" s="13" t="s">
        <v>1626</v>
      </c>
      <c r="E377" s="13" t="s">
        <v>1627</v>
      </c>
      <c r="F377" s="13" t="s">
        <v>368</v>
      </c>
      <c r="G377" s="4" t="s">
        <v>1625</v>
      </c>
      <c r="H377" s="4" t="s">
        <v>906</v>
      </c>
      <c r="I377" s="4"/>
      <c r="J377" s="4" t="s">
        <v>1522</v>
      </c>
      <c r="K377" s="4" t="s">
        <v>2598</v>
      </c>
      <c r="L377" s="15" t="str">
        <f t="shared" si="1"/>
        <v>ok</v>
      </c>
    </row>
    <row r="378" ht="60.0" customHeight="1">
      <c r="A378" s="13" t="s">
        <v>205</v>
      </c>
      <c r="B378" s="13">
        <v>8.0</v>
      </c>
      <c r="C378" s="13" t="s">
        <v>2469</v>
      </c>
      <c r="D378" s="13" t="s">
        <v>207</v>
      </c>
      <c r="E378" s="13" t="s">
        <v>208</v>
      </c>
      <c r="F378" s="13" t="s">
        <v>97</v>
      </c>
      <c r="G378" s="4" t="s">
        <v>205</v>
      </c>
      <c r="H378" s="4" t="s">
        <v>98</v>
      </c>
      <c r="I378" s="4" t="s">
        <v>97</v>
      </c>
      <c r="J378" s="4"/>
      <c r="K378" s="4" t="s">
        <v>2599</v>
      </c>
      <c r="L378" s="15" t="str">
        <f t="shared" si="1"/>
        <v>ok</v>
      </c>
    </row>
    <row r="379" ht="60.0" customHeight="1">
      <c r="A379" s="13" t="s">
        <v>1910</v>
      </c>
      <c r="B379" s="13">
        <v>8.0</v>
      </c>
      <c r="C379" s="13" t="s">
        <v>2469</v>
      </c>
      <c r="D379" s="13" t="s">
        <v>1912</v>
      </c>
      <c r="E379" s="13" t="s">
        <v>1913</v>
      </c>
      <c r="F379" s="13" t="s">
        <v>97</v>
      </c>
      <c r="G379" s="4" t="s">
        <v>1910</v>
      </c>
      <c r="H379" s="4" t="s">
        <v>906</v>
      </c>
      <c r="I379" s="4"/>
      <c r="J379" s="4" t="s">
        <v>907</v>
      </c>
      <c r="K379" s="4" t="s">
        <v>2600</v>
      </c>
      <c r="L379" s="15" t="str">
        <f t="shared" si="1"/>
        <v>ok</v>
      </c>
    </row>
    <row r="380" ht="60.0" customHeight="1">
      <c r="A380" s="13" t="s">
        <v>1984</v>
      </c>
      <c r="B380" s="13">
        <v>8.0</v>
      </c>
      <c r="C380" s="13" t="s">
        <v>2469</v>
      </c>
      <c r="D380" s="13" t="s">
        <v>1986</v>
      </c>
      <c r="E380" s="13" t="s">
        <v>1987</v>
      </c>
      <c r="F380" s="13" t="s">
        <v>97</v>
      </c>
      <c r="G380" s="4" t="s">
        <v>1984</v>
      </c>
      <c r="H380" s="4" t="s">
        <v>98</v>
      </c>
      <c r="I380" s="4" t="s">
        <v>97</v>
      </c>
      <c r="J380" s="4"/>
      <c r="K380" s="4" t="s">
        <v>2601</v>
      </c>
      <c r="L380" s="15" t="str">
        <f t="shared" si="1"/>
        <v>ok</v>
      </c>
    </row>
    <row r="381" ht="60.0" customHeight="1">
      <c r="A381" s="13" t="s">
        <v>1078</v>
      </c>
      <c r="B381" s="13">
        <v>8.0</v>
      </c>
      <c r="C381" s="13" t="s">
        <v>2469</v>
      </c>
      <c r="D381" s="13" t="s">
        <v>1080</v>
      </c>
      <c r="E381" s="13" t="s">
        <v>1081</v>
      </c>
      <c r="F381" s="13" t="s">
        <v>368</v>
      </c>
      <c r="G381" s="4" t="s">
        <v>1078</v>
      </c>
      <c r="H381" s="4" t="s">
        <v>906</v>
      </c>
      <c r="I381" s="4"/>
      <c r="J381" s="4" t="s">
        <v>1023</v>
      </c>
      <c r="K381" s="4" t="s">
        <v>2602</v>
      </c>
      <c r="L381" s="15" t="str">
        <f t="shared" si="1"/>
        <v>ok</v>
      </c>
    </row>
    <row r="382" ht="60.0" customHeight="1">
      <c r="A382" s="13" t="s">
        <v>1628</v>
      </c>
      <c r="B382" s="13">
        <v>8.0</v>
      </c>
      <c r="C382" s="13" t="s">
        <v>2469</v>
      </c>
      <c r="D382" s="13" t="s">
        <v>1630</v>
      </c>
      <c r="E382" s="13" t="s">
        <v>1631</v>
      </c>
      <c r="F382" s="13" t="s">
        <v>368</v>
      </c>
      <c r="G382" s="4" t="s">
        <v>1628</v>
      </c>
      <c r="H382" s="4" t="s">
        <v>906</v>
      </c>
      <c r="I382" s="4"/>
      <c r="J382" s="4" t="s">
        <v>1522</v>
      </c>
      <c r="K382" s="4" t="s">
        <v>2603</v>
      </c>
      <c r="L382" s="15" t="str">
        <f t="shared" si="1"/>
        <v>ok</v>
      </c>
    </row>
    <row r="383" ht="60.0" customHeight="1">
      <c r="A383" s="13" t="s">
        <v>1083</v>
      </c>
      <c r="B383" s="13">
        <v>8.0</v>
      </c>
      <c r="C383" s="13" t="s">
        <v>2469</v>
      </c>
      <c r="D383" s="13" t="s">
        <v>1085</v>
      </c>
      <c r="E383" s="13" t="s">
        <v>1086</v>
      </c>
      <c r="F383" s="13" t="s">
        <v>368</v>
      </c>
      <c r="G383" s="4" t="s">
        <v>1083</v>
      </c>
      <c r="H383" s="4" t="s">
        <v>906</v>
      </c>
      <c r="I383" s="4"/>
      <c r="J383" s="4" t="s">
        <v>1023</v>
      </c>
      <c r="K383" s="4" t="s">
        <v>2604</v>
      </c>
      <c r="L383" s="15" t="str">
        <f t="shared" si="1"/>
        <v>ok</v>
      </c>
    </row>
    <row r="384" ht="60.0" customHeight="1">
      <c r="A384" s="13" t="s">
        <v>732</v>
      </c>
      <c r="B384" s="13">
        <v>8.0</v>
      </c>
      <c r="C384" s="13" t="s">
        <v>2469</v>
      </c>
      <c r="D384" s="13" t="s">
        <v>734</v>
      </c>
      <c r="E384" s="13" t="s">
        <v>735</v>
      </c>
      <c r="F384" s="13" t="s">
        <v>97</v>
      </c>
      <c r="G384" s="4" t="s">
        <v>732</v>
      </c>
      <c r="H384" s="4" t="s">
        <v>694</v>
      </c>
      <c r="I384" s="4"/>
      <c r="J384" s="4"/>
      <c r="K384" s="4" t="s">
        <v>2605</v>
      </c>
      <c r="L384" s="15" t="str">
        <f t="shared" si="1"/>
        <v>ok</v>
      </c>
    </row>
    <row r="385" ht="60.0" customHeight="1">
      <c r="A385" s="13" t="s">
        <v>209</v>
      </c>
      <c r="B385" s="13">
        <v>8.0</v>
      </c>
      <c r="C385" s="13" t="s">
        <v>2469</v>
      </c>
      <c r="D385" s="13" t="s">
        <v>211</v>
      </c>
      <c r="E385" s="13" t="s">
        <v>212</v>
      </c>
      <c r="F385" s="13" t="s">
        <v>97</v>
      </c>
      <c r="G385" s="4" t="s">
        <v>209</v>
      </c>
      <c r="H385" s="4" t="s">
        <v>98</v>
      </c>
      <c r="I385" s="4" t="s">
        <v>97</v>
      </c>
      <c r="J385" s="4"/>
      <c r="K385" s="4" t="s">
        <v>2606</v>
      </c>
      <c r="L385" s="15" t="str">
        <f t="shared" si="1"/>
        <v>ok</v>
      </c>
    </row>
    <row r="386" ht="60.0" customHeight="1">
      <c r="A386" s="13" t="s">
        <v>1561</v>
      </c>
      <c r="B386" s="13">
        <v>8.0</v>
      </c>
      <c r="C386" s="13" t="s">
        <v>2505</v>
      </c>
      <c r="D386" s="13" t="s">
        <v>1563</v>
      </c>
      <c r="E386" s="13" t="s">
        <v>1564</v>
      </c>
      <c r="F386" s="13" t="s">
        <v>368</v>
      </c>
      <c r="G386" s="4" t="s">
        <v>1561</v>
      </c>
      <c r="H386" s="4" t="s">
        <v>906</v>
      </c>
      <c r="I386" s="4"/>
      <c r="J386" s="4" t="s">
        <v>1522</v>
      </c>
      <c r="K386" s="4" t="s">
        <v>2607</v>
      </c>
      <c r="L386" s="15" t="str">
        <f t="shared" si="1"/>
        <v>ok</v>
      </c>
    </row>
    <row r="387" ht="60.0" customHeight="1">
      <c r="A387" s="13" t="s">
        <v>1632</v>
      </c>
      <c r="B387" s="13">
        <v>8.0</v>
      </c>
      <c r="C387" s="13" t="s">
        <v>2469</v>
      </c>
      <c r="D387" s="13" t="s">
        <v>1634</v>
      </c>
      <c r="E387" s="13" t="s">
        <v>1635</v>
      </c>
      <c r="F387" s="13" t="s">
        <v>368</v>
      </c>
      <c r="G387" s="4" t="s">
        <v>1632</v>
      </c>
      <c r="H387" s="4" t="s">
        <v>906</v>
      </c>
      <c r="I387" s="4"/>
      <c r="J387" s="4" t="s">
        <v>1522</v>
      </c>
      <c r="K387" s="4" t="s">
        <v>2608</v>
      </c>
      <c r="L387" s="15" t="str">
        <f t="shared" si="1"/>
        <v>ok</v>
      </c>
    </row>
    <row r="388" ht="60.0" customHeight="1">
      <c r="A388" s="13" t="s">
        <v>1034</v>
      </c>
      <c r="B388" s="13">
        <v>8.0</v>
      </c>
      <c r="C388" s="13" t="s">
        <v>2505</v>
      </c>
      <c r="D388" s="13" t="s">
        <v>1036</v>
      </c>
      <c r="E388" s="13" t="s">
        <v>1037</v>
      </c>
      <c r="F388" s="13" t="s">
        <v>368</v>
      </c>
      <c r="G388" s="4" t="s">
        <v>1034</v>
      </c>
      <c r="H388" s="4" t="s">
        <v>906</v>
      </c>
      <c r="I388" s="4"/>
      <c r="J388" s="4" t="s">
        <v>1023</v>
      </c>
      <c r="K388" s="4" t="s">
        <v>2609</v>
      </c>
      <c r="L388" s="15" t="str">
        <f t="shared" si="1"/>
        <v>ok</v>
      </c>
    </row>
    <row r="389" ht="60.0" customHeight="1">
      <c r="A389" s="13" t="s">
        <v>1087</v>
      </c>
      <c r="B389" s="13">
        <v>8.0</v>
      </c>
      <c r="C389" s="13" t="s">
        <v>2469</v>
      </c>
      <c r="D389" s="13" t="s">
        <v>1089</v>
      </c>
      <c r="E389" s="13" t="s">
        <v>1090</v>
      </c>
      <c r="F389" s="13" t="s">
        <v>368</v>
      </c>
      <c r="G389" s="4" t="s">
        <v>1087</v>
      </c>
      <c r="H389" s="4" t="s">
        <v>906</v>
      </c>
      <c r="I389" s="4"/>
      <c r="J389" s="4" t="s">
        <v>1023</v>
      </c>
      <c r="K389" s="4" t="s">
        <v>2610</v>
      </c>
      <c r="L389" s="15" t="str">
        <f t="shared" si="1"/>
        <v>ok</v>
      </c>
    </row>
    <row r="390" ht="60.0" customHeight="1">
      <c r="A390" s="13" t="s">
        <v>1636</v>
      </c>
      <c r="B390" s="13">
        <v>8.0</v>
      </c>
      <c r="C390" s="13" t="s">
        <v>2469</v>
      </c>
      <c r="D390" s="13" t="s">
        <v>1638</v>
      </c>
      <c r="E390" s="13" t="s">
        <v>1639</v>
      </c>
      <c r="F390" s="13" t="s">
        <v>126</v>
      </c>
      <c r="G390" s="4" t="s">
        <v>1636</v>
      </c>
      <c r="H390" s="4" t="s">
        <v>906</v>
      </c>
      <c r="I390" s="4"/>
      <c r="J390" s="4" t="s">
        <v>1522</v>
      </c>
      <c r="K390" s="4" t="s">
        <v>2611</v>
      </c>
      <c r="L390" s="15" t="str">
        <f t="shared" si="1"/>
        <v>ok</v>
      </c>
    </row>
    <row r="391" ht="60.0" customHeight="1">
      <c r="A391" s="13" t="s">
        <v>1092</v>
      </c>
      <c r="B391" s="13">
        <v>8.0</v>
      </c>
      <c r="C391" s="13" t="s">
        <v>2469</v>
      </c>
      <c r="D391" s="13" t="s">
        <v>1094</v>
      </c>
      <c r="E391" s="13" t="s">
        <v>1095</v>
      </c>
      <c r="F391" s="13" t="s">
        <v>368</v>
      </c>
      <c r="G391" s="4" t="s">
        <v>1092</v>
      </c>
      <c r="H391" s="4" t="s">
        <v>906</v>
      </c>
      <c r="I391" s="4"/>
      <c r="J391" s="4" t="s">
        <v>1953</v>
      </c>
      <c r="K391" s="4" t="s">
        <v>2612</v>
      </c>
      <c r="L391" s="15" t="str">
        <f t="shared" si="1"/>
        <v>ok</v>
      </c>
    </row>
    <row r="392" ht="60.0" customHeight="1">
      <c r="A392" s="13" t="s">
        <v>150</v>
      </c>
      <c r="B392" s="13">
        <v>8.0</v>
      </c>
      <c r="C392" s="13" t="s">
        <v>2505</v>
      </c>
      <c r="D392" s="13" t="s">
        <v>152</v>
      </c>
      <c r="E392" s="13" t="s">
        <v>153</v>
      </c>
      <c r="F392" s="13" t="s">
        <v>126</v>
      </c>
      <c r="G392" s="4" t="s">
        <v>150</v>
      </c>
      <c r="H392" s="4" t="s">
        <v>694</v>
      </c>
      <c r="I392" s="4"/>
      <c r="J392" s="4"/>
      <c r="K392" s="4" t="s">
        <v>2613</v>
      </c>
      <c r="L392" s="15" t="str">
        <f t="shared" si="1"/>
        <v>ok</v>
      </c>
    </row>
    <row r="393" ht="60.0" customHeight="1">
      <c r="A393" s="13" t="s">
        <v>155</v>
      </c>
      <c r="B393" s="13">
        <v>8.0</v>
      </c>
      <c r="C393" s="13" t="s">
        <v>2505</v>
      </c>
      <c r="D393" s="13" t="s">
        <v>156</v>
      </c>
      <c r="E393" s="13" t="s">
        <v>157</v>
      </c>
      <c r="F393" s="13" t="s">
        <v>97</v>
      </c>
      <c r="G393" s="4" t="s">
        <v>155</v>
      </c>
      <c r="H393" s="4" t="s">
        <v>98</v>
      </c>
      <c r="I393" s="4" t="s">
        <v>97</v>
      </c>
      <c r="J393" s="4"/>
      <c r="K393" s="4" t="s">
        <v>2614</v>
      </c>
      <c r="L393" s="15" t="str">
        <f t="shared" si="1"/>
        <v>ok</v>
      </c>
    </row>
    <row r="394" ht="60.0" customHeight="1">
      <c r="A394" s="13" t="s">
        <v>1097</v>
      </c>
      <c r="B394" s="13">
        <v>8.0</v>
      </c>
      <c r="C394" s="13" t="s">
        <v>2469</v>
      </c>
      <c r="D394" s="13" t="s">
        <v>1099</v>
      </c>
      <c r="E394" s="13" t="s">
        <v>1100</v>
      </c>
      <c r="F394" s="13" t="s">
        <v>368</v>
      </c>
      <c r="G394" s="4" t="s">
        <v>1097</v>
      </c>
      <c r="H394" s="4" t="s">
        <v>906</v>
      </c>
      <c r="I394" s="4"/>
      <c r="J394" s="4" t="s">
        <v>1023</v>
      </c>
      <c r="K394" s="4" t="s">
        <v>2615</v>
      </c>
      <c r="L394" s="15" t="str">
        <f t="shared" si="1"/>
        <v>ok</v>
      </c>
    </row>
    <row r="395" ht="60.0" customHeight="1">
      <c r="A395" s="13" t="s">
        <v>1038</v>
      </c>
      <c r="B395" s="13">
        <v>8.0</v>
      </c>
      <c r="C395" s="13" t="s">
        <v>2505</v>
      </c>
      <c r="D395" s="13" t="s">
        <v>1040</v>
      </c>
      <c r="E395" s="13" t="s">
        <v>1041</v>
      </c>
      <c r="F395" s="13" t="s">
        <v>368</v>
      </c>
      <c r="G395" s="4" t="s">
        <v>1038</v>
      </c>
      <c r="H395" s="4" t="s">
        <v>906</v>
      </c>
      <c r="I395" s="4"/>
      <c r="J395" s="4" t="s">
        <v>1023</v>
      </c>
      <c r="K395" s="4" t="s">
        <v>2616</v>
      </c>
      <c r="L395" s="15" t="str">
        <f t="shared" si="1"/>
        <v>ok</v>
      </c>
    </row>
    <row r="396" ht="60.0" customHeight="1">
      <c r="A396" s="13" t="s">
        <v>159</v>
      </c>
      <c r="B396" s="13">
        <v>8.0</v>
      </c>
      <c r="C396" s="13" t="s">
        <v>2505</v>
      </c>
      <c r="D396" s="13" t="s">
        <v>161</v>
      </c>
      <c r="E396" s="13" t="s">
        <v>162</v>
      </c>
      <c r="F396" s="13" t="s">
        <v>97</v>
      </c>
      <c r="G396" s="4" t="s">
        <v>159</v>
      </c>
      <c r="H396" s="4" t="s">
        <v>98</v>
      </c>
      <c r="I396" s="4" t="s">
        <v>126</v>
      </c>
      <c r="J396" s="4"/>
      <c r="K396" s="4" t="s">
        <v>2617</v>
      </c>
      <c r="L396" s="15" t="str">
        <f t="shared" si="1"/>
        <v>ok</v>
      </c>
    </row>
    <row r="397" ht="60.0" customHeight="1">
      <c r="A397" s="13" t="s">
        <v>1566</v>
      </c>
      <c r="B397" s="13">
        <v>8.0</v>
      </c>
      <c r="C397" s="13" t="s">
        <v>2505</v>
      </c>
      <c r="D397" s="13" t="s">
        <v>1568</v>
      </c>
      <c r="E397" s="13" t="s">
        <v>1569</v>
      </c>
      <c r="F397" s="13" t="s">
        <v>368</v>
      </c>
      <c r="G397" s="4" t="s">
        <v>1566</v>
      </c>
      <c r="H397" s="4" t="s">
        <v>906</v>
      </c>
      <c r="I397" s="4"/>
      <c r="J397" s="4" t="s">
        <v>1522</v>
      </c>
      <c r="K397" s="4" t="s">
        <v>2618</v>
      </c>
      <c r="L397" s="15" t="str">
        <f t="shared" si="1"/>
        <v>ok</v>
      </c>
    </row>
    <row r="398" ht="60.0" customHeight="1">
      <c r="A398" s="13" t="s">
        <v>1043</v>
      </c>
      <c r="B398" s="13">
        <v>8.0</v>
      </c>
      <c r="C398" s="13" t="s">
        <v>2505</v>
      </c>
      <c r="D398" s="13" t="s">
        <v>1045</v>
      </c>
      <c r="E398" s="13" t="s">
        <v>1046</v>
      </c>
      <c r="F398" s="13" t="s">
        <v>368</v>
      </c>
      <c r="G398" s="4" t="s">
        <v>1043</v>
      </c>
      <c r="H398" s="4" t="s">
        <v>906</v>
      </c>
      <c r="I398" s="4"/>
      <c r="J398" s="4" t="s">
        <v>1023</v>
      </c>
      <c r="K398" s="4" t="s">
        <v>2619</v>
      </c>
      <c r="L398" s="15" t="str">
        <f t="shared" si="1"/>
        <v>ok</v>
      </c>
    </row>
    <row r="399" ht="60.0" customHeight="1">
      <c r="A399" s="13" t="s">
        <v>696</v>
      </c>
      <c r="B399" s="13">
        <v>8.0</v>
      </c>
      <c r="C399" s="13" t="s">
        <v>2505</v>
      </c>
      <c r="D399" s="13" t="s">
        <v>697</v>
      </c>
      <c r="E399" s="13" t="s">
        <v>698</v>
      </c>
      <c r="F399" s="13" t="s">
        <v>97</v>
      </c>
      <c r="G399" s="4" t="s">
        <v>696</v>
      </c>
      <c r="H399" s="4" t="s">
        <v>694</v>
      </c>
      <c r="I399" s="4"/>
      <c r="J399" s="4"/>
      <c r="K399" s="4" t="s">
        <v>2620</v>
      </c>
      <c r="L399" s="15" t="str">
        <f t="shared" si="1"/>
        <v>ok</v>
      </c>
    </row>
    <row r="400" ht="60.0" customHeight="1">
      <c r="A400" s="13" t="s">
        <v>164</v>
      </c>
      <c r="B400" s="13">
        <v>8.0</v>
      </c>
      <c r="C400" s="13" t="s">
        <v>2505</v>
      </c>
      <c r="D400" s="13" t="s">
        <v>166</v>
      </c>
      <c r="E400" s="13" t="s">
        <v>167</v>
      </c>
      <c r="F400" s="13" t="s">
        <v>97</v>
      </c>
      <c r="G400" s="4" t="s">
        <v>164</v>
      </c>
      <c r="H400" s="4" t="s">
        <v>98</v>
      </c>
      <c r="I400" s="4" t="s">
        <v>97</v>
      </c>
      <c r="J400" s="4"/>
      <c r="K400" s="4" t="s">
        <v>2621</v>
      </c>
      <c r="L400" s="15" t="str">
        <f t="shared" si="1"/>
        <v>ok</v>
      </c>
    </row>
    <row r="401" ht="60.0" customHeight="1">
      <c r="A401" s="13" t="s">
        <v>214</v>
      </c>
      <c r="B401" s="13">
        <v>8.0</v>
      </c>
      <c r="C401" s="13" t="s">
        <v>2469</v>
      </c>
      <c r="D401" s="13" t="s">
        <v>216</v>
      </c>
      <c r="E401" s="13" t="s">
        <v>217</v>
      </c>
      <c r="F401" s="13" t="s">
        <v>97</v>
      </c>
      <c r="G401" s="4" t="s">
        <v>214</v>
      </c>
      <c r="H401" s="4" t="s">
        <v>694</v>
      </c>
      <c r="I401" s="4"/>
      <c r="J401" s="4"/>
      <c r="K401" s="4" t="s">
        <v>2622</v>
      </c>
      <c r="L401" s="15" t="str">
        <f t="shared" si="1"/>
        <v>ok</v>
      </c>
    </row>
    <row r="402" ht="60.0" customHeight="1">
      <c r="A402" s="13" t="s">
        <v>1048</v>
      </c>
      <c r="B402" s="13">
        <v>8.0</v>
      </c>
      <c r="C402" s="13" t="s">
        <v>2505</v>
      </c>
      <c r="D402" s="13" t="s">
        <v>1050</v>
      </c>
      <c r="E402" s="13" t="s">
        <v>1051</v>
      </c>
      <c r="F402" s="13" t="s">
        <v>126</v>
      </c>
      <c r="G402" s="4" t="s">
        <v>1048</v>
      </c>
      <c r="H402" s="4" t="s">
        <v>906</v>
      </c>
      <c r="I402" s="4"/>
      <c r="J402" s="4" t="s">
        <v>1023</v>
      </c>
      <c r="K402" s="4" t="s">
        <v>2623</v>
      </c>
      <c r="L402" s="15" t="str">
        <f t="shared" si="1"/>
        <v>ok</v>
      </c>
    </row>
    <row r="403" ht="60.0" customHeight="1">
      <c r="A403" s="13" t="s">
        <v>1571</v>
      </c>
      <c r="B403" s="13">
        <v>8.0</v>
      </c>
      <c r="C403" s="13" t="s">
        <v>2505</v>
      </c>
      <c r="D403" s="13" t="s">
        <v>1573</v>
      </c>
      <c r="E403" s="13" t="s">
        <v>1574</v>
      </c>
      <c r="F403" s="13" t="s">
        <v>368</v>
      </c>
      <c r="G403" s="4" t="s">
        <v>1571</v>
      </c>
      <c r="H403" s="4" t="s">
        <v>906</v>
      </c>
      <c r="I403" s="4"/>
      <c r="J403" s="4" t="s">
        <v>1522</v>
      </c>
      <c r="K403" s="4" t="s">
        <v>2624</v>
      </c>
      <c r="L403" s="15" t="str">
        <f t="shared" si="1"/>
        <v>ok</v>
      </c>
    </row>
    <row r="404" ht="60.0" customHeight="1">
      <c r="A404" s="13" t="s">
        <v>1576</v>
      </c>
      <c r="B404" s="13">
        <v>8.0</v>
      </c>
      <c r="C404" s="13" t="s">
        <v>2505</v>
      </c>
      <c r="D404" s="13" t="s">
        <v>1578</v>
      </c>
      <c r="E404" s="13" t="s">
        <v>1579</v>
      </c>
      <c r="F404" s="13" t="s">
        <v>368</v>
      </c>
      <c r="G404" s="4" t="s">
        <v>1576</v>
      </c>
      <c r="H404" s="4" t="s">
        <v>906</v>
      </c>
      <c r="I404" s="4"/>
      <c r="J404" s="4" t="s">
        <v>1023</v>
      </c>
      <c r="K404" s="4" t="s">
        <v>2625</v>
      </c>
      <c r="L404" s="15" t="str">
        <f t="shared" si="1"/>
        <v>ok</v>
      </c>
    </row>
    <row r="405" ht="60.0" customHeight="1">
      <c r="A405" s="13" t="s">
        <v>1901</v>
      </c>
      <c r="B405" s="13">
        <v>8.0</v>
      </c>
      <c r="C405" s="13" t="s">
        <v>2505</v>
      </c>
      <c r="D405" s="13" t="s">
        <v>1903</v>
      </c>
      <c r="E405" s="13" t="s">
        <v>1904</v>
      </c>
      <c r="F405" s="13" t="s">
        <v>97</v>
      </c>
      <c r="G405" s="4" t="s">
        <v>1901</v>
      </c>
      <c r="H405" s="4" t="s">
        <v>906</v>
      </c>
      <c r="I405" s="4"/>
      <c r="J405" s="4" t="s">
        <v>907</v>
      </c>
      <c r="K405" s="4" t="s">
        <v>2626</v>
      </c>
      <c r="L405" s="15" t="str">
        <f t="shared" si="1"/>
        <v>ok</v>
      </c>
    </row>
    <row r="406" ht="60.0" customHeight="1">
      <c r="A406" s="13" t="s">
        <v>1053</v>
      </c>
      <c r="B406" s="13">
        <v>8.0</v>
      </c>
      <c r="C406" s="13" t="s">
        <v>2505</v>
      </c>
      <c r="D406" s="13" t="s">
        <v>1055</v>
      </c>
      <c r="E406" s="13" t="s">
        <v>1056</v>
      </c>
      <c r="F406" s="13" t="s">
        <v>368</v>
      </c>
      <c r="G406" s="4" t="s">
        <v>1053</v>
      </c>
      <c r="H406" s="4" t="s">
        <v>906</v>
      </c>
      <c r="I406" s="4"/>
      <c r="J406" s="4" t="s">
        <v>1023</v>
      </c>
      <c r="K406" s="4" t="s">
        <v>2627</v>
      </c>
      <c r="L406" s="15" t="str">
        <f t="shared" si="1"/>
        <v>ok</v>
      </c>
    </row>
    <row r="407" ht="60.0" customHeight="1">
      <c r="A407" s="13" t="s">
        <v>169</v>
      </c>
      <c r="B407" s="13">
        <v>9.0</v>
      </c>
      <c r="C407" s="13" t="s">
        <v>2505</v>
      </c>
      <c r="D407" s="13" t="s">
        <v>171</v>
      </c>
      <c r="E407" s="13" t="s">
        <v>172</v>
      </c>
      <c r="F407" s="13" t="s">
        <v>97</v>
      </c>
      <c r="G407" s="4" t="s">
        <v>169</v>
      </c>
      <c r="H407" s="4" t="s">
        <v>98</v>
      </c>
      <c r="I407" s="4" t="s">
        <v>97</v>
      </c>
      <c r="J407" s="4"/>
      <c r="K407" s="4" t="s">
        <v>2628</v>
      </c>
      <c r="L407" s="15" t="str">
        <f t="shared" si="1"/>
        <v>ok</v>
      </c>
    </row>
    <row r="408" ht="60.0" customHeight="1">
      <c r="A408" s="13" t="s">
        <v>174</v>
      </c>
      <c r="B408" s="13">
        <v>9.0</v>
      </c>
      <c r="C408" s="13" t="s">
        <v>2505</v>
      </c>
      <c r="D408" s="13" t="s">
        <v>176</v>
      </c>
      <c r="E408" s="13" t="s">
        <v>177</v>
      </c>
      <c r="F408" s="13" t="s">
        <v>97</v>
      </c>
      <c r="G408" s="4" t="s">
        <v>174</v>
      </c>
      <c r="H408" s="4" t="s">
        <v>98</v>
      </c>
      <c r="I408" s="4" t="s">
        <v>126</v>
      </c>
      <c r="J408" s="4"/>
      <c r="K408" s="4" t="s">
        <v>2629</v>
      </c>
      <c r="L408" s="15" t="str">
        <f t="shared" si="1"/>
        <v>ok</v>
      </c>
    </row>
    <row r="409" ht="60.0" customHeight="1">
      <c r="A409" s="13" t="s">
        <v>1581</v>
      </c>
      <c r="B409" s="13">
        <v>9.0</v>
      </c>
      <c r="C409" s="13" t="s">
        <v>2505</v>
      </c>
      <c r="D409" s="13" t="s">
        <v>1583</v>
      </c>
      <c r="E409" s="13" t="s">
        <v>1584</v>
      </c>
      <c r="F409" s="13" t="s">
        <v>368</v>
      </c>
      <c r="G409" s="4" t="s">
        <v>1581</v>
      </c>
      <c r="H409" s="4" t="s">
        <v>906</v>
      </c>
      <c r="I409" s="4"/>
      <c r="J409" s="4" t="s">
        <v>1522</v>
      </c>
      <c r="K409" s="4" t="s">
        <v>2630</v>
      </c>
      <c r="L409" s="15" t="str">
        <f t="shared" si="1"/>
        <v>ok</v>
      </c>
    </row>
    <row r="410" ht="60.0" customHeight="1">
      <c r="A410" s="13" t="s">
        <v>1057</v>
      </c>
      <c r="B410" s="13">
        <v>9.0</v>
      </c>
      <c r="C410" s="13" t="s">
        <v>2505</v>
      </c>
      <c r="D410" s="13" t="s">
        <v>1059</v>
      </c>
      <c r="E410" s="13" t="s">
        <v>1060</v>
      </c>
      <c r="F410" s="13" t="s">
        <v>368</v>
      </c>
      <c r="G410" s="4" t="s">
        <v>1057</v>
      </c>
      <c r="H410" s="4" t="s">
        <v>906</v>
      </c>
      <c r="I410" s="4"/>
      <c r="J410" s="4" t="s">
        <v>1023</v>
      </c>
      <c r="K410" s="4" t="s">
        <v>2631</v>
      </c>
      <c r="L410" s="15" t="str">
        <f t="shared" si="1"/>
        <v>ok</v>
      </c>
    </row>
    <row r="411" ht="60.0" customHeight="1">
      <c r="A411" s="13" t="s">
        <v>1585</v>
      </c>
      <c r="B411" s="13">
        <v>9.0</v>
      </c>
      <c r="C411" s="13" t="s">
        <v>2505</v>
      </c>
      <c r="D411" s="13" t="s">
        <v>1587</v>
      </c>
      <c r="E411" s="13" t="s">
        <v>1588</v>
      </c>
      <c r="F411" s="13" t="s">
        <v>368</v>
      </c>
      <c r="G411" s="4" t="s">
        <v>1585</v>
      </c>
      <c r="H411" s="4" t="s">
        <v>906</v>
      </c>
      <c r="I411" s="4"/>
      <c r="J411" s="4" t="s">
        <v>1023</v>
      </c>
      <c r="K411" s="4" t="s">
        <v>2632</v>
      </c>
      <c r="L411" s="15" t="str">
        <f t="shared" si="1"/>
        <v>ok</v>
      </c>
    </row>
    <row r="412" ht="60.0" customHeight="1">
      <c r="A412" s="13" t="s">
        <v>701</v>
      </c>
      <c r="B412" s="13">
        <v>9.0</v>
      </c>
      <c r="C412" s="13" t="s">
        <v>2505</v>
      </c>
      <c r="D412" s="13" t="s">
        <v>703</v>
      </c>
      <c r="E412" s="13" t="s">
        <v>704</v>
      </c>
      <c r="F412" s="13" t="s">
        <v>97</v>
      </c>
      <c r="G412" s="4" t="s">
        <v>701</v>
      </c>
      <c r="H412" s="4" t="s">
        <v>694</v>
      </c>
      <c r="I412" s="4"/>
      <c r="J412" s="4"/>
      <c r="K412" s="4" t="s">
        <v>2633</v>
      </c>
      <c r="L412" s="15" t="str">
        <f t="shared" si="1"/>
        <v>ok</v>
      </c>
    </row>
    <row r="413" ht="60.0" customHeight="1">
      <c r="A413" s="13" t="s">
        <v>1589</v>
      </c>
      <c r="B413" s="13">
        <v>9.0</v>
      </c>
      <c r="C413" s="13" t="s">
        <v>2505</v>
      </c>
      <c r="D413" s="13" t="s">
        <v>1590</v>
      </c>
      <c r="E413" s="13" t="s">
        <v>1591</v>
      </c>
      <c r="F413" s="13" t="s">
        <v>368</v>
      </c>
      <c r="G413" s="4" t="s">
        <v>1589</v>
      </c>
      <c r="H413" s="4" t="s">
        <v>906</v>
      </c>
      <c r="I413" s="4"/>
      <c r="J413" s="4" t="s">
        <v>1522</v>
      </c>
      <c r="K413" s="4" t="s">
        <v>2634</v>
      </c>
      <c r="L413" s="15" t="str">
        <f t="shared" si="1"/>
        <v>ok</v>
      </c>
    </row>
    <row r="414" ht="60.0" customHeight="1">
      <c r="A414" s="13" t="s">
        <v>91</v>
      </c>
      <c r="B414" s="13">
        <v>9.0</v>
      </c>
      <c r="C414" s="13" t="s">
        <v>2635</v>
      </c>
      <c r="D414" s="13" t="s">
        <v>93</v>
      </c>
      <c r="E414" s="13" t="s">
        <v>94</v>
      </c>
      <c r="F414" s="13" t="s">
        <v>97</v>
      </c>
      <c r="G414" s="4" t="s">
        <v>91</v>
      </c>
      <c r="H414" s="4" t="s">
        <v>98</v>
      </c>
      <c r="I414" s="4" t="s">
        <v>97</v>
      </c>
      <c r="J414" s="4"/>
      <c r="K414" s="4" t="s">
        <v>2636</v>
      </c>
      <c r="L414" s="15" t="str">
        <f t="shared" si="1"/>
        <v>ok</v>
      </c>
    </row>
    <row r="415" ht="60.0" customHeight="1">
      <c r="A415" s="13" t="s">
        <v>2106</v>
      </c>
      <c r="B415" s="13">
        <v>9.0</v>
      </c>
      <c r="C415" s="13" t="s">
        <v>2505</v>
      </c>
      <c r="D415" s="13" t="s">
        <v>2108</v>
      </c>
      <c r="E415" s="13" t="s">
        <v>2109</v>
      </c>
      <c r="F415" s="13" t="s">
        <v>97</v>
      </c>
      <c r="G415" s="4" t="s">
        <v>2106</v>
      </c>
      <c r="H415" s="4" t="s">
        <v>906</v>
      </c>
      <c r="I415" s="4"/>
      <c r="J415" s="4" t="s">
        <v>2144</v>
      </c>
      <c r="K415" s="4" t="s">
        <v>2637</v>
      </c>
      <c r="L415" s="15" t="str">
        <f t="shared" si="1"/>
        <v>ok</v>
      </c>
    </row>
    <row r="416" ht="60.0" customHeight="1">
      <c r="A416" s="13" t="s">
        <v>1061</v>
      </c>
      <c r="B416" s="13">
        <v>9.0</v>
      </c>
      <c r="C416" s="13" t="s">
        <v>2505</v>
      </c>
      <c r="D416" s="13" t="s">
        <v>1063</v>
      </c>
      <c r="E416" s="13" t="s">
        <v>1064</v>
      </c>
      <c r="F416" s="13" t="s">
        <v>368</v>
      </c>
      <c r="G416" s="4" t="s">
        <v>1061</v>
      </c>
      <c r="H416" s="4" t="s">
        <v>906</v>
      </c>
      <c r="I416" s="4"/>
      <c r="J416" s="4" t="s">
        <v>1023</v>
      </c>
      <c r="K416" s="4" t="s">
        <v>2638</v>
      </c>
      <c r="L416" s="15" t="str">
        <f t="shared" si="1"/>
        <v>ok</v>
      </c>
    </row>
    <row r="417" ht="60.0" customHeight="1">
      <c r="A417" s="13" t="s">
        <v>179</v>
      </c>
      <c r="B417" s="13">
        <v>9.0</v>
      </c>
      <c r="C417" s="13" t="s">
        <v>2505</v>
      </c>
      <c r="D417" s="13" t="s">
        <v>181</v>
      </c>
      <c r="E417" s="13" t="s">
        <v>182</v>
      </c>
      <c r="F417" s="13" t="s">
        <v>97</v>
      </c>
      <c r="G417" s="4" t="s">
        <v>179</v>
      </c>
      <c r="H417" s="4" t="s">
        <v>98</v>
      </c>
      <c r="I417" s="4" t="s">
        <v>126</v>
      </c>
      <c r="J417" s="4"/>
      <c r="K417" s="4" t="s">
        <v>2639</v>
      </c>
      <c r="L417" s="15" t="str">
        <f t="shared" si="1"/>
        <v>ok</v>
      </c>
    </row>
    <row r="418" ht="60.0" customHeight="1">
      <c r="A418" s="13" t="s">
        <v>691</v>
      </c>
      <c r="B418" s="13">
        <v>9.0</v>
      </c>
      <c r="C418" s="13" t="s">
        <v>2635</v>
      </c>
      <c r="D418" s="13" t="s">
        <v>692</v>
      </c>
      <c r="E418" s="13" t="s">
        <v>693</v>
      </c>
      <c r="F418" s="13" t="s">
        <v>97</v>
      </c>
      <c r="G418" s="4" t="s">
        <v>691</v>
      </c>
      <c r="H418" s="4" t="s">
        <v>694</v>
      </c>
      <c r="I418" s="4"/>
      <c r="J418" s="4"/>
      <c r="K418" s="4" t="s">
        <v>2640</v>
      </c>
      <c r="L418" s="15" t="str">
        <f t="shared" si="1"/>
        <v>ok</v>
      </c>
    </row>
    <row r="419" ht="60.0" customHeight="1">
      <c r="A419" s="13" t="s">
        <v>902</v>
      </c>
      <c r="B419" s="13">
        <v>9.0</v>
      </c>
      <c r="C419" s="13" t="s">
        <v>2635</v>
      </c>
      <c r="D419" s="13" t="s">
        <v>904</v>
      </c>
      <c r="E419" s="13" t="s">
        <v>905</v>
      </c>
      <c r="F419" s="13" t="s">
        <v>97</v>
      </c>
      <c r="G419" s="4" t="s">
        <v>902</v>
      </c>
      <c r="H419" s="4" t="s">
        <v>906</v>
      </c>
      <c r="I419" s="4"/>
      <c r="J419" s="4" t="s">
        <v>1522</v>
      </c>
      <c r="K419" s="4" t="s">
        <v>2641</v>
      </c>
      <c r="L419" s="15" t="str">
        <f t="shared" si="1"/>
        <v>ok</v>
      </c>
    </row>
    <row r="420" ht="60.0" customHeight="1">
      <c r="A420" s="13" t="s">
        <v>1593</v>
      </c>
      <c r="B420" s="13">
        <v>9.0</v>
      </c>
      <c r="C420" s="13" t="s">
        <v>2505</v>
      </c>
      <c r="D420" s="13" t="s">
        <v>1595</v>
      </c>
      <c r="E420" s="13" t="s">
        <v>1596</v>
      </c>
      <c r="F420" s="13" t="s">
        <v>368</v>
      </c>
      <c r="G420" s="4" t="s">
        <v>1593</v>
      </c>
      <c r="H420" s="4" t="s">
        <v>906</v>
      </c>
      <c r="I420" s="4"/>
      <c r="J420" s="4" t="s">
        <v>1522</v>
      </c>
      <c r="K420" s="4" t="s">
        <v>2642</v>
      </c>
      <c r="L420" s="15" t="str">
        <f t="shared" si="1"/>
        <v>ok</v>
      </c>
    </row>
    <row r="421" ht="60.0" customHeight="1">
      <c r="A421" s="13" t="s">
        <v>2113</v>
      </c>
      <c r="B421" s="13">
        <v>9.0</v>
      </c>
      <c r="C421" s="13" t="s">
        <v>2505</v>
      </c>
      <c r="D421" s="13" t="s">
        <v>2115</v>
      </c>
      <c r="E421" s="13" t="s">
        <v>2116</v>
      </c>
      <c r="F421" s="13" t="s">
        <v>97</v>
      </c>
      <c r="G421" s="4" t="s">
        <v>2113</v>
      </c>
      <c r="H421" s="4" t="s">
        <v>906</v>
      </c>
      <c r="I421" s="4"/>
      <c r="J421" s="4" t="s">
        <v>2144</v>
      </c>
      <c r="K421" s="4" t="s">
        <v>2643</v>
      </c>
      <c r="L421" s="15" t="str">
        <f t="shared" si="1"/>
        <v>ok</v>
      </c>
    </row>
    <row r="422" ht="60.0" customHeight="1">
      <c r="A422" s="13" t="s">
        <v>1066</v>
      </c>
      <c r="B422" s="13">
        <v>9.0</v>
      </c>
      <c r="C422" s="13" t="s">
        <v>2505</v>
      </c>
      <c r="D422" s="13" t="s">
        <v>1068</v>
      </c>
      <c r="E422" s="13" t="s">
        <v>1069</v>
      </c>
      <c r="F422" s="13" t="s">
        <v>368</v>
      </c>
      <c r="G422" s="4" t="s">
        <v>1066</v>
      </c>
      <c r="H422" s="4" t="s">
        <v>906</v>
      </c>
      <c r="I422" s="4"/>
      <c r="J422" s="4" t="s">
        <v>1023</v>
      </c>
      <c r="K422" s="4" t="s">
        <v>2644</v>
      </c>
      <c r="L422" s="15" t="str">
        <f t="shared" si="1"/>
        <v>ok</v>
      </c>
    </row>
    <row r="423" ht="60.0" customHeight="1">
      <c r="A423" s="13" t="s">
        <v>1598</v>
      </c>
      <c r="B423" s="13">
        <v>9.0</v>
      </c>
      <c r="C423" s="13" t="s">
        <v>2505</v>
      </c>
      <c r="D423" s="13" t="s">
        <v>1600</v>
      </c>
      <c r="E423" s="13" t="s">
        <v>1601</v>
      </c>
      <c r="F423" s="13" t="s">
        <v>368</v>
      </c>
      <c r="G423" s="4" t="s">
        <v>1598</v>
      </c>
      <c r="H423" s="4" t="s">
        <v>906</v>
      </c>
      <c r="I423" s="4"/>
      <c r="J423" s="4" t="s">
        <v>1522</v>
      </c>
      <c r="K423" s="4" t="s">
        <v>2645</v>
      </c>
      <c r="L423" s="15" t="str">
        <f t="shared" si="1"/>
        <v>ok</v>
      </c>
    </row>
    <row r="424" ht="60.0" customHeight="1">
      <c r="A424" s="13" t="s">
        <v>1070</v>
      </c>
      <c r="B424" s="13">
        <v>9.0</v>
      </c>
      <c r="C424" s="13" t="s">
        <v>2505</v>
      </c>
      <c r="D424" s="13" t="s">
        <v>1072</v>
      </c>
      <c r="E424" s="13" t="s">
        <v>1073</v>
      </c>
      <c r="F424" s="13" t="s">
        <v>368</v>
      </c>
      <c r="G424" s="4" t="s">
        <v>1070</v>
      </c>
      <c r="H424" s="4" t="s">
        <v>906</v>
      </c>
      <c r="I424" s="4"/>
      <c r="J424" s="4" t="s">
        <v>1023</v>
      </c>
      <c r="K424" s="4" t="s">
        <v>2646</v>
      </c>
      <c r="L424" s="15" t="str">
        <f t="shared" si="1"/>
        <v>ok</v>
      </c>
    </row>
    <row r="425" ht="60.0" customHeight="1">
      <c r="A425" s="13" t="s">
        <v>1517</v>
      </c>
      <c r="B425" s="13">
        <v>9.0</v>
      </c>
      <c r="C425" s="13" t="s">
        <v>2635</v>
      </c>
      <c r="D425" s="13" t="s">
        <v>1519</v>
      </c>
      <c r="E425" s="13" t="s">
        <v>1520</v>
      </c>
      <c r="F425" s="13" t="s">
        <v>126</v>
      </c>
      <c r="G425" s="4" t="s">
        <v>1517</v>
      </c>
      <c r="H425" s="4" t="s">
        <v>906</v>
      </c>
      <c r="I425" s="4"/>
      <c r="J425" s="4" t="s">
        <v>1522</v>
      </c>
      <c r="K425" s="4" t="s">
        <v>2647</v>
      </c>
      <c r="L425" s="15" t="str">
        <f t="shared" si="1"/>
        <v>ok</v>
      </c>
    </row>
    <row r="426" ht="60.0" customHeight="1">
      <c r="A426" s="13" t="s">
        <v>1965</v>
      </c>
      <c r="B426" s="13">
        <v>9.0</v>
      </c>
      <c r="C426" s="13" t="s">
        <v>2505</v>
      </c>
      <c r="D426" s="13" t="s">
        <v>1967</v>
      </c>
      <c r="E426" s="13" t="s">
        <v>1968</v>
      </c>
      <c r="F426" s="13" t="s">
        <v>97</v>
      </c>
      <c r="G426" s="4" t="s">
        <v>1965</v>
      </c>
      <c r="H426" s="4" t="s">
        <v>906</v>
      </c>
      <c r="I426" s="4"/>
      <c r="J426" s="4" t="s">
        <v>1953</v>
      </c>
      <c r="K426" s="4" t="s">
        <v>2648</v>
      </c>
      <c r="L426" s="15" t="str">
        <f t="shared" si="1"/>
        <v>ok</v>
      </c>
    </row>
    <row r="427" ht="60.0" customHeight="1">
      <c r="A427" s="13" t="s">
        <v>707</v>
      </c>
      <c r="B427" s="13">
        <v>9.0</v>
      </c>
      <c r="C427" s="13" t="s">
        <v>2505</v>
      </c>
      <c r="D427" s="13" t="s">
        <v>709</v>
      </c>
      <c r="E427" s="13" t="s">
        <v>710</v>
      </c>
      <c r="F427" s="13" t="s">
        <v>97</v>
      </c>
      <c r="G427" s="4" t="s">
        <v>707</v>
      </c>
      <c r="H427" s="4" t="s">
        <v>694</v>
      </c>
      <c r="I427" s="4"/>
      <c r="J427" s="4"/>
      <c r="K427" s="4" t="s">
        <v>2649</v>
      </c>
      <c r="L427" s="15" t="str">
        <f t="shared" si="1"/>
        <v>ok</v>
      </c>
    </row>
    <row r="428" ht="60.0" customHeight="1">
      <c r="A428" s="13" t="s">
        <v>714</v>
      </c>
      <c r="B428" s="13">
        <v>9.0</v>
      </c>
      <c r="C428" s="13" t="s">
        <v>2505</v>
      </c>
      <c r="D428" s="13" t="s">
        <v>716</v>
      </c>
      <c r="E428" s="13" t="s">
        <v>717</v>
      </c>
      <c r="F428" s="13" t="s">
        <v>126</v>
      </c>
      <c r="G428" s="4" t="s">
        <v>714</v>
      </c>
      <c r="H428" s="4" t="s">
        <v>694</v>
      </c>
      <c r="I428" s="4"/>
      <c r="J428" s="4"/>
      <c r="K428" s="4" t="s">
        <v>2650</v>
      </c>
      <c r="L428" s="15" t="str">
        <f t="shared" si="1"/>
        <v>ok</v>
      </c>
    </row>
    <row r="429" ht="60.0" customHeight="1">
      <c r="A429" s="13" t="s">
        <v>1905</v>
      </c>
      <c r="B429" s="13">
        <v>9.0</v>
      </c>
      <c r="C429" s="13" t="s">
        <v>2505</v>
      </c>
      <c r="D429" s="13" t="s">
        <v>1907</v>
      </c>
      <c r="E429" s="13" t="s">
        <v>1908</v>
      </c>
      <c r="F429" s="13" t="s">
        <v>97</v>
      </c>
      <c r="G429" s="4" t="s">
        <v>1905</v>
      </c>
      <c r="H429" s="4" t="s">
        <v>694</v>
      </c>
      <c r="I429" s="4"/>
      <c r="J429" s="4"/>
      <c r="K429" s="4" t="s">
        <v>2651</v>
      </c>
      <c r="L429" s="15" t="str">
        <f t="shared" si="1"/>
        <v>ok</v>
      </c>
    </row>
    <row r="430" ht="60.0" customHeight="1">
      <c r="A430" s="13" t="s">
        <v>186</v>
      </c>
      <c r="B430" s="13">
        <v>9.0</v>
      </c>
      <c r="C430" s="13" t="s">
        <v>2505</v>
      </c>
      <c r="D430" s="13" t="s">
        <v>188</v>
      </c>
      <c r="E430" s="13" t="s">
        <v>189</v>
      </c>
      <c r="F430" s="13" t="s">
        <v>97</v>
      </c>
      <c r="G430" s="4" t="s">
        <v>186</v>
      </c>
      <c r="H430" s="4" t="s">
        <v>98</v>
      </c>
      <c r="I430" s="4" t="s">
        <v>126</v>
      </c>
      <c r="J430" s="4"/>
      <c r="K430" s="4" t="s">
        <v>2652</v>
      </c>
      <c r="L430" s="15" t="str">
        <f t="shared" si="1"/>
        <v>ok</v>
      </c>
    </row>
    <row r="431" ht="60.0" customHeight="1">
      <c r="A431" s="13" t="s">
        <v>99</v>
      </c>
      <c r="B431" s="13">
        <v>9.0</v>
      </c>
      <c r="C431" s="13" t="s">
        <v>2635</v>
      </c>
      <c r="D431" s="13" t="s">
        <v>101</v>
      </c>
      <c r="E431" s="13" t="s">
        <v>102</v>
      </c>
      <c r="F431" s="13" t="s">
        <v>97</v>
      </c>
      <c r="G431" s="4" t="s">
        <v>99</v>
      </c>
      <c r="H431" s="4" t="s">
        <v>98</v>
      </c>
      <c r="I431" s="4" t="s">
        <v>97</v>
      </c>
      <c r="J431" s="4"/>
      <c r="K431" s="4" t="s">
        <v>2653</v>
      </c>
      <c r="L431" s="15" t="str">
        <f t="shared" si="1"/>
        <v>ok</v>
      </c>
    </row>
    <row r="432" ht="60.0" customHeight="1">
      <c r="A432" s="13" t="s">
        <v>1603</v>
      </c>
      <c r="B432" s="13">
        <v>9.0</v>
      </c>
      <c r="C432" s="13" t="s">
        <v>2505</v>
      </c>
      <c r="D432" s="13" t="s">
        <v>1605</v>
      </c>
      <c r="E432" s="13" t="s">
        <v>1606</v>
      </c>
      <c r="F432" s="13" t="s">
        <v>97</v>
      </c>
      <c r="G432" s="4" t="s">
        <v>1603</v>
      </c>
      <c r="H432" s="4" t="s">
        <v>906</v>
      </c>
      <c r="I432" s="4"/>
      <c r="J432" s="4" t="s">
        <v>1522</v>
      </c>
      <c r="K432" s="4" t="s">
        <v>2654</v>
      </c>
      <c r="L432" s="15" t="str">
        <f t="shared" si="1"/>
        <v>ok</v>
      </c>
    </row>
    <row r="433" ht="60.0" customHeight="1">
      <c r="A433" s="13" t="s">
        <v>1524</v>
      </c>
      <c r="B433" s="13">
        <v>9.0</v>
      </c>
      <c r="C433" s="13" t="s">
        <v>2635</v>
      </c>
      <c r="D433" s="13" t="s">
        <v>1526</v>
      </c>
      <c r="E433" s="13" t="s">
        <v>1527</v>
      </c>
      <c r="F433" s="13" t="s">
        <v>368</v>
      </c>
      <c r="G433" s="4" t="s">
        <v>1524</v>
      </c>
      <c r="H433" s="4" t="s">
        <v>906</v>
      </c>
      <c r="I433" s="4"/>
      <c r="J433" s="4" t="s">
        <v>1522</v>
      </c>
      <c r="K433" s="4" t="s">
        <v>2655</v>
      </c>
      <c r="L433" s="15" t="str">
        <f t="shared" si="1"/>
        <v>ok</v>
      </c>
    </row>
    <row r="434" ht="60.0" customHeight="1">
      <c r="A434" s="13" t="s">
        <v>2078</v>
      </c>
      <c r="B434" s="13">
        <v>9.0</v>
      </c>
      <c r="C434" s="13" t="s">
        <v>2635</v>
      </c>
      <c r="D434" s="13" t="s">
        <v>2080</v>
      </c>
      <c r="E434" s="13" t="s">
        <v>2081</v>
      </c>
      <c r="F434" s="13" t="s">
        <v>97</v>
      </c>
      <c r="G434" s="4" t="s">
        <v>2078</v>
      </c>
      <c r="H434" s="4" t="s">
        <v>906</v>
      </c>
      <c r="I434" s="4"/>
      <c r="J434" s="4" t="s">
        <v>1899</v>
      </c>
      <c r="K434" s="4" t="s">
        <v>2656</v>
      </c>
      <c r="L434" s="15" t="str">
        <f t="shared" si="1"/>
        <v>ok</v>
      </c>
    </row>
    <row r="435" ht="60.0" customHeight="1">
      <c r="A435" s="13" t="s">
        <v>104</v>
      </c>
      <c r="B435" s="13">
        <v>9.0</v>
      </c>
      <c r="C435" s="13" t="s">
        <v>2635</v>
      </c>
      <c r="D435" s="13" t="s">
        <v>106</v>
      </c>
      <c r="E435" s="13" t="s">
        <v>107</v>
      </c>
      <c r="F435" s="13" t="s">
        <v>97</v>
      </c>
      <c r="G435" s="4" t="s">
        <v>104</v>
      </c>
      <c r="H435" s="4" t="s">
        <v>98</v>
      </c>
      <c r="I435" s="4" t="s">
        <v>126</v>
      </c>
      <c r="J435" s="4"/>
      <c r="K435" s="4" t="s">
        <v>2657</v>
      </c>
      <c r="L435" s="15" t="str">
        <f t="shared" si="1"/>
        <v>ok</v>
      </c>
    </row>
    <row r="436" ht="60.0" customHeight="1">
      <c r="A436" s="13" t="s">
        <v>1528</v>
      </c>
      <c r="B436" s="13">
        <v>9.0</v>
      </c>
      <c r="C436" s="13" t="s">
        <v>2635</v>
      </c>
      <c r="D436" s="13" t="s">
        <v>1530</v>
      </c>
      <c r="E436" s="13" t="s">
        <v>1531</v>
      </c>
      <c r="F436" s="13" t="s">
        <v>368</v>
      </c>
      <c r="G436" s="4" t="s">
        <v>1528</v>
      </c>
      <c r="H436" s="4" t="s">
        <v>906</v>
      </c>
      <c r="I436" s="4"/>
      <c r="J436" s="4" t="s">
        <v>1522</v>
      </c>
      <c r="K436" s="4" t="s">
        <v>2658</v>
      </c>
      <c r="L436" s="15" t="str">
        <f t="shared" si="1"/>
        <v>ok</v>
      </c>
    </row>
    <row r="437" ht="60.0" customHeight="1">
      <c r="A437" s="13" t="s">
        <v>109</v>
      </c>
      <c r="B437" s="13">
        <v>9.0</v>
      </c>
      <c r="C437" s="13" t="s">
        <v>2635</v>
      </c>
      <c r="D437" s="13" t="s">
        <v>111</v>
      </c>
      <c r="E437" s="13" t="s">
        <v>112</v>
      </c>
      <c r="F437" s="13" t="s">
        <v>97</v>
      </c>
      <c r="G437" s="4" t="s">
        <v>109</v>
      </c>
      <c r="H437" s="4" t="s">
        <v>98</v>
      </c>
      <c r="I437" s="4" t="s">
        <v>97</v>
      </c>
      <c r="J437" s="4"/>
      <c r="K437" s="4" t="s">
        <v>2659</v>
      </c>
      <c r="L437" s="15" t="str">
        <f t="shared" si="1"/>
        <v>ok</v>
      </c>
    </row>
    <row r="438" ht="60.0" customHeight="1">
      <c r="A438" s="13" t="s">
        <v>1533</v>
      </c>
      <c r="B438" s="13">
        <v>9.0</v>
      </c>
      <c r="C438" s="13" t="s">
        <v>2635</v>
      </c>
      <c r="D438" s="13" t="s">
        <v>1535</v>
      </c>
      <c r="E438" s="13" t="s">
        <v>1536</v>
      </c>
      <c r="F438" s="13" t="s">
        <v>368</v>
      </c>
      <c r="G438" s="4" t="s">
        <v>1533</v>
      </c>
      <c r="H438" s="4" t="s">
        <v>906</v>
      </c>
      <c r="I438" s="4"/>
      <c r="J438" s="4" t="s">
        <v>1522</v>
      </c>
      <c r="K438" s="4" t="s">
        <v>2660</v>
      </c>
      <c r="L438" s="15" t="str">
        <f t="shared" si="1"/>
        <v>ok</v>
      </c>
    </row>
    <row r="439" ht="60.0" customHeight="1">
      <c r="A439" s="13" t="s">
        <v>1018</v>
      </c>
      <c r="B439" s="13">
        <v>9.0</v>
      </c>
      <c r="C439" s="13" t="s">
        <v>2635</v>
      </c>
      <c r="D439" s="13" t="s">
        <v>1020</v>
      </c>
      <c r="E439" s="13" t="s">
        <v>1021</v>
      </c>
      <c r="F439" s="13" t="s">
        <v>368</v>
      </c>
      <c r="G439" s="4" t="s">
        <v>1018</v>
      </c>
      <c r="H439" s="4" t="s">
        <v>906</v>
      </c>
      <c r="I439" s="4"/>
      <c r="J439" s="4" t="s">
        <v>1023</v>
      </c>
      <c r="K439" s="4" t="s">
        <v>2661</v>
      </c>
      <c r="L439" s="15" t="str">
        <f t="shared" si="1"/>
        <v>ok</v>
      </c>
    </row>
    <row r="440" ht="60.0" customHeight="1">
      <c r="A440" s="13" t="s">
        <v>1895</v>
      </c>
      <c r="B440" s="13">
        <v>9.0</v>
      </c>
      <c r="C440" s="13" t="s">
        <v>2635</v>
      </c>
      <c r="D440" s="13" t="s">
        <v>1897</v>
      </c>
      <c r="E440" s="13" t="s">
        <v>1898</v>
      </c>
      <c r="F440" s="13" t="s">
        <v>97</v>
      </c>
      <c r="G440" s="4" t="s">
        <v>1895</v>
      </c>
      <c r="H440" s="4" t="s">
        <v>906</v>
      </c>
      <c r="I440" s="4"/>
      <c r="J440" s="4" t="s">
        <v>1023</v>
      </c>
      <c r="K440" s="4" t="s">
        <v>2662</v>
      </c>
      <c r="L440" s="15" t="str">
        <f t="shared" si="1"/>
        <v>ok</v>
      </c>
    </row>
    <row r="441" ht="60.0" customHeight="1">
      <c r="A441" s="13" t="s">
        <v>1949</v>
      </c>
      <c r="B441" s="13">
        <v>9.0</v>
      </c>
      <c r="C441" s="13" t="s">
        <v>2635</v>
      </c>
      <c r="D441" s="13" t="s">
        <v>1951</v>
      </c>
      <c r="E441" s="13" t="s">
        <v>1952</v>
      </c>
      <c r="F441" s="13" t="s">
        <v>368</v>
      </c>
      <c r="G441" s="4" t="s">
        <v>1949</v>
      </c>
      <c r="H441" s="4" t="s">
        <v>906</v>
      </c>
      <c r="I441" s="4"/>
      <c r="J441" s="4" t="s">
        <v>1522</v>
      </c>
      <c r="K441" s="4" t="s">
        <v>2663</v>
      </c>
      <c r="L441" s="15" t="str">
        <f t="shared" si="1"/>
        <v>ok</v>
      </c>
    </row>
    <row r="442" ht="60.0" customHeight="1">
      <c r="A442" s="13" t="s">
        <v>1955</v>
      </c>
      <c r="B442" s="13">
        <v>9.0</v>
      </c>
      <c r="C442" s="13" t="s">
        <v>2635</v>
      </c>
      <c r="D442" s="13" t="s">
        <v>1957</v>
      </c>
      <c r="E442" s="13" t="s">
        <v>1958</v>
      </c>
      <c r="F442" s="13" t="s">
        <v>97</v>
      </c>
      <c r="G442" s="4" t="s">
        <v>1955</v>
      </c>
      <c r="H442" s="4" t="s">
        <v>694</v>
      </c>
      <c r="I442" s="4"/>
      <c r="J442" s="4"/>
      <c r="K442" s="4" t="s">
        <v>2664</v>
      </c>
      <c r="L442" s="15" t="str">
        <f t="shared" si="1"/>
        <v>ok</v>
      </c>
    </row>
    <row r="443" ht="60.0" customHeight="1">
      <c r="A443" s="13" t="s">
        <v>1538</v>
      </c>
      <c r="B443" s="13">
        <v>9.0</v>
      </c>
      <c r="C443" s="13" t="s">
        <v>2635</v>
      </c>
      <c r="D443" s="13" t="s">
        <v>1540</v>
      </c>
      <c r="E443" s="13" t="s">
        <v>1541</v>
      </c>
      <c r="F443" s="13" t="s">
        <v>368</v>
      </c>
      <c r="G443" s="4" t="s">
        <v>1538</v>
      </c>
      <c r="H443" s="4" t="s">
        <v>906</v>
      </c>
      <c r="I443" s="4"/>
      <c r="J443" s="4" t="s">
        <v>1023</v>
      </c>
      <c r="K443" s="4" t="s">
        <v>2665</v>
      </c>
      <c r="L443" s="15" t="str">
        <f t="shared" si="1"/>
        <v>ok</v>
      </c>
    </row>
    <row r="444" ht="60.0" customHeight="1">
      <c r="A444" s="13" t="s">
        <v>1543</v>
      </c>
      <c r="B444" s="13">
        <v>9.0</v>
      </c>
      <c r="C444" s="13" t="s">
        <v>2635</v>
      </c>
      <c r="D444" s="13" t="s">
        <v>1545</v>
      </c>
      <c r="E444" s="13" t="s">
        <v>1546</v>
      </c>
      <c r="F444" s="13" t="s">
        <v>368</v>
      </c>
      <c r="G444" s="4" t="s">
        <v>1543</v>
      </c>
      <c r="H444" s="4" t="s">
        <v>906</v>
      </c>
      <c r="I444" s="4"/>
      <c r="J444" s="4" t="s">
        <v>1522</v>
      </c>
      <c r="K444" s="4" t="s">
        <v>2666</v>
      </c>
      <c r="L444" s="15" t="str">
        <f t="shared" si="1"/>
        <v>ok</v>
      </c>
    </row>
    <row r="445" ht="60.0" customHeight="1">
      <c r="A445" s="13" t="s">
        <v>1548</v>
      </c>
      <c r="B445" s="13">
        <v>9.0</v>
      </c>
      <c r="C445" s="13" t="s">
        <v>2635</v>
      </c>
      <c r="D445" s="13" t="s">
        <v>1550</v>
      </c>
      <c r="E445" s="13" t="s">
        <v>1551</v>
      </c>
      <c r="F445" s="13" t="s">
        <v>368</v>
      </c>
      <c r="G445" s="4" t="s">
        <v>1548</v>
      </c>
      <c r="H445" s="4" t="s">
        <v>906</v>
      </c>
      <c r="I445" s="4"/>
      <c r="J445" s="4" t="s">
        <v>1522</v>
      </c>
      <c r="K445" s="4" t="s">
        <v>2667</v>
      </c>
      <c r="L445" s="15" t="str">
        <f t="shared" si="1"/>
        <v>ok</v>
      </c>
    </row>
    <row r="446" ht="60.0" customHeight="1">
      <c r="A446" s="13" t="s">
        <v>115</v>
      </c>
      <c r="B446" s="13">
        <v>9.0</v>
      </c>
      <c r="C446" s="13" t="s">
        <v>2635</v>
      </c>
      <c r="D446" s="13" t="s">
        <v>117</v>
      </c>
      <c r="E446" s="13" t="s">
        <v>118</v>
      </c>
      <c r="F446" s="13" t="s">
        <v>97</v>
      </c>
      <c r="G446" s="4" t="s">
        <v>115</v>
      </c>
      <c r="H446" s="4" t="s">
        <v>98</v>
      </c>
      <c r="I446" s="4" t="s">
        <v>97</v>
      </c>
      <c r="J446" s="4"/>
      <c r="K446" s="4" t="s">
        <v>2668</v>
      </c>
      <c r="L446" s="15" t="str">
        <f t="shared" si="1"/>
        <v>ok</v>
      </c>
    </row>
    <row r="447" ht="60.0" customHeight="1">
      <c r="A447" s="13" t="s">
        <v>120</v>
      </c>
      <c r="B447" s="13">
        <v>9.0</v>
      </c>
      <c r="C447" s="13" t="s">
        <v>2635</v>
      </c>
      <c r="D447" s="13" t="s">
        <v>122</v>
      </c>
      <c r="E447" s="13" t="s">
        <v>123</v>
      </c>
      <c r="F447" s="13" t="s">
        <v>126</v>
      </c>
      <c r="G447" s="4" t="s">
        <v>120</v>
      </c>
      <c r="H447" s="4" t="s">
        <v>98</v>
      </c>
      <c r="I447" s="4" t="s">
        <v>126</v>
      </c>
      <c r="J447" s="4"/>
      <c r="K447" s="4" t="s">
        <v>2669</v>
      </c>
      <c r="L447" s="15" t="str">
        <f t="shared" si="1"/>
        <v>ok</v>
      </c>
    </row>
    <row r="448" ht="60.0" customHeight="1">
      <c r="A448" s="13" t="s">
        <v>1553</v>
      </c>
      <c r="B448" s="13">
        <v>9.0</v>
      </c>
      <c r="C448" s="13" t="s">
        <v>2635</v>
      </c>
      <c r="D448" s="13" t="s">
        <v>1555</v>
      </c>
      <c r="E448" s="13" t="s">
        <v>1556</v>
      </c>
      <c r="F448" s="13" t="s">
        <v>368</v>
      </c>
      <c r="G448" s="4" t="s">
        <v>1553</v>
      </c>
      <c r="H448" s="4" t="s">
        <v>906</v>
      </c>
      <c r="I448" s="4"/>
      <c r="J448" s="4" t="s">
        <v>1522</v>
      </c>
      <c r="K448" s="4" t="s">
        <v>2670</v>
      </c>
      <c r="L448" s="15" t="str">
        <f t="shared" si="1"/>
        <v>ok</v>
      </c>
    </row>
    <row r="449" ht="60.0" customHeight="1">
      <c r="A449" s="13" t="s">
        <v>1557</v>
      </c>
      <c r="B449" s="13">
        <v>9.0</v>
      </c>
      <c r="C449" s="13" t="s">
        <v>2635</v>
      </c>
      <c r="D449" s="13" t="s">
        <v>1559</v>
      </c>
      <c r="E449" s="13" t="s">
        <v>1560</v>
      </c>
      <c r="F449" s="13" t="s">
        <v>368</v>
      </c>
      <c r="G449" s="4" t="s">
        <v>1557</v>
      </c>
      <c r="H449" s="4" t="s">
        <v>906</v>
      </c>
      <c r="I449" s="4"/>
      <c r="J449" s="4" t="s">
        <v>1522</v>
      </c>
      <c r="K449" s="4" t="s">
        <v>2671</v>
      </c>
      <c r="L449" s="15" t="str">
        <f t="shared" si="1"/>
        <v>ok</v>
      </c>
    </row>
    <row r="450" ht="60.0" customHeight="1">
      <c r="A450" s="13" t="s">
        <v>128</v>
      </c>
      <c r="B450" s="13">
        <v>9.0</v>
      </c>
      <c r="C450" s="13" t="s">
        <v>2635</v>
      </c>
      <c r="D450" s="13" t="s">
        <v>130</v>
      </c>
      <c r="E450" s="13" t="s">
        <v>131</v>
      </c>
      <c r="F450" s="13" t="s">
        <v>97</v>
      </c>
      <c r="G450" s="4" t="s">
        <v>128</v>
      </c>
      <c r="H450" s="4" t="s">
        <v>98</v>
      </c>
      <c r="I450" s="4" t="s">
        <v>97</v>
      </c>
      <c r="J450" s="4"/>
      <c r="K450" s="4" t="s">
        <v>2672</v>
      </c>
      <c r="L450" s="15" t="str">
        <f t="shared" si="1"/>
        <v>ok</v>
      </c>
    </row>
    <row r="451" ht="60.0" customHeight="1">
      <c r="A451" s="13" t="s">
        <v>1960</v>
      </c>
      <c r="B451" s="13">
        <v>9.0</v>
      </c>
      <c r="C451" s="13" t="s">
        <v>2635</v>
      </c>
      <c r="D451" s="13" t="s">
        <v>1962</v>
      </c>
      <c r="E451" s="13" t="s">
        <v>1963</v>
      </c>
      <c r="F451" s="13" t="s">
        <v>97</v>
      </c>
      <c r="G451" s="4" t="s">
        <v>1960</v>
      </c>
      <c r="H451" s="4" t="s">
        <v>98</v>
      </c>
      <c r="I451" s="4" t="s">
        <v>97</v>
      </c>
      <c r="J451" s="4"/>
      <c r="K451" s="4" t="s">
        <v>2673</v>
      </c>
      <c r="L451" s="15" t="str">
        <f t="shared" si="1"/>
        <v>ok</v>
      </c>
    </row>
    <row r="452" ht="60.0" customHeight="1">
      <c r="A452" s="13" t="s">
        <v>1025</v>
      </c>
      <c r="B452" s="13">
        <v>9.0</v>
      </c>
      <c r="C452" s="13" t="s">
        <v>2635</v>
      </c>
      <c r="D452" s="13" t="s">
        <v>1027</v>
      </c>
      <c r="E452" s="13" t="s">
        <v>1028</v>
      </c>
      <c r="F452" s="13" t="s">
        <v>368</v>
      </c>
      <c r="G452" s="4" t="s">
        <v>1025</v>
      </c>
      <c r="H452" s="4" t="s">
        <v>906</v>
      </c>
      <c r="I452" s="4"/>
      <c r="J452" s="4" t="s">
        <v>1023</v>
      </c>
      <c r="K452" s="4" t="s">
        <v>2674</v>
      </c>
      <c r="L452" s="15" t="str">
        <f t="shared" si="1"/>
        <v>ok</v>
      </c>
    </row>
    <row r="453" ht="60.0" customHeight="1">
      <c r="A453" s="13" t="s">
        <v>133</v>
      </c>
      <c r="B453" s="13">
        <v>9.0</v>
      </c>
      <c r="C453" s="13" t="s">
        <v>2635</v>
      </c>
      <c r="D453" s="13" t="s">
        <v>135</v>
      </c>
      <c r="E453" s="13" t="s">
        <v>136</v>
      </c>
      <c r="F453" s="13" t="s">
        <v>97</v>
      </c>
      <c r="G453" s="4" t="s">
        <v>133</v>
      </c>
      <c r="H453" s="4" t="s">
        <v>906</v>
      </c>
      <c r="I453" s="4"/>
      <c r="J453" s="4" t="s">
        <v>2144</v>
      </c>
      <c r="K453" s="4" t="s">
        <v>2675</v>
      </c>
      <c r="L453" s="15" t="str">
        <f t="shared" si="1"/>
        <v>ok</v>
      </c>
    </row>
    <row r="454" ht="60.0" customHeight="1">
      <c r="A454" s="13" t="s">
        <v>1030</v>
      </c>
      <c r="B454" s="13">
        <v>9.0</v>
      </c>
      <c r="C454" s="13" t="s">
        <v>2635</v>
      </c>
      <c r="D454" s="13" t="s">
        <v>1032</v>
      </c>
      <c r="E454" s="13" t="s">
        <v>1033</v>
      </c>
      <c r="F454" s="13" t="s">
        <v>368</v>
      </c>
      <c r="G454" s="4" t="s">
        <v>1030</v>
      </c>
      <c r="H454" s="4" t="s">
        <v>906</v>
      </c>
      <c r="I454" s="4"/>
      <c r="J454" s="4" t="s">
        <v>1023</v>
      </c>
      <c r="K454" s="4" t="s">
        <v>2676</v>
      </c>
      <c r="L454" s="15" t="str">
        <f t="shared" si="1"/>
        <v>ok</v>
      </c>
    </row>
    <row r="455" ht="60.0" customHeight="1">
      <c r="A455" s="13" t="s">
        <v>139</v>
      </c>
      <c r="B455" s="13">
        <v>9.0</v>
      </c>
      <c r="C455" s="13" t="s">
        <v>2635</v>
      </c>
      <c r="D455" s="13" t="s">
        <v>141</v>
      </c>
      <c r="E455" s="13" t="s">
        <v>142</v>
      </c>
      <c r="F455" s="13" t="s">
        <v>97</v>
      </c>
      <c r="G455" s="4" t="s">
        <v>139</v>
      </c>
      <c r="H455" s="4" t="s">
        <v>98</v>
      </c>
      <c r="I455" s="4" t="s">
        <v>97</v>
      </c>
      <c r="J455" s="4"/>
      <c r="K455" s="4" t="s">
        <v>2677</v>
      </c>
      <c r="L455" s="15" t="str">
        <f t="shared" si="1"/>
        <v>ok</v>
      </c>
    </row>
    <row r="456" ht="60.0" customHeight="1">
      <c r="A456" s="13" t="s">
        <v>146</v>
      </c>
      <c r="B456" s="13">
        <v>9.0</v>
      </c>
      <c r="C456" s="13" t="s">
        <v>2635</v>
      </c>
      <c r="D456" s="13" t="s">
        <v>148</v>
      </c>
      <c r="E456" s="13" t="s">
        <v>149</v>
      </c>
      <c r="F456" s="13" t="s">
        <v>97</v>
      </c>
      <c r="G456" s="4" t="s">
        <v>146</v>
      </c>
      <c r="H456" s="4" t="s">
        <v>98</v>
      </c>
      <c r="I456" s="4" t="s">
        <v>97</v>
      </c>
      <c r="J456" s="4"/>
      <c r="K456" s="4" t="s">
        <v>2678</v>
      </c>
      <c r="L456" s="15" t="str">
        <f t="shared" si="1"/>
        <v>ok</v>
      </c>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6:$L$456"/>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10.0"/>
    <col customWidth="1" min="2" max="3" width="6.0"/>
    <col customWidth="1" min="4" max="4" width="50.0"/>
    <col customWidth="1" min="5" max="5" width="70.0"/>
    <col customWidth="1" min="6" max="6" width="8.0"/>
    <col customWidth="1" min="7" max="7" width="12.0"/>
    <col customWidth="1" min="8" max="8" width="10.0"/>
    <col customWidth="1" min="9" max="9" width="9.0"/>
    <col customWidth="1" min="10" max="10" width="8.0"/>
    <col customWidth="1" min="11" max="11" width="45.0"/>
    <col customWidth="1" min="12" max="12" width="14.0"/>
  </cols>
  <sheetData>
    <row r="1" ht="15.0" customHeight="1">
      <c r="A1" s="5" t="s">
        <v>2189</v>
      </c>
      <c r="B1" s="15" t="s">
        <v>2679</v>
      </c>
      <c r="C1" s="4"/>
      <c r="D1" s="4"/>
      <c r="E1" s="4"/>
      <c r="F1" s="4"/>
      <c r="G1" s="4"/>
      <c r="H1" s="4"/>
      <c r="I1" s="4"/>
      <c r="J1" s="4"/>
      <c r="K1" s="4"/>
      <c r="L1" s="4"/>
    </row>
    <row r="2" ht="15.0" customHeight="1">
      <c r="A2" s="5" t="s">
        <v>2191</v>
      </c>
      <c r="B2" s="16">
        <v>1.0</v>
      </c>
      <c r="C2" s="4"/>
      <c r="D2" s="4"/>
      <c r="E2" s="4"/>
      <c r="F2" s="4"/>
      <c r="G2" s="4"/>
      <c r="H2" s="4"/>
      <c r="I2" s="4"/>
      <c r="J2" s="4"/>
      <c r="K2" s="4"/>
      <c r="L2" s="4"/>
    </row>
    <row r="3" ht="15.0" customHeight="1">
      <c r="A3" s="5" t="s">
        <v>2192</v>
      </c>
      <c r="B3" s="17">
        <v>46294.9076388889</v>
      </c>
      <c r="C3" s="4"/>
      <c r="D3" s="4"/>
      <c r="E3" s="4"/>
      <c r="F3" s="4"/>
      <c r="G3" s="4"/>
      <c r="H3" s="4"/>
      <c r="I3" s="4"/>
      <c r="J3" s="4"/>
      <c r="K3" s="4"/>
      <c r="L3" s="4"/>
    </row>
    <row r="4" ht="15.0" customHeight="1">
      <c r="A4" s="5" t="s">
        <v>2193</v>
      </c>
      <c r="B4" s="18" t="s">
        <v>2194</v>
      </c>
      <c r="C4" s="4"/>
      <c r="D4" s="4"/>
      <c r="E4" s="4"/>
      <c r="F4" s="4"/>
      <c r="G4" s="4"/>
      <c r="H4" s="4"/>
      <c r="I4" s="4"/>
      <c r="J4" s="4"/>
      <c r="K4" s="4"/>
      <c r="L4" s="4"/>
    </row>
    <row r="5">
      <c r="A5" s="4"/>
      <c r="B5" s="4"/>
      <c r="C5" s="4"/>
      <c r="D5" s="4"/>
      <c r="E5" s="4"/>
      <c r="F5" s="4"/>
      <c r="G5" s="4"/>
      <c r="H5" s="4"/>
      <c r="I5" s="4"/>
      <c r="J5" s="4"/>
      <c r="K5" s="4"/>
      <c r="L5" s="4"/>
    </row>
    <row r="6" ht="23.25" customHeight="1">
      <c r="A6" s="6" t="s">
        <v>76</v>
      </c>
      <c r="B6" s="6" t="s">
        <v>2195</v>
      </c>
      <c r="C6" s="6" t="s">
        <v>77</v>
      </c>
      <c r="D6" s="6" t="s">
        <v>79</v>
      </c>
      <c r="E6" s="6" t="s">
        <v>80</v>
      </c>
      <c r="F6" s="6" t="s">
        <v>83</v>
      </c>
      <c r="G6" s="6" t="s">
        <v>2196</v>
      </c>
      <c r="H6" s="6" t="s">
        <v>2197</v>
      </c>
      <c r="I6" s="6" t="s">
        <v>2198</v>
      </c>
      <c r="J6" s="6" t="s">
        <v>2199</v>
      </c>
      <c r="K6" s="6" t="s">
        <v>2200</v>
      </c>
      <c r="L6" s="6" t="s">
        <v>2201</v>
      </c>
    </row>
    <row r="7" ht="60.0" customHeight="1">
      <c r="A7" s="13" t="s">
        <v>2074</v>
      </c>
      <c r="B7" s="13">
        <v>1.0</v>
      </c>
      <c r="C7" s="13" t="s">
        <v>2202</v>
      </c>
      <c r="D7" s="13" t="s">
        <v>2076</v>
      </c>
      <c r="E7" s="13" t="s">
        <v>2077</v>
      </c>
      <c r="F7" s="13" t="s">
        <v>97</v>
      </c>
      <c r="G7" s="4">
        <v>1.0780789E7</v>
      </c>
      <c r="H7" s="4" t="s">
        <v>694</v>
      </c>
      <c r="I7" s="4"/>
      <c r="J7" s="4"/>
      <c r="K7" s="4" t="s">
        <v>2680</v>
      </c>
      <c r="L7" s="15" t="str">
        <f t="shared" ref="L7:L456" si="1">IF(G7="","aguardando",IF(TRIM(G7&amp;"")=TRIM(A7&amp;""),"ok","PMID DIFERENTE"))</f>
        <v>ok</v>
      </c>
    </row>
    <row r="8" ht="60.0" customHeight="1">
      <c r="A8" s="13" t="s">
        <v>1013</v>
      </c>
      <c r="B8" s="13">
        <v>1.0</v>
      </c>
      <c r="C8" s="13" t="s">
        <v>2202</v>
      </c>
      <c r="D8" s="13" t="s">
        <v>1015</v>
      </c>
      <c r="E8" s="13" t="s">
        <v>1016</v>
      </c>
      <c r="F8" s="13" t="s">
        <v>97</v>
      </c>
      <c r="G8" s="4">
        <v>1.0910553E7</v>
      </c>
      <c r="H8" s="4" t="s">
        <v>906</v>
      </c>
      <c r="I8" s="4"/>
      <c r="J8" s="4" t="s">
        <v>1522</v>
      </c>
      <c r="K8" s="4" t="s">
        <v>2681</v>
      </c>
      <c r="L8" s="15" t="str">
        <f t="shared" si="1"/>
        <v>ok</v>
      </c>
    </row>
    <row r="9" ht="60.0" customHeight="1">
      <c r="A9" s="13" t="s">
        <v>1508</v>
      </c>
      <c r="B9" s="13">
        <v>1.0</v>
      </c>
      <c r="C9" s="13" t="s">
        <v>2202</v>
      </c>
      <c r="D9" s="13" t="s">
        <v>1510</v>
      </c>
      <c r="E9" s="13" t="s">
        <v>1511</v>
      </c>
      <c r="F9" s="13" t="s">
        <v>368</v>
      </c>
      <c r="G9" s="4">
        <v>1.1026581E7</v>
      </c>
      <c r="H9" s="4" t="s">
        <v>906</v>
      </c>
      <c r="I9" s="4"/>
      <c r="J9" s="4" t="s">
        <v>1023</v>
      </c>
      <c r="K9" s="4" t="s">
        <v>2682</v>
      </c>
      <c r="L9" s="15" t="str">
        <f t="shared" si="1"/>
        <v>ok</v>
      </c>
    </row>
    <row r="10" ht="60.0" customHeight="1">
      <c r="A10" s="13" t="s">
        <v>1513</v>
      </c>
      <c r="B10" s="13">
        <v>1.0</v>
      </c>
      <c r="C10" s="13" t="s">
        <v>2202</v>
      </c>
      <c r="D10" s="13" t="s">
        <v>1515</v>
      </c>
      <c r="E10" s="13" t="s">
        <v>1516</v>
      </c>
      <c r="F10" s="13" t="s">
        <v>368</v>
      </c>
      <c r="G10" s="4">
        <v>1.102858E7</v>
      </c>
      <c r="H10" s="4" t="s">
        <v>906</v>
      </c>
      <c r="I10" s="4"/>
      <c r="J10" s="4" t="s">
        <v>1023</v>
      </c>
      <c r="K10" s="4" t="s">
        <v>2683</v>
      </c>
      <c r="L10" s="15" t="str">
        <f t="shared" si="1"/>
        <v>ok</v>
      </c>
    </row>
    <row r="11" ht="60.0" customHeight="1">
      <c r="A11" s="13" t="s">
        <v>1890</v>
      </c>
      <c r="B11" s="13">
        <v>1.0</v>
      </c>
      <c r="C11" s="13" t="s">
        <v>2202</v>
      </c>
      <c r="D11" s="13" t="s">
        <v>1892</v>
      </c>
      <c r="E11" s="13" t="s">
        <v>1893</v>
      </c>
      <c r="F11" s="13" t="s">
        <v>97</v>
      </c>
      <c r="G11" s="4">
        <v>1.1076432E7</v>
      </c>
      <c r="H11" s="4" t="s">
        <v>906</v>
      </c>
      <c r="I11" s="4"/>
      <c r="J11" s="4" t="s">
        <v>1522</v>
      </c>
      <c r="K11" s="4" t="s">
        <v>2684</v>
      </c>
      <c r="L11" s="15" t="str">
        <f t="shared" si="1"/>
        <v>ok</v>
      </c>
    </row>
    <row r="12" ht="60.0" customHeight="1">
      <c r="A12" s="13" t="s">
        <v>2070</v>
      </c>
      <c r="B12" s="13">
        <v>1.0</v>
      </c>
      <c r="C12" s="13" t="s">
        <v>2208</v>
      </c>
      <c r="D12" s="13" t="s">
        <v>2072</v>
      </c>
      <c r="E12" s="13" t="s">
        <v>2073</v>
      </c>
      <c r="F12" s="13" t="s">
        <v>97</v>
      </c>
      <c r="G12" s="4">
        <v>1.1313773E7</v>
      </c>
      <c r="H12" s="4" t="s">
        <v>694</v>
      </c>
      <c r="I12" s="4"/>
      <c r="J12" s="4"/>
      <c r="K12" s="4" t="s">
        <v>2685</v>
      </c>
      <c r="L12" s="15" t="str">
        <f t="shared" si="1"/>
        <v>ok</v>
      </c>
    </row>
    <row r="13" ht="60.0" customHeight="1">
      <c r="A13" s="13" t="s">
        <v>1879</v>
      </c>
      <c r="B13" s="13">
        <v>1.0</v>
      </c>
      <c r="C13" s="13" t="s">
        <v>2208</v>
      </c>
      <c r="D13" s="13" t="s">
        <v>1881</v>
      </c>
      <c r="E13" s="13" t="s">
        <v>1882</v>
      </c>
      <c r="F13" s="13" t="s">
        <v>368</v>
      </c>
      <c r="G13" s="4">
        <v>1.1316935E7</v>
      </c>
      <c r="H13" s="4" t="s">
        <v>906</v>
      </c>
      <c r="I13" s="4"/>
      <c r="J13" s="4" t="s">
        <v>1522</v>
      </c>
      <c r="K13" s="4" t="s">
        <v>2686</v>
      </c>
      <c r="L13" s="15" t="str">
        <f t="shared" si="1"/>
        <v>ok</v>
      </c>
    </row>
    <row r="14" ht="60.0" customHeight="1">
      <c r="A14" s="13" t="s">
        <v>1490</v>
      </c>
      <c r="B14" s="13">
        <v>1.0</v>
      </c>
      <c r="C14" s="13" t="s">
        <v>2208</v>
      </c>
      <c r="D14" s="13" t="s">
        <v>1492</v>
      </c>
      <c r="E14" s="13" t="s">
        <v>1493</v>
      </c>
      <c r="F14" s="13" t="s">
        <v>368</v>
      </c>
      <c r="G14" s="4">
        <v>1.1432311E7</v>
      </c>
      <c r="H14" s="4" t="s">
        <v>906</v>
      </c>
      <c r="I14" s="4"/>
      <c r="J14" s="4" t="s">
        <v>1023</v>
      </c>
      <c r="K14" s="4" t="s">
        <v>2687</v>
      </c>
      <c r="L14" s="15" t="str">
        <f t="shared" si="1"/>
        <v>ok</v>
      </c>
    </row>
    <row r="15" ht="60.0" customHeight="1">
      <c r="A15" s="13" t="s">
        <v>1495</v>
      </c>
      <c r="B15" s="13">
        <v>1.0</v>
      </c>
      <c r="C15" s="13" t="s">
        <v>2208</v>
      </c>
      <c r="D15" s="13" t="s">
        <v>1497</v>
      </c>
      <c r="E15" s="13" t="s">
        <v>1498</v>
      </c>
      <c r="F15" s="13" t="s">
        <v>368</v>
      </c>
      <c r="G15" s="4">
        <v>1.149429E7</v>
      </c>
      <c r="H15" s="4" t="s">
        <v>906</v>
      </c>
      <c r="I15" s="4"/>
      <c r="J15" s="4" t="s">
        <v>2144</v>
      </c>
      <c r="K15" s="4" t="s">
        <v>2688</v>
      </c>
      <c r="L15" s="15" t="str">
        <f t="shared" si="1"/>
        <v>ok</v>
      </c>
    </row>
    <row r="16" ht="60.0" customHeight="1">
      <c r="A16" s="13" t="s">
        <v>1499</v>
      </c>
      <c r="B16" s="13">
        <v>1.0</v>
      </c>
      <c r="C16" s="13" t="s">
        <v>2208</v>
      </c>
      <c r="D16" s="13" t="s">
        <v>1501</v>
      </c>
      <c r="E16" s="13" t="s">
        <v>1502</v>
      </c>
      <c r="F16" s="13" t="s">
        <v>368</v>
      </c>
      <c r="G16" s="4">
        <v>1.1518881E7</v>
      </c>
      <c r="H16" s="4" t="s">
        <v>906</v>
      </c>
      <c r="I16" s="4"/>
      <c r="J16" s="4" t="s">
        <v>1023</v>
      </c>
      <c r="K16" s="4" t="s">
        <v>2689</v>
      </c>
      <c r="L16" s="15" t="str">
        <f t="shared" si="1"/>
        <v>ok</v>
      </c>
    </row>
    <row r="17" ht="60.0" customHeight="1">
      <c r="A17" s="13" t="s">
        <v>1883</v>
      </c>
      <c r="B17" s="13">
        <v>1.0</v>
      </c>
      <c r="C17" s="13" t="s">
        <v>2208</v>
      </c>
      <c r="D17" s="13" t="s">
        <v>1885</v>
      </c>
      <c r="E17" s="13" t="s">
        <v>1886</v>
      </c>
      <c r="F17" s="13" t="s">
        <v>97</v>
      </c>
      <c r="G17" s="4">
        <v>1.1528619E7</v>
      </c>
      <c r="H17" s="4" t="s">
        <v>906</v>
      </c>
      <c r="I17" s="4"/>
      <c r="J17" s="4" t="s">
        <v>1522</v>
      </c>
      <c r="K17" s="4" t="s">
        <v>2690</v>
      </c>
      <c r="L17" s="15" t="str">
        <f t="shared" si="1"/>
        <v>ok</v>
      </c>
    </row>
    <row r="18" ht="60.0" customHeight="1">
      <c r="A18" s="13" t="s">
        <v>1887</v>
      </c>
      <c r="B18" s="13">
        <v>1.0</v>
      </c>
      <c r="C18" s="13" t="s">
        <v>2208</v>
      </c>
      <c r="D18" s="13" t="s">
        <v>1888</v>
      </c>
      <c r="E18" s="13" t="s">
        <v>1889</v>
      </c>
      <c r="F18" s="13" t="s">
        <v>368</v>
      </c>
      <c r="G18" s="4">
        <v>1.1733855E7</v>
      </c>
      <c r="H18" s="4" t="s">
        <v>906</v>
      </c>
      <c r="I18" s="4"/>
      <c r="J18" s="4" t="s">
        <v>1522</v>
      </c>
      <c r="K18" s="4" t="s">
        <v>2691</v>
      </c>
      <c r="L18" s="15" t="str">
        <f t="shared" si="1"/>
        <v>ok</v>
      </c>
    </row>
    <row r="19" ht="60.0" customHeight="1">
      <c r="A19" s="13" t="s">
        <v>685</v>
      </c>
      <c r="B19" s="13">
        <v>1.0</v>
      </c>
      <c r="C19" s="13" t="s">
        <v>2208</v>
      </c>
      <c r="D19" s="13" t="s">
        <v>687</v>
      </c>
      <c r="E19" s="13" t="s">
        <v>688</v>
      </c>
      <c r="F19" s="13" t="s">
        <v>97</v>
      </c>
      <c r="G19" s="4">
        <v>1.1745833E7</v>
      </c>
      <c r="H19" s="4" t="s">
        <v>98</v>
      </c>
      <c r="I19" s="4" t="s">
        <v>97</v>
      </c>
      <c r="J19" s="4"/>
      <c r="K19" s="4" t="s">
        <v>2692</v>
      </c>
      <c r="L19" s="15" t="str">
        <f t="shared" si="1"/>
        <v>ok</v>
      </c>
    </row>
    <row r="20" ht="60.0" customHeight="1">
      <c r="A20" s="13" t="s">
        <v>1503</v>
      </c>
      <c r="B20" s="13">
        <v>1.0</v>
      </c>
      <c r="C20" s="13" t="s">
        <v>2208</v>
      </c>
      <c r="D20" s="13" t="s">
        <v>1505</v>
      </c>
      <c r="E20" s="13" t="s">
        <v>1506</v>
      </c>
      <c r="F20" s="13" t="s">
        <v>368</v>
      </c>
      <c r="G20" s="4">
        <v>1.1755107E7</v>
      </c>
      <c r="H20" s="4" t="s">
        <v>906</v>
      </c>
      <c r="I20" s="4"/>
      <c r="J20" s="4" t="s">
        <v>1023</v>
      </c>
      <c r="K20" s="4" t="s">
        <v>2693</v>
      </c>
      <c r="L20" s="15" t="str">
        <f t="shared" si="1"/>
        <v>ok</v>
      </c>
    </row>
    <row r="21" ht="60.0" customHeight="1">
      <c r="A21" s="13" t="s">
        <v>2135</v>
      </c>
      <c r="B21" s="13">
        <v>1.0</v>
      </c>
      <c r="C21" s="13" t="s">
        <v>2208</v>
      </c>
      <c r="D21" s="13" t="s">
        <v>2137</v>
      </c>
      <c r="E21" s="13" t="s">
        <v>2138</v>
      </c>
      <c r="F21" s="13" t="s">
        <v>368</v>
      </c>
      <c r="G21" s="4">
        <v>1.1845666E7</v>
      </c>
      <c r="H21" s="4" t="s">
        <v>98</v>
      </c>
      <c r="I21" s="4" t="s">
        <v>368</v>
      </c>
      <c r="J21" s="4"/>
      <c r="K21" s="4" t="s">
        <v>2694</v>
      </c>
      <c r="L21" s="15" t="str">
        <f t="shared" si="1"/>
        <v>ok</v>
      </c>
    </row>
    <row r="22" ht="60.0" customHeight="1">
      <c r="A22" s="13" t="s">
        <v>1871</v>
      </c>
      <c r="B22" s="13">
        <v>1.0</v>
      </c>
      <c r="C22" s="13" t="s">
        <v>2219</v>
      </c>
      <c r="D22" s="13" t="s">
        <v>1873</v>
      </c>
      <c r="E22" s="13" t="s">
        <v>1874</v>
      </c>
      <c r="F22" s="13" t="s">
        <v>97</v>
      </c>
      <c r="G22" s="4">
        <v>1.1922436E7</v>
      </c>
      <c r="H22" s="4" t="s">
        <v>906</v>
      </c>
      <c r="I22" s="4"/>
      <c r="J22" s="4" t="s">
        <v>1522</v>
      </c>
      <c r="K22" s="4" t="s">
        <v>2695</v>
      </c>
      <c r="L22" s="15" t="str">
        <f t="shared" si="1"/>
        <v>ok</v>
      </c>
    </row>
    <row r="23" ht="60.0" customHeight="1">
      <c r="A23" s="13" t="s">
        <v>2066</v>
      </c>
      <c r="B23" s="13">
        <v>1.0</v>
      </c>
      <c r="C23" s="13" t="s">
        <v>2219</v>
      </c>
      <c r="D23" s="13" t="s">
        <v>2068</v>
      </c>
      <c r="E23" s="13" t="s">
        <v>2069</v>
      </c>
      <c r="F23" s="13" t="s">
        <v>368</v>
      </c>
      <c r="G23" s="4">
        <v>1.2116301E7</v>
      </c>
      <c r="H23" s="4" t="s">
        <v>906</v>
      </c>
      <c r="I23" s="4"/>
      <c r="J23" s="4" t="s">
        <v>1522</v>
      </c>
      <c r="K23" s="4" t="s">
        <v>2696</v>
      </c>
      <c r="L23" s="15" t="str">
        <f t="shared" si="1"/>
        <v>ok</v>
      </c>
    </row>
    <row r="24" ht="60.0" customHeight="1">
      <c r="A24" s="13" t="s">
        <v>1485</v>
      </c>
      <c r="B24" s="13">
        <v>1.0</v>
      </c>
      <c r="C24" s="13" t="s">
        <v>2219</v>
      </c>
      <c r="D24" s="13" t="s">
        <v>1487</v>
      </c>
      <c r="E24" s="13" t="s">
        <v>1488</v>
      </c>
      <c r="F24" s="13" t="s">
        <v>368</v>
      </c>
      <c r="G24" s="4">
        <v>1.2135803E7</v>
      </c>
      <c r="H24" s="4" t="s">
        <v>906</v>
      </c>
      <c r="I24" s="4"/>
      <c r="J24" s="4" t="s">
        <v>1023</v>
      </c>
      <c r="K24" s="4" t="s">
        <v>2697</v>
      </c>
      <c r="L24" s="15" t="str">
        <f t="shared" si="1"/>
        <v>ok</v>
      </c>
    </row>
    <row r="25" ht="60.0" customHeight="1">
      <c r="A25" s="13" t="s">
        <v>680</v>
      </c>
      <c r="B25" s="13">
        <v>1.0</v>
      </c>
      <c r="C25" s="13" t="s">
        <v>2219</v>
      </c>
      <c r="D25" s="13" t="s">
        <v>682</v>
      </c>
      <c r="E25" s="13" t="s">
        <v>683</v>
      </c>
      <c r="F25" s="13" t="s">
        <v>126</v>
      </c>
      <c r="G25" s="4">
        <v>1.2423486E7</v>
      </c>
      <c r="H25" s="4" t="s">
        <v>98</v>
      </c>
      <c r="I25" s="4" t="s">
        <v>368</v>
      </c>
      <c r="J25" s="4"/>
      <c r="K25" s="4" t="s">
        <v>2698</v>
      </c>
      <c r="L25" s="15" t="str">
        <f t="shared" si="1"/>
        <v>ok</v>
      </c>
    </row>
    <row r="26" ht="60.0" customHeight="1">
      <c r="A26" s="13" t="s">
        <v>1875</v>
      </c>
      <c r="B26" s="13">
        <v>1.0</v>
      </c>
      <c r="C26" s="13" t="s">
        <v>2219</v>
      </c>
      <c r="D26" s="13" t="s">
        <v>1877</v>
      </c>
      <c r="E26" s="13" t="s">
        <v>1878</v>
      </c>
      <c r="F26" s="13" t="s">
        <v>368</v>
      </c>
      <c r="G26" s="4">
        <v>1.2501073E7</v>
      </c>
      <c r="H26" s="4" t="s">
        <v>906</v>
      </c>
      <c r="I26" s="4"/>
      <c r="J26" s="4" t="s">
        <v>1522</v>
      </c>
      <c r="K26" s="4" t="s">
        <v>2699</v>
      </c>
      <c r="L26" s="15" t="str">
        <f t="shared" si="1"/>
        <v>ok</v>
      </c>
    </row>
    <row r="27" ht="60.0" customHeight="1">
      <c r="A27" s="13" t="s">
        <v>670</v>
      </c>
      <c r="B27" s="13">
        <v>1.0</v>
      </c>
      <c r="C27" s="13" t="s">
        <v>2225</v>
      </c>
      <c r="D27" s="13" t="s">
        <v>672</v>
      </c>
      <c r="E27" s="13" t="s">
        <v>673</v>
      </c>
      <c r="F27" s="13" t="s">
        <v>97</v>
      </c>
      <c r="G27" s="4">
        <v>1.2671111E7</v>
      </c>
      <c r="H27" s="4" t="s">
        <v>98</v>
      </c>
      <c r="I27" s="4" t="s">
        <v>97</v>
      </c>
      <c r="J27" s="4"/>
      <c r="K27" s="4" t="s">
        <v>2700</v>
      </c>
      <c r="L27" s="15" t="str">
        <f t="shared" si="1"/>
        <v>ok</v>
      </c>
    </row>
    <row r="28" ht="60.0" customHeight="1">
      <c r="A28" s="13" t="s">
        <v>1867</v>
      </c>
      <c r="B28" s="13">
        <v>1.0</v>
      </c>
      <c r="C28" s="13" t="s">
        <v>2225</v>
      </c>
      <c r="D28" s="13" t="s">
        <v>1869</v>
      </c>
      <c r="E28" s="13" t="s">
        <v>1870</v>
      </c>
      <c r="F28" s="13" t="s">
        <v>97</v>
      </c>
      <c r="G28" s="4">
        <v>1.2747226E7</v>
      </c>
      <c r="H28" s="4" t="s">
        <v>906</v>
      </c>
      <c r="I28" s="4"/>
      <c r="J28" s="4" t="s">
        <v>1522</v>
      </c>
      <c r="K28" s="4" t="s">
        <v>2701</v>
      </c>
      <c r="L28" s="15" t="str">
        <f t="shared" si="1"/>
        <v>ok</v>
      </c>
    </row>
    <row r="29" ht="60.0" customHeight="1">
      <c r="A29" s="13" t="s">
        <v>674</v>
      </c>
      <c r="B29" s="13">
        <v>1.0</v>
      </c>
      <c r="C29" s="13" t="s">
        <v>2225</v>
      </c>
      <c r="D29" s="13" t="s">
        <v>676</v>
      </c>
      <c r="E29" s="13" t="s">
        <v>677</v>
      </c>
      <c r="F29" s="13" t="s">
        <v>97</v>
      </c>
      <c r="G29" s="4">
        <v>1.2784299E7</v>
      </c>
      <c r="H29" s="4" t="s">
        <v>98</v>
      </c>
      <c r="I29" s="4" t="s">
        <v>97</v>
      </c>
      <c r="J29" s="4"/>
      <c r="K29" s="4" t="s">
        <v>2702</v>
      </c>
      <c r="L29" s="15" t="str">
        <f t="shared" si="1"/>
        <v>ok</v>
      </c>
    </row>
    <row r="30" ht="60.0" customHeight="1">
      <c r="A30" s="13" t="s">
        <v>1008</v>
      </c>
      <c r="B30" s="13">
        <v>1.0</v>
      </c>
      <c r="C30" s="13" t="s">
        <v>2225</v>
      </c>
      <c r="D30" s="13" t="s">
        <v>1010</v>
      </c>
      <c r="E30" s="13" t="s">
        <v>1011</v>
      </c>
      <c r="F30" s="13" t="s">
        <v>97</v>
      </c>
      <c r="G30" s="4">
        <v>1.2831601E7</v>
      </c>
      <c r="H30" s="4" t="s">
        <v>906</v>
      </c>
      <c r="I30" s="4"/>
      <c r="J30" s="4" t="s">
        <v>1522</v>
      </c>
      <c r="K30" s="4" t="s">
        <v>2703</v>
      </c>
      <c r="L30" s="15" t="str">
        <f t="shared" si="1"/>
        <v>ok</v>
      </c>
    </row>
    <row r="31" ht="60.0" customHeight="1">
      <c r="A31" s="13" t="s">
        <v>1481</v>
      </c>
      <c r="B31" s="13">
        <v>1.0</v>
      </c>
      <c r="C31" s="13" t="s">
        <v>2225</v>
      </c>
      <c r="D31" s="13" t="s">
        <v>1483</v>
      </c>
      <c r="E31" s="13" t="s">
        <v>1484</v>
      </c>
      <c r="F31" s="13" t="s">
        <v>368</v>
      </c>
      <c r="G31" s="4">
        <v>1.4691994E7</v>
      </c>
      <c r="H31" s="4" t="s">
        <v>906</v>
      </c>
      <c r="I31" s="4"/>
      <c r="J31" s="4" t="s">
        <v>1023</v>
      </c>
      <c r="K31" s="4" t="s">
        <v>2704</v>
      </c>
      <c r="L31" s="15" t="str">
        <f t="shared" si="1"/>
        <v>ok</v>
      </c>
    </row>
    <row r="32" ht="60.0" customHeight="1">
      <c r="A32" s="13" t="s">
        <v>998</v>
      </c>
      <c r="B32" s="13">
        <v>1.0</v>
      </c>
      <c r="C32" s="13" t="s">
        <v>2231</v>
      </c>
      <c r="D32" s="13" t="s">
        <v>1000</v>
      </c>
      <c r="E32" s="13" t="s">
        <v>1001</v>
      </c>
      <c r="F32" s="13" t="s">
        <v>97</v>
      </c>
      <c r="G32" s="4">
        <v>1.4713414E7</v>
      </c>
      <c r="H32" s="4" t="s">
        <v>906</v>
      </c>
      <c r="I32" s="4"/>
      <c r="J32" s="4" t="s">
        <v>907</v>
      </c>
      <c r="K32" s="4" t="s">
        <v>2705</v>
      </c>
      <c r="L32" s="15" t="str">
        <f t="shared" si="1"/>
        <v>ok</v>
      </c>
    </row>
    <row r="33" ht="60.0" customHeight="1">
      <c r="A33" s="13" t="s">
        <v>1003</v>
      </c>
      <c r="B33" s="13">
        <v>1.0</v>
      </c>
      <c r="C33" s="13" t="s">
        <v>2231</v>
      </c>
      <c r="D33" s="13" t="s">
        <v>1005</v>
      </c>
      <c r="E33" s="13" t="s">
        <v>1006</v>
      </c>
      <c r="F33" s="13" t="s">
        <v>97</v>
      </c>
      <c r="G33" s="4">
        <v>1.5047736E7</v>
      </c>
      <c r="H33" s="4" t="s">
        <v>906</v>
      </c>
      <c r="I33" s="4"/>
      <c r="J33" s="4" t="s">
        <v>907</v>
      </c>
      <c r="K33" s="4" t="s">
        <v>2706</v>
      </c>
      <c r="L33" s="15" t="str">
        <f t="shared" si="1"/>
        <v>ok</v>
      </c>
    </row>
    <row r="34" ht="60.0" customHeight="1">
      <c r="A34" s="13" t="s">
        <v>2062</v>
      </c>
      <c r="B34" s="13">
        <v>1.0</v>
      </c>
      <c r="C34" s="13" t="s">
        <v>2231</v>
      </c>
      <c r="D34" s="13" t="s">
        <v>2064</v>
      </c>
      <c r="E34" s="13" t="s">
        <v>2065</v>
      </c>
      <c r="F34" s="13" t="s">
        <v>368</v>
      </c>
      <c r="G34" s="4">
        <v>1.5150771E7</v>
      </c>
      <c r="H34" s="4" t="s">
        <v>906</v>
      </c>
      <c r="I34" s="4"/>
      <c r="J34" s="4" t="s">
        <v>2187</v>
      </c>
      <c r="K34" s="4" t="s">
        <v>2707</v>
      </c>
      <c r="L34" s="15" t="str">
        <f t="shared" si="1"/>
        <v>ok</v>
      </c>
    </row>
    <row r="35" ht="60.0" customHeight="1">
      <c r="A35" s="13" t="s">
        <v>1842</v>
      </c>
      <c r="B35" s="13">
        <v>1.0</v>
      </c>
      <c r="C35" s="13" t="s">
        <v>2235</v>
      </c>
      <c r="D35" s="13" t="s">
        <v>1844</v>
      </c>
      <c r="E35" s="13" t="s">
        <v>1845</v>
      </c>
      <c r="F35" s="13" t="s">
        <v>368</v>
      </c>
      <c r="G35" s="4">
        <v>1.5596271E7</v>
      </c>
      <c r="H35" s="4" t="s">
        <v>906</v>
      </c>
      <c r="I35" s="4"/>
      <c r="J35" s="4" t="s">
        <v>1522</v>
      </c>
      <c r="K35" s="4" t="s">
        <v>2708</v>
      </c>
      <c r="L35" s="15" t="str">
        <f t="shared" si="1"/>
        <v>ok</v>
      </c>
    </row>
    <row r="36" ht="60.0" customHeight="1">
      <c r="A36" s="13" t="s">
        <v>1846</v>
      </c>
      <c r="B36" s="13">
        <v>1.0</v>
      </c>
      <c r="C36" s="13" t="s">
        <v>2235</v>
      </c>
      <c r="D36" s="13" t="s">
        <v>1848</v>
      </c>
      <c r="E36" s="13" t="s">
        <v>1849</v>
      </c>
      <c r="F36" s="13" t="s">
        <v>368</v>
      </c>
      <c r="G36" s="4">
        <v>1.5662669E7</v>
      </c>
      <c r="H36" s="4" t="s">
        <v>906</v>
      </c>
      <c r="I36" s="4"/>
      <c r="J36" s="4" t="s">
        <v>1522</v>
      </c>
      <c r="K36" s="4" t="s">
        <v>2709</v>
      </c>
      <c r="L36" s="15" t="str">
        <f t="shared" si="1"/>
        <v>ok</v>
      </c>
    </row>
    <row r="37" ht="60.0" customHeight="1">
      <c r="A37" s="13" t="s">
        <v>666</v>
      </c>
      <c r="B37" s="13">
        <v>1.0</v>
      </c>
      <c r="C37" s="13" t="s">
        <v>2235</v>
      </c>
      <c r="D37" s="13" t="s">
        <v>668</v>
      </c>
      <c r="E37" s="13" t="s">
        <v>669</v>
      </c>
      <c r="F37" s="13" t="s">
        <v>368</v>
      </c>
      <c r="G37" s="4">
        <v>1.6032775E7</v>
      </c>
      <c r="H37" s="4" t="s">
        <v>98</v>
      </c>
      <c r="I37" s="4" t="s">
        <v>368</v>
      </c>
      <c r="J37" s="4"/>
      <c r="K37" s="4" t="s">
        <v>2710</v>
      </c>
      <c r="L37" s="15" t="str">
        <f t="shared" si="1"/>
        <v>ok</v>
      </c>
    </row>
    <row r="38" ht="60.0" customHeight="1">
      <c r="A38" s="13" t="s">
        <v>1850</v>
      </c>
      <c r="B38" s="13">
        <v>1.0</v>
      </c>
      <c r="C38" s="13" t="s">
        <v>2235</v>
      </c>
      <c r="D38" s="13" t="s">
        <v>1852</v>
      </c>
      <c r="E38" s="13" t="s">
        <v>1853</v>
      </c>
      <c r="F38" s="13" t="s">
        <v>126</v>
      </c>
      <c r="G38" s="4">
        <v>1.6055577E7</v>
      </c>
      <c r="H38" s="4" t="s">
        <v>906</v>
      </c>
      <c r="I38" s="4"/>
      <c r="J38" s="4" t="s">
        <v>1522</v>
      </c>
      <c r="K38" s="4" t="s">
        <v>2711</v>
      </c>
      <c r="L38" s="15" t="str">
        <f t="shared" si="1"/>
        <v>ok</v>
      </c>
    </row>
    <row r="39" ht="60.0" customHeight="1">
      <c r="A39" s="13" t="s">
        <v>1855</v>
      </c>
      <c r="B39" s="13">
        <v>1.0</v>
      </c>
      <c r="C39" s="13" t="s">
        <v>2235</v>
      </c>
      <c r="D39" s="13" t="s">
        <v>1857</v>
      </c>
      <c r="E39" s="13" t="s">
        <v>1858</v>
      </c>
      <c r="F39" s="13" t="s">
        <v>368</v>
      </c>
      <c r="G39" s="4">
        <v>1.6123179E7</v>
      </c>
      <c r="H39" s="4" t="s">
        <v>906</v>
      </c>
      <c r="I39" s="4"/>
      <c r="J39" s="4" t="s">
        <v>1522</v>
      </c>
      <c r="K39" s="4" t="s">
        <v>2712</v>
      </c>
      <c r="L39" s="15" t="str">
        <f t="shared" si="1"/>
        <v>ok</v>
      </c>
    </row>
    <row r="40" ht="60.0" customHeight="1">
      <c r="A40" s="13" t="s">
        <v>1859</v>
      </c>
      <c r="B40" s="13">
        <v>1.0</v>
      </c>
      <c r="C40" s="13" t="s">
        <v>2235</v>
      </c>
      <c r="D40" s="13" t="s">
        <v>1861</v>
      </c>
      <c r="E40" s="13" t="s">
        <v>1862</v>
      </c>
      <c r="F40" s="13" t="s">
        <v>368</v>
      </c>
      <c r="G40" s="4">
        <v>1.6145648E7</v>
      </c>
      <c r="H40" s="4" t="s">
        <v>906</v>
      </c>
      <c r="I40" s="4"/>
      <c r="J40" s="4" t="s">
        <v>1522</v>
      </c>
      <c r="K40" s="4" t="s">
        <v>2713</v>
      </c>
      <c r="L40" s="15" t="str">
        <f t="shared" si="1"/>
        <v>ok</v>
      </c>
    </row>
    <row r="41" ht="60.0" customHeight="1">
      <c r="A41" s="13" t="s">
        <v>1863</v>
      </c>
      <c r="B41" s="13">
        <v>1.0</v>
      </c>
      <c r="C41" s="13" t="s">
        <v>2235</v>
      </c>
      <c r="D41" s="13" t="s">
        <v>1865</v>
      </c>
      <c r="E41" s="13" t="s">
        <v>1866</v>
      </c>
      <c r="F41" s="13" t="s">
        <v>126</v>
      </c>
      <c r="G41" s="4">
        <v>1.6184512E7</v>
      </c>
      <c r="H41" s="4" t="s">
        <v>906</v>
      </c>
      <c r="I41" s="4"/>
      <c r="J41" s="4" t="s">
        <v>1522</v>
      </c>
      <c r="K41" s="4" t="s">
        <v>2714</v>
      </c>
      <c r="L41" s="15" t="str">
        <f t="shared" si="1"/>
        <v>ok</v>
      </c>
    </row>
    <row r="42" ht="60.0" customHeight="1">
      <c r="A42" s="13" t="s">
        <v>1476</v>
      </c>
      <c r="B42" s="13">
        <v>1.0</v>
      </c>
      <c r="C42" s="13" t="s">
        <v>2235</v>
      </c>
      <c r="D42" s="13" t="s">
        <v>1478</v>
      </c>
      <c r="E42" s="13" t="s">
        <v>1479</v>
      </c>
      <c r="F42" s="13" t="s">
        <v>368</v>
      </c>
      <c r="G42" s="4">
        <v>1.6238533E7</v>
      </c>
      <c r="H42" s="4" t="s">
        <v>906</v>
      </c>
      <c r="I42" s="4"/>
      <c r="J42" s="4" t="s">
        <v>1023</v>
      </c>
      <c r="K42" s="4" t="s">
        <v>2715</v>
      </c>
      <c r="L42" s="15" t="str">
        <f t="shared" si="1"/>
        <v>ok</v>
      </c>
    </row>
    <row r="43" ht="60.0" customHeight="1">
      <c r="A43" s="13" t="s">
        <v>646</v>
      </c>
      <c r="B43" s="13">
        <v>1.0</v>
      </c>
      <c r="C43" s="13" t="s">
        <v>2244</v>
      </c>
      <c r="D43" s="13" t="s">
        <v>648</v>
      </c>
      <c r="E43" s="13" t="s">
        <v>649</v>
      </c>
      <c r="F43" s="13" t="s">
        <v>126</v>
      </c>
      <c r="G43" s="4">
        <v>1.6528741E7</v>
      </c>
      <c r="H43" s="4" t="s">
        <v>98</v>
      </c>
      <c r="I43" s="4" t="s">
        <v>126</v>
      </c>
      <c r="J43" s="4"/>
      <c r="K43" s="4" t="s">
        <v>2716</v>
      </c>
      <c r="L43" s="15" t="str">
        <f t="shared" si="1"/>
        <v>ok</v>
      </c>
    </row>
    <row r="44" ht="60.0" customHeight="1">
      <c r="A44" s="13" t="s">
        <v>650</v>
      </c>
      <c r="B44" s="13">
        <v>1.0</v>
      </c>
      <c r="C44" s="13" t="s">
        <v>2244</v>
      </c>
      <c r="D44" s="13" t="s">
        <v>652</v>
      </c>
      <c r="E44" s="13" t="s">
        <v>653</v>
      </c>
      <c r="F44" s="13" t="s">
        <v>126</v>
      </c>
      <c r="G44" s="4">
        <v>1.6528742E7</v>
      </c>
      <c r="H44" s="4" t="s">
        <v>98</v>
      </c>
      <c r="I44" s="4" t="s">
        <v>97</v>
      </c>
      <c r="J44" s="4"/>
      <c r="K44" s="4" t="s">
        <v>2717</v>
      </c>
      <c r="L44" s="15" t="str">
        <f t="shared" si="1"/>
        <v>ok</v>
      </c>
    </row>
    <row r="45" ht="60.0" customHeight="1">
      <c r="A45" s="13" t="s">
        <v>654</v>
      </c>
      <c r="B45" s="13">
        <v>1.0</v>
      </c>
      <c r="C45" s="13" t="s">
        <v>2244</v>
      </c>
      <c r="D45" s="13" t="s">
        <v>655</v>
      </c>
      <c r="E45" s="13" t="s">
        <v>656</v>
      </c>
      <c r="F45" s="13" t="s">
        <v>126</v>
      </c>
      <c r="G45" s="4">
        <v>1.6528744E7</v>
      </c>
      <c r="H45" s="4" t="s">
        <v>98</v>
      </c>
      <c r="I45" s="4" t="s">
        <v>97</v>
      </c>
      <c r="J45" s="4"/>
      <c r="K45" s="4" t="s">
        <v>2718</v>
      </c>
      <c r="L45" s="15" t="str">
        <f t="shared" si="1"/>
        <v>ok</v>
      </c>
    </row>
    <row r="46" ht="60.0" customHeight="1">
      <c r="A46" s="13" t="s">
        <v>1473</v>
      </c>
      <c r="B46" s="13">
        <v>1.0</v>
      </c>
      <c r="C46" s="13" t="s">
        <v>2244</v>
      </c>
      <c r="D46" s="13" t="s">
        <v>1474</v>
      </c>
      <c r="E46" s="13" t="s">
        <v>1475</v>
      </c>
      <c r="F46" s="13" t="s">
        <v>368</v>
      </c>
      <c r="G46" s="4">
        <v>1.6569299E7</v>
      </c>
      <c r="H46" s="4" t="s">
        <v>906</v>
      </c>
      <c r="I46" s="4"/>
      <c r="J46" s="4" t="s">
        <v>1023</v>
      </c>
      <c r="K46" s="4" t="s">
        <v>2719</v>
      </c>
      <c r="L46" s="15" t="str">
        <f t="shared" si="1"/>
        <v>ok</v>
      </c>
    </row>
    <row r="47" ht="60.0" customHeight="1">
      <c r="A47" s="13" t="s">
        <v>657</v>
      </c>
      <c r="B47" s="13">
        <v>1.0</v>
      </c>
      <c r="C47" s="13" t="s">
        <v>2244</v>
      </c>
      <c r="D47" s="13" t="s">
        <v>659</v>
      </c>
      <c r="E47" s="13" t="s">
        <v>660</v>
      </c>
      <c r="F47" s="13" t="s">
        <v>126</v>
      </c>
      <c r="G47" s="4">
        <v>1.665236E7</v>
      </c>
      <c r="H47" s="4" t="s">
        <v>98</v>
      </c>
      <c r="I47" s="4" t="s">
        <v>368</v>
      </c>
      <c r="J47" s="4"/>
      <c r="K47" s="4" t="s">
        <v>2720</v>
      </c>
      <c r="L47" s="15" t="str">
        <f t="shared" si="1"/>
        <v>ok</v>
      </c>
    </row>
    <row r="48" ht="60.0" customHeight="1">
      <c r="A48" s="13" t="s">
        <v>661</v>
      </c>
      <c r="B48" s="13">
        <v>1.0</v>
      </c>
      <c r="C48" s="13" t="s">
        <v>2244</v>
      </c>
      <c r="D48" s="13" t="s">
        <v>663</v>
      </c>
      <c r="E48" s="13" t="s">
        <v>664</v>
      </c>
      <c r="F48" s="13" t="s">
        <v>97</v>
      </c>
      <c r="G48" s="4">
        <v>1.6682759E7</v>
      </c>
      <c r="H48" s="4" t="s">
        <v>98</v>
      </c>
      <c r="I48" s="4" t="s">
        <v>97</v>
      </c>
      <c r="J48" s="4"/>
      <c r="K48" s="4" t="s">
        <v>2721</v>
      </c>
      <c r="L48" s="15" t="str">
        <f t="shared" si="1"/>
        <v>ok</v>
      </c>
    </row>
    <row r="49" ht="60.0" customHeight="1">
      <c r="A49" s="13" t="s">
        <v>2178</v>
      </c>
      <c r="B49" s="13">
        <v>1.0</v>
      </c>
      <c r="C49" s="13" t="s">
        <v>2244</v>
      </c>
      <c r="D49" s="13" t="s">
        <v>2180</v>
      </c>
      <c r="E49" s="13" t="s">
        <v>2181</v>
      </c>
      <c r="F49" s="13" t="s">
        <v>97</v>
      </c>
      <c r="G49" s="4">
        <v>1.7051527E7</v>
      </c>
      <c r="H49" s="4" t="s">
        <v>906</v>
      </c>
      <c r="I49" s="4" t="s">
        <v>2144</v>
      </c>
      <c r="J49" s="4"/>
      <c r="K49" s="4" t="s">
        <v>2722</v>
      </c>
      <c r="L49" s="15" t="str">
        <f t="shared" si="1"/>
        <v>ok</v>
      </c>
    </row>
    <row r="50" ht="60.0" customHeight="1">
      <c r="A50" s="13" t="s">
        <v>1837</v>
      </c>
      <c r="B50" s="13">
        <v>1.0</v>
      </c>
      <c r="C50" s="13" t="s">
        <v>2244</v>
      </c>
      <c r="D50" s="13" t="s">
        <v>1839</v>
      </c>
      <c r="E50" s="13" t="s">
        <v>1840</v>
      </c>
      <c r="F50" s="13" t="s">
        <v>97</v>
      </c>
      <c r="G50" s="4">
        <v>1.7168984E7</v>
      </c>
      <c r="H50" s="4" t="s">
        <v>906</v>
      </c>
      <c r="I50" s="4"/>
      <c r="J50" s="4" t="s">
        <v>1522</v>
      </c>
      <c r="K50" s="4" t="s">
        <v>2723</v>
      </c>
      <c r="L50" s="15" t="str">
        <f t="shared" si="1"/>
        <v>ok</v>
      </c>
    </row>
    <row r="51" ht="60.0" customHeight="1">
      <c r="A51" s="13" t="s">
        <v>632</v>
      </c>
      <c r="B51" s="13">
        <v>1.0</v>
      </c>
      <c r="C51" s="13" t="s">
        <v>2253</v>
      </c>
      <c r="D51" s="13" t="s">
        <v>634</v>
      </c>
      <c r="E51" s="13" t="s">
        <v>635</v>
      </c>
      <c r="F51" s="13" t="s">
        <v>97</v>
      </c>
      <c r="G51" s="4">
        <v>1.7230142E7</v>
      </c>
      <c r="H51" s="4" t="s">
        <v>98</v>
      </c>
      <c r="I51" s="4" t="s">
        <v>97</v>
      </c>
      <c r="J51" s="4"/>
      <c r="K51" s="4" t="s">
        <v>2724</v>
      </c>
      <c r="L51" s="15" t="str">
        <f t="shared" si="1"/>
        <v>ok</v>
      </c>
    </row>
    <row r="52" ht="60.0" customHeight="1">
      <c r="A52" s="13" t="s">
        <v>1832</v>
      </c>
      <c r="B52" s="13">
        <v>1.0</v>
      </c>
      <c r="C52" s="13" t="s">
        <v>2253</v>
      </c>
      <c r="D52" s="13" t="s">
        <v>1834</v>
      </c>
      <c r="E52" s="13" t="s">
        <v>1835</v>
      </c>
      <c r="F52" s="13" t="s">
        <v>368</v>
      </c>
      <c r="G52" s="4">
        <v>1.7286308E7</v>
      </c>
      <c r="H52" s="4" t="s">
        <v>906</v>
      </c>
      <c r="I52" s="4"/>
      <c r="J52" s="4" t="s">
        <v>1023</v>
      </c>
      <c r="K52" s="4" t="s">
        <v>2725</v>
      </c>
      <c r="L52" s="15" t="str">
        <f t="shared" si="1"/>
        <v>ok</v>
      </c>
    </row>
    <row r="53" ht="60.0" customHeight="1">
      <c r="A53" s="13" t="s">
        <v>1456</v>
      </c>
      <c r="B53" s="13">
        <v>1.0</v>
      </c>
      <c r="C53" s="13" t="s">
        <v>2253</v>
      </c>
      <c r="D53" s="13" t="s">
        <v>1458</v>
      </c>
      <c r="E53" s="13" t="s">
        <v>1459</v>
      </c>
      <c r="F53" s="13" t="s">
        <v>368</v>
      </c>
      <c r="G53" s="4">
        <v>1.7333228E7</v>
      </c>
      <c r="H53" s="4" t="s">
        <v>906</v>
      </c>
      <c r="I53" s="4"/>
      <c r="J53" s="4" t="s">
        <v>1023</v>
      </c>
      <c r="K53" s="4" t="s">
        <v>2726</v>
      </c>
      <c r="L53" s="15" t="str">
        <f t="shared" si="1"/>
        <v>ok</v>
      </c>
    </row>
    <row r="54" ht="60.0" customHeight="1">
      <c r="A54" s="13" t="s">
        <v>2174</v>
      </c>
      <c r="B54" s="13">
        <v>1.0</v>
      </c>
      <c r="C54" s="13" t="s">
        <v>2253</v>
      </c>
      <c r="D54" s="13" t="s">
        <v>2175</v>
      </c>
      <c r="E54" s="13" t="s">
        <v>2176</v>
      </c>
      <c r="F54" s="13" t="s">
        <v>368</v>
      </c>
      <c r="G54" s="4">
        <v>1.7393915E7</v>
      </c>
      <c r="H54" s="4" t="s">
        <v>98</v>
      </c>
      <c r="I54" s="4" t="s">
        <v>368</v>
      </c>
      <c r="J54" s="4"/>
      <c r="K54" s="4" t="s">
        <v>2727</v>
      </c>
      <c r="L54" s="15" t="str">
        <f t="shared" si="1"/>
        <v>ok</v>
      </c>
    </row>
    <row r="55" ht="60.0" customHeight="1">
      <c r="A55" s="13" t="s">
        <v>1460</v>
      </c>
      <c r="B55" s="13">
        <v>1.0</v>
      </c>
      <c r="C55" s="13" t="s">
        <v>2253</v>
      </c>
      <c r="D55" s="13" t="s">
        <v>1462</v>
      </c>
      <c r="E55" s="13" t="s">
        <v>1463</v>
      </c>
      <c r="F55" s="13" t="s">
        <v>368</v>
      </c>
      <c r="G55" s="4">
        <v>1.750196E7</v>
      </c>
      <c r="H55" s="4" t="s">
        <v>906</v>
      </c>
      <c r="I55" s="4"/>
      <c r="J55" s="4" t="s">
        <v>1023</v>
      </c>
      <c r="K55" s="4" t="s">
        <v>2728</v>
      </c>
      <c r="L55" s="15" t="str">
        <f t="shared" si="1"/>
        <v>ok</v>
      </c>
    </row>
    <row r="56" ht="60.0" customHeight="1">
      <c r="A56" s="13" t="s">
        <v>993</v>
      </c>
      <c r="B56" s="13">
        <v>1.0</v>
      </c>
      <c r="C56" s="13" t="s">
        <v>2253</v>
      </c>
      <c r="D56" s="13" t="s">
        <v>995</v>
      </c>
      <c r="E56" s="13" t="s">
        <v>996</v>
      </c>
      <c r="F56" s="13" t="s">
        <v>97</v>
      </c>
      <c r="G56" s="4">
        <v>1.7525089E7</v>
      </c>
      <c r="H56" s="4" t="s">
        <v>906</v>
      </c>
      <c r="I56" s="4"/>
      <c r="J56" s="4" t="s">
        <v>907</v>
      </c>
      <c r="K56" s="4" t="s">
        <v>2729</v>
      </c>
      <c r="L56" s="15" t="str">
        <f t="shared" si="1"/>
        <v>ok</v>
      </c>
    </row>
    <row r="57" ht="60.0" customHeight="1">
      <c r="A57" s="13" t="s">
        <v>637</v>
      </c>
      <c r="B57" s="13">
        <v>2.0</v>
      </c>
      <c r="C57" s="13" t="s">
        <v>2253</v>
      </c>
      <c r="D57" s="13" t="s">
        <v>639</v>
      </c>
      <c r="E57" s="13" t="s">
        <v>640</v>
      </c>
      <c r="F57" s="13" t="s">
        <v>97</v>
      </c>
      <c r="G57" s="4">
        <v>1.7721866E7</v>
      </c>
      <c r="H57" s="4" t="s">
        <v>98</v>
      </c>
      <c r="I57" s="4" t="s">
        <v>97</v>
      </c>
      <c r="J57" s="4"/>
      <c r="K57" s="4" t="s">
        <v>2730</v>
      </c>
      <c r="L57" s="15" t="str">
        <f t="shared" si="1"/>
        <v>ok</v>
      </c>
    </row>
    <row r="58" ht="60.0" customHeight="1">
      <c r="A58" s="13" t="s">
        <v>1465</v>
      </c>
      <c r="B58" s="13">
        <v>2.0</v>
      </c>
      <c r="C58" s="13" t="s">
        <v>2253</v>
      </c>
      <c r="D58" s="13" t="s">
        <v>1467</v>
      </c>
      <c r="E58" s="13" t="s">
        <v>1468</v>
      </c>
      <c r="F58" s="13" t="s">
        <v>97</v>
      </c>
      <c r="G58" s="4">
        <v>1.7963197E7</v>
      </c>
      <c r="H58" s="4" t="s">
        <v>906</v>
      </c>
      <c r="I58" s="4"/>
      <c r="J58" s="4" t="s">
        <v>2111</v>
      </c>
      <c r="K58" s="4" t="s">
        <v>2731</v>
      </c>
      <c r="L58" s="15" t="str">
        <f t="shared" si="1"/>
        <v>ok</v>
      </c>
    </row>
    <row r="59" ht="60.0" customHeight="1">
      <c r="A59" s="13" t="s">
        <v>641</v>
      </c>
      <c r="B59" s="13">
        <v>2.0</v>
      </c>
      <c r="C59" s="13" t="s">
        <v>2253</v>
      </c>
      <c r="D59" s="13" t="s">
        <v>642</v>
      </c>
      <c r="E59" s="13" t="s">
        <v>643</v>
      </c>
      <c r="F59" s="13" t="s">
        <v>97</v>
      </c>
      <c r="G59" s="4">
        <v>1.8019371E7</v>
      </c>
      <c r="H59" s="4" t="s">
        <v>98</v>
      </c>
      <c r="I59" s="4" t="s">
        <v>97</v>
      </c>
      <c r="J59" s="4"/>
      <c r="K59" s="4" t="s">
        <v>2732</v>
      </c>
      <c r="L59" s="15" t="str">
        <f t="shared" si="1"/>
        <v>ok</v>
      </c>
    </row>
    <row r="60" ht="60.0" customHeight="1">
      <c r="A60" s="13" t="s">
        <v>1945</v>
      </c>
      <c r="B60" s="13">
        <v>2.0</v>
      </c>
      <c r="C60" s="13" t="s">
        <v>2253</v>
      </c>
      <c r="D60" s="13" t="s">
        <v>1947</v>
      </c>
      <c r="E60" s="13" t="s">
        <v>1948</v>
      </c>
      <c r="F60" s="13" t="s">
        <v>368</v>
      </c>
      <c r="G60" s="4">
        <v>1.8182338E7</v>
      </c>
      <c r="H60" s="4" t="s">
        <v>906</v>
      </c>
      <c r="I60" s="4"/>
      <c r="J60" s="4" t="s">
        <v>1522</v>
      </c>
      <c r="K60" s="4" t="s">
        <v>2733</v>
      </c>
      <c r="L60" s="15" t="str">
        <f t="shared" si="1"/>
        <v>ok</v>
      </c>
    </row>
    <row r="61" ht="60.0" customHeight="1">
      <c r="A61" s="13" t="s">
        <v>1469</v>
      </c>
      <c r="B61" s="13">
        <v>2.0</v>
      </c>
      <c r="C61" s="13" t="s">
        <v>2253</v>
      </c>
      <c r="D61" s="13" t="s">
        <v>1471</v>
      </c>
      <c r="E61" s="13" t="s">
        <v>1472</v>
      </c>
      <c r="F61" s="13" t="s">
        <v>368</v>
      </c>
      <c r="G61" s="4">
        <v>1.8182347E7</v>
      </c>
      <c r="H61" s="4" t="s">
        <v>906</v>
      </c>
      <c r="I61" s="4"/>
      <c r="J61" s="4" t="s">
        <v>1023</v>
      </c>
      <c r="K61" s="4" t="s">
        <v>2734</v>
      </c>
      <c r="L61" s="15" t="str">
        <f t="shared" si="1"/>
        <v>ok</v>
      </c>
    </row>
    <row r="62" ht="60.0" customHeight="1">
      <c r="A62" s="13" t="s">
        <v>1437</v>
      </c>
      <c r="B62" s="13">
        <v>2.0</v>
      </c>
      <c r="C62" s="13" t="s">
        <v>2265</v>
      </c>
      <c r="D62" s="13" t="s">
        <v>1439</v>
      </c>
      <c r="E62" s="13" t="s">
        <v>1440</v>
      </c>
      <c r="F62" s="13" t="s">
        <v>368</v>
      </c>
      <c r="G62" s="4">
        <v>1.8239237E7</v>
      </c>
      <c r="H62" s="4" t="s">
        <v>906</v>
      </c>
      <c r="I62" s="4"/>
      <c r="J62" s="4" t="s">
        <v>2111</v>
      </c>
      <c r="K62" s="4" t="s">
        <v>2735</v>
      </c>
      <c r="L62" s="15" t="str">
        <f t="shared" si="1"/>
        <v>ok</v>
      </c>
    </row>
    <row r="63" ht="60.0" customHeight="1">
      <c r="A63" s="13" t="s">
        <v>2057</v>
      </c>
      <c r="B63" s="13">
        <v>2.0</v>
      </c>
      <c r="C63" s="13" t="s">
        <v>2253</v>
      </c>
      <c r="D63" s="13" t="s">
        <v>2059</v>
      </c>
      <c r="E63" s="13" t="s">
        <v>2060</v>
      </c>
      <c r="F63" s="13" t="s">
        <v>97</v>
      </c>
      <c r="G63" s="4">
        <v>1.8253026E7</v>
      </c>
      <c r="H63" s="4" t="s">
        <v>906</v>
      </c>
      <c r="I63" s="4"/>
      <c r="J63" s="4" t="s">
        <v>1953</v>
      </c>
      <c r="K63" s="4" t="s">
        <v>2736</v>
      </c>
      <c r="L63" s="15" t="str">
        <f t="shared" si="1"/>
        <v>ok</v>
      </c>
    </row>
    <row r="64" ht="60.0" customHeight="1">
      <c r="A64" s="13" t="s">
        <v>1824</v>
      </c>
      <c r="B64" s="13">
        <v>2.0</v>
      </c>
      <c r="C64" s="13" t="s">
        <v>2265</v>
      </c>
      <c r="D64" s="13" t="s">
        <v>1826</v>
      </c>
      <c r="E64" s="13" t="s">
        <v>1827</v>
      </c>
      <c r="F64" s="13" t="s">
        <v>97</v>
      </c>
      <c r="G64" s="4">
        <v>1.8302317E7</v>
      </c>
      <c r="H64" s="4" t="s">
        <v>906</v>
      </c>
      <c r="I64" s="4"/>
      <c r="J64" s="4" t="s">
        <v>1522</v>
      </c>
      <c r="K64" s="4" t="s">
        <v>2737</v>
      </c>
      <c r="L64" s="15" t="str">
        <f t="shared" si="1"/>
        <v>ok</v>
      </c>
    </row>
    <row r="65" ht="60.0" customHeight="1">
      <c r="A65" s="13" t="s">
        <v>989</v>
      </c>
      <c r="B65" s="13">
        <v>2.0</v>
      </c>
      <c r="C65" s="13" t="s">
        <v>2265</v>
      </c>
      <c r="D65" s="13" t="s">
        <v>990</v>
      </c>
      <c r="E65" s="13" t="s">
        <v>991</v>
      </c>
      <c r="F65" s="13" t="s">
        <v>97</v>
      </c>
      <c r="G65" s="4">
        <v>1.833451E7</v>
      </c>
      <c r="H65" s="4" t="s">
        <v>906</v>
      </c>
      <c r="I65" s="4"/>
      <c r="J65" s="4" t="s">
        <v>907</v>
      </c>
      <c r="K65" s="4" t="s">
        <v>2738</v>
      </c>
      <c r="L65" s="15" t="str">
        <f t="shared" si="1"/>
        <v>ok</v>
      </c>
    </row>
    <row r="66" ht="60.0" customHeight="1">
      <c r="A66" s="13" t="s">
        <v>621</v>
      </c>
      <c r="B66" s="13">
        <v>2.0</v>
      </c>
      <c r="C66" s="13" t="s">
        <v>2265</v>
      </c>
      <c r="D66" s="13" t="s">
        <v>623</v>
      </c>
      <c r="E66" s="13" t="s">
        <v>624</v>
      </c>
      <c r="F66" s="13" t="s">
        <v>368</v>
      </c>
      <c r="G66" s="4">
        <v>1.8348276E7</v>
      </c>
      <c r="H66" s="4" t="s">
        <v>98</v>
      </c>
      <c r="I66" s="4" t="s">
        <v>368</v>
      </c>
      <c r="J66" s="4"/>
      <c r="K66" s="4" t="s">
        <v>2739</v>
      </c>
      <c r="L66" s="15" t="str">
        <f t="shared" si="1"/>
        <v>ok</v>
      </c>
    </row>
    <row r="67" ht="60.0" customHeight="1">
      <c r="A67" s="13" t="s">
        <v>625</v>
      </c>
      <c r="B67" s="13">
        <v>2.0</v>
      </c>
      <c r="C67" s="13" t="s">
        <v>2265</v>
      </c>
      <c r="D67" s="13" t="s">
        <v>627</v>
      </c>
      <c r="E67" s="13" t="s">
        <v>628</v>
      </c>
      <c r="F67" s="13" t="s">
        <v>126</v>
      </c>
      <c r="G67" s="4">
        <v>1.8361449E7</v>
      </c>
      <c r="H67" s="4" t="s">
        <v>98</v>
      </c>
      <c r="I67" s="4" t="s">
        <v>368</v>
      </c>
      <c r="J67" s="4"/>
      <c r="K67" s="4" t="s">
        <v>2740</v>
      </c>
      <c r="L67" s="15" t="str">
        <f t="shared" si="1"/>
        <v>ok</v>
      </c>
    </row>
    <row r="68" ht="60.0" customHeight="1">
      <c r="A68" s="13" t="s">
        <v>629</v>
      </c>
      <c r="B68" s="13">
        <v>2.0</v>
      </c>
      <c r="C68" s="13" t="s">
        <v>2265</v>
      </c>
      <c r="D68" s="13" t="s">
        <v>630</v>
      </c>
      <c r="E68" s="13" t="s">
        <v>631</v>
      </c>
      <c r="F68" s="13" t="s">
        <v>97</v>
      </c>
      <c r="G68" s="4">
        <v>1.8412275E7</v>
      </c>
      <c r="H68" s="4" t="s">
        <v>906</v>
      </c>
      <c r="I68" s="4"/>
      <c r="J68" s="4" t="s">
        <v>2111</v>
      </c>
      <c r="K68" s="4" t="s">
        <v>2741</v>
      </c>
      <c r="L68" s="15" t="str">
        <f t="shared" si="1"/>
        <v>ok</v>
      </c>
    </row>
    <row r="69" ht="60.0" customHeight="1">
      <c r="A69" s="13" t="s">
        <v>1828</v>
      </c>
      <c r="B69" s="13">
        <v>2.0</v>
      </c>
      <c r="C69" s="13" t="s">
        <v>2265</v>
      </c>
      <c r="D69" s="13" t="s">
        <v>1830</v>
      </c>
      <c r="E69" s="13" t="s">
        <v>1831</v>
      </c>
      <c r="F69" s="13" t="s">
        <v>97</v>
      </c>
      <c r="G69" s="4">
        <v>1.8427812E7</v>
      </c>
      <c r="H69" s="4" t="s">
        <v>906</v>
      </c>
      <c r="I69" s="4"/>
      <c r="J69" s="4" t="s">
        <v>1522</v>
      </c>
      <c r="K69" s="4" t="s">
        <v>2742</v>
      </c>
      <c r="L69" s="15" t="str">
        <f t="shared" si="1"/>
        <v>ok</v>
      </c>
    </row>
    <row r="70" ht="60.0" customHeight="1">
      <c r="A70" s="13" t="s">
        <v>1442</v>
      </c>
      <c r="B70" s="13">
        <v>2.0</v>
      </c>
      <c r="C70" s="13" t="s">
        <v>2265</v>
      </c>
      <c r="D70" s="13" t="s">
        <v>1444</v>
      </c>
      <c r="E70" s="13" t="s">
        <v>1445</v>
      </c>
      <c r="F70" s="13" t="s">
        <v>368</v>
      </c>
      <c r="G70" s="4">
        <v>1.8697378E7</v>
      </c>
      <c r="H70" s="4" t="s">
        <v>906</v>
      </c>
      <c r="I70" s="4"/>
      <c r="J70" s="4" t="s">
        <v>1023</v>
      </c>
      <c r="K70" s="4" t="s">
        <v>2743</v>
      </c>
      <c r="L70" s="15" t="str">
        <f t="shared" si="1"/>
        <v>ok</v>
      </c>
    </row>
    <row r="71" ht="60.0" customHeight="1">
      <c r="A71" s="13" t="s">
        <v>1447</v>
      </c>
      <c r="B71" s="13">
        <v>2.0</v>
      </c>
      <c r="C71" s="13" t="s">
        <v>2265</v>
      </c>
      <c r="D71" s="13" t="s">
        <v>1449</v>
      </c>
      <c r="E71" s="13" t="s">
        <v>1450</v>
      </c>
      <c r="F71" s="13" t="s">
        <v>97</v>
      </c>
      <c r="G71" s="4">
        <v>1.878527E7</v>
      </c>
      <c r="H71" s="4" t="s">
        <v>906</v>
      </c>
      <c r="I71" s="4"/>
      <c r="J71" s="4" t="s">
        <v>1522</v>
      </c>
      <c r="K71" s="4" t="s">
        <v>2744</v>
      </c>
      <c r="L71" s="15" t="str">
        <f t="shared" si="1"/>
        <v>ok</v>
      </c>
    </row>
    <row r="72" ht="60.0" customHeight="1">
      <c r="A72" s="13" t="s">
        <v>1451</v>
      </c>
      <c r="B72" s="13">
        <v>2.0</v>
      </c>
      <c r="C72" s="13" t="s">
        <v>2265</v>
      </c>
      <c r="D72" s="13" t="s">
        <v>1453</v>
      </c>
      <c r="E72" s="13" t="s">
        <v>1454</v>
      </c>
      <c r="F72" s="13" t="s">
        <v>368</v>
      </c>
      <c r="G72" s="4">
        <v>1.8923654E7</v>
      </c>
      <c r="H72" s="4" t="s">
        <v>906</v>
      </c>
      <c r="I72" s="4"/>
      <c r="J72" s="4" t="s">
        <v>1023</v>
      </c>
      <c r="K72" s="4" t="s">
        <v>2745</v>
      </c>
      <c r="L72" s="15" t="str">
        <f t="shared" si="1"/>
        <v>ok</v>
      </c>
    </row>
    <row r="73" ht="60.0" customHeight="1">
      <c r="A73" s="13" t="s">
        <v>1941</v>
      </c>
      <c r="B73" s="13">
        <v>2.0</v>
      </c>
      <c r="C73" s="13" t="s">
        <v>2265</v>
      </c>
      <c r="D73" s="13" t="s">
        <v>1943</v>
      </c>
      <c r="E73" s="13" t="s">
        <v>1944</v>
      </c>
      <c r="F73" s="13" t="s">
        <v>368</v>
      </c>
      <c r="G73" s="4">
        <v>1.9038077E7</v>
      </c>
      <c r="H73" s="4" t="s">
        <v>694</v>
      </c>
      <c r="I73" s="4"/>
      <c r="J73" s="4"/>
      <c r="K73" s="4" t="s">
        <v>2746</v>
      </c>
      <c r="L73" s="15" t="str">
        <f t="shared" si="1"/>
        <v>ok</v>
      </c>
    </row>
    <row r="74" ht="60.0" customHeight="1">
      <c r="A74" s="13" t="s">
        <v>984</v>
      </c>
      <c r="B74" s="13">
        <v>2.0</v>
      </c>
      <c r="C74" s="13" t="s">
        <v>2278</v>
      </c>
      <c r="D74" s="13" t="s">
        <v>986</v>
      </c>
      <c r="E74" s="13" t="s">
        <v>987</v>
      </c>
      <c r="F74" s="13" t="s">
        <v>368</v>
      </c>
      <c r="G74" s="4">
        <v>1.9282247E7</v>
      </c>
      <c r="H74" s="4" t="s">
        <v>906</v>
      </c>
      <c r="I74" s="4"/>
      <c r="J74" s="4" t="s">
        <v>1899</v>
      </c>
      <c r="K74" s="4" t="s">
        <v>2747</v>
      </c>
      <c r="L74" s="15" t="str">
        <f t="shared" si="1"/>
        <v>ok</v>
      </c>
    </row>
    <row r="75" ht="60.0" customHeight="1">
      <c r="A75" s="13" t="s">
        <v>613</v>
      </c>
      <c r="B75" s="13">
        <v>2.0</v>
      </c>
      <c r="C75" s="13" t="s">
        <v>2278</v>
      </c>
      <c r="D75" s="13" t="s">
        <v>615</v>
      </c>
      <c r="E75" s="13" t="s">
        <v>616</v>
      </c>
      <c r="F75" s="13" t="s">
        <v>97</v>
      </c>
      <c r="G75" s="4">
        <v>1.9340475E7</v>
      </c>
      <c r="H75" s="4" t="s">
        <v>98</v>
      </c>
      <c r="I75" s="4" t="s">
        <v>97</v>
      </c>
      <c r="J75" s="4"/>
      <c r="K75" s="4" t="s">
        <v>2748</v>
      </c>
      <c r="L75" s="15" t="str">
        <f t="shared" si="1"/>
        <v>ok</v>
      </c>
    </row>
    <row r="76" ht="60.0" customHeight="1">
      <c r="A76" s="13" t="s">
        <v>1434</v>
      </c>
      <c r="B76" s="13">
        <v>2.0</v>
      </c>
      <c r="C76" s="13" t="s">
        <v>2278</v>
      </c>
      <c r="D76" s="13" t="s">
        <v>1435</v>
      </c>
      <c r="E76" s="13" t="s">
        <v>1436</v>
      </c>
      <c r="F76" s="13" t="s">
        <v>368</v>
      </c>
      <c r="G76" s="4">
        <v>1.9546758E7</v>
      </c>
      <c r="H76" s="4" t="s">
        <v>906</v>
      </c>
      <c r="I76" s="4"/>
      <c r="J76" s="4" t="s">
        <v>1023</v>
      </c>
      <c r="K76" s="4" t="s">
        <v>2749</v>
      </c>
      <c r="L76" s="15" t="str">
        <f t="shared" si="1"/>
        <v>ok</v>
      </c>
    </row>
    <row r="77" ht="60.0" customHeight="1">
      <c r="A77" s="13" t="s">
        <v>1815</v>
      </c>
      <c r="B77" s="13">
        <v>2.0</v>
      </c>
      <c r="C77" s="13" t="s">
        <v>2278</v>
      </c>
      <c r="D77" s="13" t="s">
        <v>1817</v>
      </c>
      <c r="E77" s="13" t="s">
        <v>1818</v>
      </c>
      <c r="F77" s="13" t="s">
        <v>368</v>
      </c>
      <c r="G77" s="4">
        <v>1.9688956E7</v>
      </c>
      <c r="H77" s="4" t="s">
        <v>906</v>
      </c>
      <c r="I77" s="4"/>
      <c r="J77" s="4" t="s">
        <v>1522</v>
      </c>
      <c r="K77" s="4" t="s">
        <v>2750</v>
      </c>
      <c r="L77" s="15" t="str">
        <f t="shared" si="1"/>
        <v>ok</v>
      </c>
    </row>
    <row r="78" ht="60.0" customHeight="1">
      <c r="A78" s="13" t="s">
        <v>1820</v>
      </c>
      <c r="B78" s="13">
        <v>2.0</v>
      </c>
      <c r="C78" s="13" t="s">
        <v>2278</v>
      </c>
      <c r="D78" s="13" t="s">
        <v>1822</v>
      </c>
      <c r="E78" s="13" t="s">
        <v>1823</v>
      </c>
      <c r="F78" s="13" t="s">
        <v>368</v>
      </c>
      <c r="G78" s="4">
        <v>1.9697393E7</v>
      </c>
      <c r="H78" s="4" t="s">
        <v>906</v>
      </c>
      <c r="I78" s="4"/>
      <c r="J78" s="4" t="s">
        <v>1522</v>
      </c>
      <c r="K78" s="4" t="s">
        <v>2751</v>
      </c>
      <c r="L78" s="15" t="str">
        <f t="shared" si="1"/>
        <v>ok</v>
      </c>
    </row>
    <row r="79" ht="60.0" customHeight="1">
      <c r="A79" s="13" t="s">
        <v>617</v>
      </c>
      <c r="B79" s="13">
        <v>2.0</v>
      </c>
      <c r="C79" s="13" t="s">
        <v>2278</v>
      </c>
      <c r="D79" s="13" t="s">
        <v>619</v>
      </c>
      <c r="E79" s="13" t="s">
        <v>620</v>
      </c>
      <c r="F79" s="13" t="s">
        <v>97</v>
      </c>
      <c r="G79" s="4">
        <v>1.9750888E7</v>
      </c>
      <c r="H79" s="4" t="s">
        <v>98</v>
      </c>
      <c r="I79" s="4" t="s">
        <v>97</v>
      </c>
      <c r="J79" s="4"/>
      <c r="K79" s="4" t="s">
        <v>2752</v>
      </c>
      <c r="L79" s="15" t="str">
        <f t="shared" si="1"/>
        <v>ok</v>
      </c>
    </row>
    <row r="80" ht="60.0" customHeight="1">
      <c r="A80" s="13" t="s">
        <v>2101</v>
      </c>
      <c r="B80" s="13">
        <v>2.0</v>
      </c>
      <c r="C80" s="13" t="s">
        <v>2278</v>
      </c>
      <c r="D80" s="13" t="s">
        <v>2103</v>
      </c>
      <c r="E80" s="13" t="s">
        <v>2104</v>
      </c>
      <c r="F80" s="13" t="s">
        <v>97</v>
      </c>
      <c r="G80" s="4">
        <v>1.9830224E7</v>
      </c>
      <c r="H80" s="4" t="s">
        <v>906</v>
      </c>
      <c r="I80" s="4"/>
      <c r="J80" s="4" t="s">
        <v>2083</v>
      </c>
      <c r="K80" s="4" t="s">
        <v>2753</v>
      </c>
      <c r="L80" s="15" t="str">
        <f t="shared" si="1"/>
        <v>ok</v>
      </c>
    </row>
    <row r="81" ht="60.0" customHeight="1">
      <c r="A81" s="13" t="s">
        <v>593</v>
      </c>
      <c r="B81" s="13">
        <v>2.0</v>
      </c>
      <c r="C81" s="13" t="s">
        <v>2286</v>
      </c>
      <c r="D81" s="13" t="s">
        <v>595</v>
      </c>
      <c r="E81" s="13" t="s">
        <v>596</v>
      </c>
      <c r="F81" s="13" t="s">
        <v>368</v>
      </c>
      <c r="G81" s="4">
        <v>1.9911411E7</v>
      </c>
      <c r="H81" s="4" t="s">
        <v>906</v>
      </c>
      <c r="I81" s="4"/>
      <c r="J81" s="4" t="s">
        <v>2144</v>
      </c>
      <c r="K81" s="4" t="s">
        <v>2754</v>
      </c>
      <c r="L81" s="15" t="str">
        <f t="shared" si="1"/>
        <v>ok</v>
      </c>
    </row>
    <row r="82" ht="60.0" customHeight="1">
      <c r="A82" s="13" t="s">
        <v>979</v>
      </c>
      <c r="B82" s="13">
        <v>2.0</v>
      </c>
      <c r="C82" s="13" t="s">
        <v>2286</v>
      </c>
      <c r="D82" s="13" t="s">
        <v>981</v>
      </c>
      <c r="E82" s="13" t="s">
        <v>982</v>
      </c>
      <c r="F82" s="13" t="s">
        <v>97</v>
      </c>
      <c r="G82" s="4">
        <v>2.0077527E7</v>
      </c>
      <c r="H82" s="4" t="s">
        <v>906</v>
      </c>
      <c r="I82" s="4"/>
      <c r="J82" s="4" t="s">
        <v>907</v>
      </c>
      <c r="K82" s="4" t="s">
        <v>2755</v>
      </c>
      <c r="L82" s="15" t="str">
        <f t="shared" si="1"/>
        <v>ok</v>
      </c>
    </row>
    <row r="83" ht="60.0" customHeight="1">
      <c r="A83" s="13" t="s">
        <v>598</v>
      </c>
      <c r="B83" s="13">
        <v>2.0</v>
      </c>
      <c r="C83" s="13" t="s">
        <v>2286</v>
      </c>
      <c r="D83" s="13" t="s">
        <v>600</v>
      </c>
      <c r="E83" s="13" t="s">
        <v>601</v>
      </c>
      <c r="F83" s="13" t="s">
        <v>97</v>
      </c>
      <c r="G83" s="4">
        <v>2.008247E7</v>
      </c>
      <c r="H83" s="4" t="s">
        <v>98</v>
      </c>
      <c r="I83" s="4" t="s">
        <v>97</v>
      </c>
      <c r="J83" s="4"/>
      <c r="K83" s="4" t="s">
        <v>2756</v>
      </c>
      <c r="L83" s="15" t="str">
        <f t="shared" si="1"/>
        <v>ok</v>
      </c>
    </row>
    <row r="84" ht="60.0" customHeight="1">
      <c r="A84" s="13" t="s">
        <v>2053</v>
      </c>
      <c r="B84" s="13">
        <v>2.0</v>
      </c>
      <c r="C84" s="13" t="s">
        <v>2286</v>
      </c>
      <c r="D84" s="13" t="s">
        <v>2054</v>
      </c>
      <c r="E84" s="13" t="s">
        <v>2055</v>
      </c>
      <c r="F84" s="13" t="s">
        <v>97</v>
      </c>
      <c r="G84" s="4">
        <v>2.0150778E7</v>
      </c>
      <c r="H84" s="4" t="s">
        <v>98</v>
      </c>
      <c r="I84" s="4" t="s">
        <v>97</v>
      </c>
      <c r="J84" s="4"/>
      <c r="K84" s="4" t="s">
        <v>2757</v>
      </c>
      <c r="L84" s="15" t="str">
        <f t="shared" si="1"/>
        <v>ok</v>
      </c>
    </row>
    <row r="85" ht="60.0" customHeight="1">
      <c r="A85" s="13" t="s">
        <v>572</v>
      </c>
      <c r="B85" s="13">
        <v>2.0</v>
      </c>
      <c r="C85" s="13" t="s">
        <v>2291</v>
      </c>
      <c r="D85" s="13" t="s">
        <v>574</v>
      </c>
      <c r="E85" s="13" t="s">
        <v>575</v>
      </c>
      <c r="F85" s="13" t="s">
        <v>126</v>
      </c>
      <c r="G85" s="4">
        <v>2.0384468E7</v>
      </c>
      <c r="H85" s="4" t="s">
        <v>98</v>
      </c>
      <c r="I85" s="4" t="s">
        <v>97</v>
      </c>
      <c r="J85" s="4"/>
      <c r="K85" s="4" t="s">
        <v>2758</v>
      </c>
      <c r="L85" s="15" t="str">
        <f t="shared" si="1"/>
        <v>ok</v>
      </c>
    </row>
    <row r="86" ht="60.0" customHeight="1">
      <c r="A86" s="13" t="s">
        <v>603</v>
      </c>
      <c r="B86" s="13">
        <v>2.0</v>
      </c>
      <c r="C86" s="13" t="s">
        <v>2286</v>
      </c>
      <c r="D86" s="13" t="s">
        <v>605</v>
      </c>
      <c r="E86" s="13" t="s">
        <v>606</v>
      </c>
      <c r="F86" s="13" t="s">
        <v>97</v>
      </c>
      <c r="G86" s="4">
        <v>2.0449712E7</v>
      </c>
      <c r="H86" s="4" t="s">
        <v>98</v>
      </c>
      <c r="I86" s="4" t="s">
        <v>97</v>
      </c>
      <c r="J86" s="4"/>
      <c r="K86" s="4" t="s">
        <v>2759</v>
      </c>
      <c r="L86" s="15" t="str">
        <f t="shared" si="1"/>
        <v>ok</v>
      </c>
    </row>
    <row r="87" ht="60.0" customHeight="1">
      <c r="A87" s="13" t="s">
        <v>1811</v>
      </c>
      <c r="B87" s="13">
        <v>2.0</v>
      </c>
      <c r="C87" s="13" t="s">
        <v>2286</v>
      </c>
      <c r="D87" s="13" t="s">
        <v>1813</v>
      </c>
      <c r="E87" s="13" t="s">
        <v>1814</v>
      </c>
      <c r="F87" s="13" t="s">
        <v>368</v>
      </c>
      <c r="G87" s="4">
        <v>2.0549772E7</v>
      </c>
      <c r="H87" s="4" t="s">
        <v>906</v>
      </c>
      <c r="I87" s="4"/>
      <c r="J87" s="4" t="s">
        <v>1522</v>
      </c>
      <c r="K87" s="4" t="s">
        <v>2760</v>
      </c>
      <c r="L87" s="15" t="str">
        <f t="shared" si="1"/>
        <v>ok</v>
      </c>
    </row>
    <row r="88" ht="60.0" customHeight="1">
      <c r="A88" s="13" t="s">
        <v>2170</v>
      </c>
      <c r="B88" s="13">
        <v>2.0</v>
      </c>
      <c r="C88" s="13" t="s">
        <v>2286</v>
      </c>
      <c r="D88" s="13" t="s">
        <v>2172</v>
      </c>
      <c r="E88" s="13" t="s">
        <v>2173</v>
      </c>
      <c r="F88" s="13" t="s">
        <v>368</v>
      </c>
      <c r="G88" s="4">
        <v>2.0584846E7</v>
      </c>
      <c r="H88" s="4" t="s">
        <v>906</v>
      </c>
      <c r="I88" s="4"/>
      <c r="J88" s="4" t="s">
        <v>2144</v>
      </c>
      <c r="K88" s="4" t="s">
        <v>2761</v>
      </c>
      <c r="L88" s="15" t="str">
        <f t="shared" si="1"/>
        <v>ok</v>
      </c>
    </row>
    <row r="89" ht="60.0" customHeight="1">
      <c r="A89" s="13" t="s">
        <v>608</v>
      </c>
      <c r="B89" s="13">
        <v>2.0</v>
      </c>
      <c r="C89" s="13" t="s">
        <v>2286</v>
      </c>
      <c r="D89" s="13" t="s">
        <v>610</v>
      </c>
      <c r="E89" s="13" t="s">
        <v>611</v>
      </c>
      <c r="F89" s="13" t="s">
        <v>97</v>
      </c>
      <c r="G89" s="4">
        <v>2.0683907E7</v>
      </c>
      <c r="H89" s="4" t="s">
        <v>98</v>
      </c>
      <c r="I89" s="4" t="s">
        <v>97</v>
      </c>
      <c r="J89" s="4"/>
      <c r="K89" s="4" t="s">
        <v>2762</v>
      </c>
      <c r="L89" s="15" t="str">
        <f t="shared" si="1"/>
        <v>ok</v>
      </c>
    </row>
    <row r="90" ht="60.0" customHeight="1">
      <c r="A90" s="13" t="s">
        <v>1421</v>
      </c>
      <c r="B90" s="13">
        <v>2.0</v>
      </c>
      <c r="C90" s="13" t="s">
        <v>2286</v>
      </c>
      <c r="D90" s="13" t="s">
        <v>1423</v>
      </c>
      <c r="E90" s="13" t="s">
        <v>1424</v>
      </c>
      <c r="F90" s="13" t="s">
        <v>368</v>
      </c>
      <c r="G90" s="4">
        <v>2.0730796E7</v>
      </c>
      <c r="H90" s="4" t="s">
        <v>906</v>
      </c>
      <c r="I90" s="4"/>
      <c r="J90" s="4" t="s">
        <v>1023</v>
      </c>
      <c r="K90" s="4" t="s">
        <v>2763</v>
      </c>
      <c r="L90" s="15" t="str">
        <f t="shared" si="1"/>
        <v>ok</v>
      </c>
    </row>
    <row r="91" ht="60.0" customHeight="1">
      <c r="A91" s="13" t="s">
        <v>969</v>
      </c>
      <c r="B91" s="13">
        <v>2.0</v>
      </c>
      <c r="C91" s="13" t="s">
        <v>2291</v>
      </c>
      <c r="D91" s="13" t="s">
        <v>971</v>
      </c>
      <c r="E91" s="13" t="s">
        <v>972</v>
      </c>
      <c r="F91" s="13" t="s">
        <v>97</v>
      </c>
      <c r="G91" s="4">
        <v>2.0737498E7</v>
      </c>
      <c r="H91" s="4" t="s">
        <v>906</v>
      </c>
      <c r="I91" s="4"/>
      <c r="J91" s="4" t="s">
        <v>907</v>
      </c>
      <c r="K91" s="4" t="s">
        <v>2764</v>
      </c>
      <c r="L91" s="15" t="str">
        <f t="shared" si="1"/>
        <v>ok</v>
      </c>
    </row>
    <row r="92" ht="60.0" customHeight="1">
      <c r="A92" s="13" t="s">
        <v>1795</v>
      </c>
      <c r="B92" s="13">
        <v>2.0</v>
      </c>
      <c r="C92" s="13" t="s">
        <v>2291</v>
      </c>
      <c r="D92" s="13" t="s">
        <v>1797</v>
      </c>
      <c r="E92" s="13" t="s">
        <v>1798</v>
      </c>
      <c r="F92" s="13" t="s">
        <v>368</v>
      </c>
      <c r="G92" s="4">
        <v>2.0922779E7</v>
      </c>
      <c r="H92" s="4" t="s">
        <v>906</v>
      </c>
      <c r="I92" s="4"/>
      <c r="J92" s="4" t="s">
        <v>1023</v>
      </c>
      <c r="K92" s="4" t="s">
        <v>2765</v>
      </c>
      <c r="L92" s="15" t="str">
        <f t="shared" si="1"/>
        <v>ok</v>
      </c>
    </row>
    <row r="93" ht="60.0" customHeight="1">
      <c r="A93" s="13" t="s">
        <v>1425</v>
      </c>
      <c r="B93" s="13">
        <v>2.0</v>
      </c>
      <c r="C93" s="13" t="s">
        <v>2286</v>
      </c>
      <c r="D93" s="13" t="s">
        <v>1427</v>
      </c>
      <c r="E93" s="13" t="s">
        <v>1428</v>
      </c>
      <c r="F93" s="13" t="s">
        <v>368</v>
      </c>
      <c r="G93" s="4">
        <v>2.0925041E7</v>
      </c>
      <c r="H93" s="4" t="s">
        <v>906</v>
      </c>
      <c r="I93" s="4"/>
      <c r="J93" s="4" t="s">
        <v>1023</v>
      </c>
      <c r="K93" s="4" t="s">
        <v>2766</v>
      </c>
      <c r="L93" s="15" t="str">
        <f t="shared" si="1"/>
        <v>ok</v>
      </c>
    </row>
    <row r="94" ht="60.0" customHeight="1">
      <c r="A94" s="13" t="s">
        <v>2048</v>
      </c>
      <c r="B94" s="13">
        <v>2.0</v>
      </c>
      <c r="C94" s="13" t="s">
        <v>2291</v>
      </c>
      <c r="D94" s="13" t="s">
        <v>2050</v>
      </c>
      <c r="E94" s="13" t="s">
        <v>2051</v>
      </c>
      <c r="F94" s="13" t="s">
        <v>97</v>
      </c>
      <c r="G94" s="4">
        <v>2.1152935E7</v>
      </c>
      <c r="H94" s="4" t="s">
        <v>906</v>
      </c>
      <c r="I94" s="4"/>
      <c r="J94" s="4" t="s">
        <v>1953</v>
      </c>
      <c r="K94" s="4" t="s">
        <v>2767</v>
      </c>
      <c r="L94" s="15" t="str">
        <f t="shared" si="1"/>
        <v>ok</v>
      </c>
    </row>
    <row r="95" ht="60.0" customHeight="1">
      <c r="A95" s="13" t="s">
        <v>577</v>
      </c>
      <c r="B95" s="13">
        <v>2.0</v>
      </c>
      <c r="C95" s="13" t="s">
        <v>2291</v>
      </c>
      <c r="D95" s="13" t="s">
        <v>579</v>
      </c>
      <c r="E95" s="13" t="s">
        <v>580</v>
      </c>
      <c r="F95" s="13" t="s">
        <v>97</v>
      </c>
      <c r="G95" s="4">
        <v>2.1205409E7</v>
      </c>
      <c r="H95" s="4" t="s">
        <v>98</v>
      </c>
      <c r="I95" s="4" t="s">
        <v>97</v>
      </c>
      <c r="J95" s="4"/>
      <c r="K95" s="4" t="s">
        <v>2768</v>
      </c>
      <c r="L95" s="15" t="str">
        <f t="shared" si="1"/>
        <v>ok</v>
      </c>
    </row>
    <row r="96" ht="60.0" customHeight="1">
      <c r="A96" s="13" t="s">
        <v>1799</v>
      </c>
      <c r="B96" s="13">
        <v>2.0</v>
      </c>
      <c r="C96" s="13" t="s">
        <v>2291</v>
      </c>
      <c r="D96" s="13" t="s">
        <v>1801</v>
      </c>
      <c r="E96" s="13" t="s">
        <v>1802</v>
      </c>
      <c r="F96" s="13" t="s">
        <v>368</v>
      </c>
      <c r="G96" s="4">
        <v>2.1234973E7</v>
      </c>
      <c r="H96" s="4" t="s">
        <v>906</v>
      </c>
      <c r="I96" s="4"/>
      <c r="J96" s="4" t="s">
        <v>2111</v>
      </c>
      <c r="K96" s="4" t="s">
        <v>2769</v>
      </c>
      <c r="L96" s="15" t="str">
        <f t="shared" si="1"/>
        <v>ok</v>
      </c>
    </row>
    <row r="97" ht="60.0" customHeight="1">
      <c r="A97" s="13" t="s">
        <v>1416</v>
      </c>
      <c r="B97" s="13">
        <v>2.0</v>
      </c>
      <c r="C97" s="13" t="s">
        <v>2291</v>
      </c>
      <c r="D97" s="13" t="s">
        <v>1418</v>
      </c>
      <c r="E97" s="13" t="s">
        <v>1419</v>
      </c>
      <c r="F97" s="13" t="s">
        <v>368</v>
      </c>
      <c r="G97" s="4">
        <v>2.1592687E7</v>
      </c>
      <c r="H97" s="4" t="s">
        <v>906</v>
      </c>
      <c r="I97" s="4"/>
      <c r="J97" s="4" t="s">
        <v>1023</v>
      </c>
      <c r="K97" s="4" t="s">
        <v>2770</v>
      </c>
      <c r="L97" s="15" t="str">
        <f t="shared" si="1"/>
        <v>ok</v>
      </c>
    </row>
    <row r="98" ht="60.0" customHeight="1">
      <c r="A98" s="13" t="s">
        <v>2043</v>
      </c>
      <c r="B98" s="13">
        <v>2.0</v>
      </c>
      <c r="C98" s="13" t="s">
        <v>2305</v>
      </c>
      <c r="D98" s="13" t="s">
        <v>2045</v>
      </c>
      <c r="E98" s="13" t="s">
        <v>2046</v>
      </c>
      <c r="F98" s="13" t="s">
        <v>368</v>
      </c>
      <c r="G98" s="4">
        <v>2.1627552E7</v>
      </c>
      <c r="H98" s="4" t="s">
        <v>906</v>
      </c>
      <c r="I98" s="4"/>
      <c r="J98" s="4" t="s">
        <v>1953</v>
      </c>
      <c r="K98" s="4" t="s">
        <v>2771</v>
      </c>
      <c r="L98" s="15" t="str">
        <f t="shared" si="1"/>
        <v>ok</v>
      </c>
    </row>
    <row r="99" ht="60.0" customHeight="1">
      <c r="A99" s="13" t="s">
        <v>581</v>
      </c>
      <c r="B99" s="13">
        <v>2.0</v>
      </c>
      <c r="C99" s="13" t="s">
        <v>2291</v>
      </c>
      <c r="D99" s="13" t="s">
        <v>583</v>
      </c>
      <c r="E99" s="13" t="s">
        <v>584</v>
      </c>
      <c r="F99" s="13" t="s">
        <v>97</v>
      </c>
      <c r="G99" s="4">
        <v>2.1671399E7</v>
      </c>
      <c r="H99" s="4" t="s">
        <v>98</v>
      </c>
      <c r="I99" s="4" t="s">
        <v>97</v>
      </c>
      <c r="J99" s="4"/>
      <c r="K99" s="4" t="s">
        <v>2772</v>
      </c>
      <c r="L99" s="15" t="str">
        <f t="shared" si="1"/>
        <v>ok</v>
      </c>
    </row>
    <row r="100" ht="60.0" customHeight="1">
      <c r="A100" s="13" t="s">
        <v>1803</v>
      </c>
      <c r="B100" s="13">
        <v>2.0</v>
      </c>
      <c r="C100" s="13" t="s">
        <v>2291</v>
      </c>
      <c r="D100" s="13" t="s">
        <v>1805</v>
      </c>
      <c r="E100" s="13" t="s">
        <v>1806</v>
      </c>
      <c r="F100" s="13" t="s">
        <v>368</v>
      </c>
      <c r="G100" s="4">
        <v>2.1705735E7</v>
      </c>
      <c r="H100" s="4" t="s">
        <v>906</v>
      </c>
      <c r="I100" s="4"/>
      <c r="J100" s="4" t="s">
        <v>1522</v>
      </c>
      <c r="K100" s="4" t="s">
        <v>2773</v>
      </c>
      <c r="L100" s="15" t="str">
        <f t="shared" si="1"/>
        <v>ok</v>
      </c>
    </row>
    <row r="101" ht="60.0" customHeight="1">
      <c r="A101" s="13" t="s">
        <v>1807</v>
      </c>
      <c r="B101" s="13">
        <v>2.0</v>
      </c>
      <c r="C101" s="13" t="s">
        <v>2291</v>
      </c>
      <c r="D101" s="13" t="s">
        <v>1809</v>
      </c>
      <c r="E101" s="13" t="s">
        <v>1810</v>
      </c>
      <c r="F101" s="13" t="s">
        <v>368</v>
      </c>
      <c r="G101" s="4">
        <v>2.1709401E7</v>
      </c>
      <c r="H101" s="4" t="s">
        <v>906</v>
      </c>
      <c r="I101" s="4"/>
      <c r="J101" s="4" t="s">
        <v>1522</v>
      </c>
      <c r="K101" s="4" t="s">
        <v>2774</v>
      </c>
      <c r="L101" s="15" t="str">
        <f t="shared" si="1"/>
        <v>ok</v>
      </c>
    </row>
    <row r="102" ht="60.0" customHeight="1">
      <c r="A102" s="13" t="s">
        <v>974</v>
      </c>
      <c r="B102" s="13">
        <v>2.0</v>
      </c>
      <c r="C102" s="13" t="s">
        <v>2291</v>
      </c>
      <c r="D102" s="13" t="s">
        <v>976</v>
      </c>
      <c r="E102" s="13" t="s">
        <v>977</v>
      </c>
      <c r="F102" s="13" t="s">
        <v>97</v>
      </c>
      <c r="G102" s="4">
        <v>2.1830263E7</v>
      </c>
      <c r="H102" s="4" t="s">
        <v>906</v>
      </c>
      <c r="I102" s="4"/>
      <c r="J102" s="4" t="s">
        <v>1522</v>
      </c>
      <c r="K102" s="4" t="s">
        <v>2775</v>
      </c>
      <c r="L102" s="15" t="str">
        <f t="shared" si="1"/>
        <v>ok</v>
      </c>
    </row>
    <row r="103" ht="60.0" customHeight="1">
      <c r="A103" s="13" t="s">
        <v>1429</v>
      </c>
      <c r="B103" s="13">
        <v>2.0</v>
      </c>
      <c r="C103" s="13" t="s">
        <v>2286</v>
      </c>
      <c r="D103" s="13" t="s">
        <v>1431</v>
      </c>
      <c r="E103" s="13" t="s">
        <v>1432</v>
      </c>
      <c r="F103" s="13" t="s">
        <v>368</v>
      </c>
      <c r="G103" s="4">
        <v>2.1961367E7</v>
      </c>
      <c r="H103" s="4" t="s">
        <v>906</v>
      </c>
      <c r="I103" s="4"/>
      <c r="J103" s="4" t="s">
        <v>1023</v>
      </c>
      <c r="K103" s="4" t="s">
        <v>2776</v>
      </c>
      <c r="L103" s="15" t="str">
        <f t="shared" si="1"/>
        <v>ok</v>
      </c>
    </row>
    <row r="104" ht="60.0" customHeight="1">
      <c r="A104" s="13" t="s">
        <v>585</v>
      </c>
      <c r="B104" s="13">
        <v>2.0</v>
      </c>
      <c r="C104" s="13" t="s">
        <v>2291</v>
      </c>
      <c r="D104" s="13" t="s">
        <v>587</v>
      </c>
      <c r="E104" s="13" t="s">
        <v>588</v>
      </c>
      <c r="F104" s="13" t="s">
        <v>368</v>
      </c>
      <c r="G104" s="4">
        <v>2.1990236E7</v>
      </c>
      <c r="H104" s="4" t="s">
        <v>98</v>
      </c>
      <c r="I104" s="4" t="s">
        <v>368</v>
      </c>
      <c r="J104" s="4"/>
      <c r="K104" s="4" t="s">
        <v>2777</v>
      </c>
      <c r="L104" s="15" t="str">
        <f t="shared" si="1"/>
        <v>ok</v>
      </c>
    </row>
    <row r="105" ht="60.0" customHeight="1">
      <c r="A105" s="13" t="s">
        <v>589</v>
      </c>
      <c r="B105" s="13">
        <v>2.0</v>
      </c>
      <c r="C105" s="13" t="s">
        <v>2291</v>
      </c>
      <c r="D105" s="13" t="s">
        <v>591</v>
      </c>
      <c r="E105" s="13" t="s">
        <v>592</v>
      </c>
      <c r="F105" s="13" t="s">
        <v>97</v>
      </c>
      <c r="G105" s="4">
        <v>2.1990245E7</v>
      </c>
      <c r="H105" s="4" t="s">
        <v>98</v>
      </c>
      <c r="I105" s="4" t="s">
        <v>97</v>
      </c>
      <c r="J105" s="4"/>
      <c r="K105" s="4" t="s">
        <v>2778</v>
      </c>
      <c r="L105" s="15" t="str">
        <f t="shared" si="1"/>
        <v>ok</v>
      </c>
    </row>
    <row r="106" ht="60.0" customHeight="1">
      <c r="A106" s="13" t="s">
        <v>566</v>
      </c>
      <c r="B106" s="13">
        <v>2.0</v>
      </c>
      <c r="C106" s="13" t="s">
        <v>2305</v>
      </c>
      <c r="D106" s="13" t="s">
        <v>567</v>
      </c>
      <c r="E106" s="13" t="s">
        <v>568</v>
      </c>
      <c r="F106" s="13" t="s">
        <v>97</v>
      </c>
      <c r="G106" s="4">
        <v>2.2177989E7</v>
      </c>
      <c r="H106" s="4" t="s">
        <v>98</v>
      </c>
      <c r="I106" s="4" t="s">
        <v>97</v>
      </c>
      <c r="J106" s="4"/>
      <c r="K106" s="4" t="s">
        <v>2779</v>
      </c>
      <c r="L106" s="15" t="str">
        <f t="shared" si="1"/>
        <v>ok</v>
      </c>
    </row>
    <row r="107" ht="60.0" customHeight="1">
      <c r="A107" s="13" t="s">
        <v>1786</v>
      </c>
      <c r="B107" s="13">
        <v>3.0</v>
      </c>
      <c r="C107" s="13" t="s">
        <v>2305</v>
      </c>
      <c r="D107" s="13" t="s">
        <v>1788</v>
      </c>
      <c r="E107" s="13" t="s">
        <v>1789</v>
      </c>
      <c r="F107" s="13" t="s">
        <v>368</v>
      </c>
      <c r="G107" s="4">
        <v>2.2277886E7</v>
      </c>
      <c r="H107" s="4" t="s">
        <v>906</v>
      </c>
      <c r="I107" s="4"/>
      <c r="J107" s="4" t="s">
        <v>1023</v>
      </c>
      <c r="K107" s="4" t="s">
        <v>2780</v>
      </c>
      <c r="L107" s="15" t="str">
        <f t="shared" si="1"/>
        <v>ok</v>
      </c>
    </row>
    <row r="108" ht="60.0" customHeight="1">
      <c r="A108" s="13" t="s">
        <v>569</v>
      </c>
      <c r="B108" s="13">
        <v>3.0</v>
      </c>
      <c r="C108" s="13" t="s">
        <v>2305</v>
      </c>
      <c r="D108" s="13" t="s">
        <v>570</v>
      </c>
      <c r="E108" s="13" t="s">
        <v>571</v>
      </c>
      <c r="F108" s="13" t="s">
        <v>97</v>
      </c>
      <c r="G108" s="4">
        <v>2.2492767E7</v>
      </c>
      <c r="H108" s="4" t="s">
        <v>98</v>
      </c>
      <c r="I108" s="4" t="s">
        <v>97</v>
      </c>
      <c r="J108" s="4"/>
      <c r="K108" s="4" t="s">
        <v>2781</v>
      </c>
      <c r="L108" s="15" t="str">
        <f t="shared" si="1"/>
        <v>ok</v>
      </c>
    </row>
    <row r="109" ht="60.0" customHeight="1">
      <c r="A109" s="13" t="s">
        <v>550</v>
      </c>
      <c r="B109" s="13">
        <v>3.0</v>
      </c>
      <c r="C109" s="13" t="s">
        <v>2317</v>
      </c>
      <c r="D109" s="13" t="s">
        <v>552</v>
      </c>
      <c r="E109" s="13" t="s">
        <v>553</v>
      </c>
      <c r="F109" s="13" t="s">
        <v>126</v>
      </c>
      <c r="G109" s="4">
        <v>2.256287E7</v>
      </c>
      <c r="H109" s="4" t="s">
        <v>98</v>
      </c>
      <c r="I109" s="4" t="s">
        <v>126</v>
      </c>
      <c r="J109" s="4"/>
      <c r="K109" s="4" t="s">
        <v>2782</v>
      </c>
      <c r="L109" s="15" t="str">
        <f t="shared" si="1"/>
        <v>ok</v>
      </c>
    </row>
    <row r="110" ht="60.0" customHeight="1">
      <c r="A110" s="13" t="s">
        <v>964</v>
      </c>
      <c r="B110" s="13">
        <v>3.0</v>
      </c>
      <c r="C110" s="13" t="s">
        <v>2305</v>
      </c>
      <c r="D110" s="13" t="s">
        <v>966</v>
      </c>
      <c r="E110" s="13" t="s">
        <v>967</v>
      </c>
      <c r="F110" s="13" t="s">
        <v>97</v>
      </c>
      <c r="G110" s="4">
        <v>2.2619094E7</v>
      </c>
      <c r="H110" s="4" t="s">
        <v>906</v>
      </c>
      <c r="I110" s="4"/>
      <c r="J110" s="4" t="s">
        <v>907</v>
      </c>
      <c r="K110" s="4" t="s">
        <v>2783</v>
      </c>
      <c r="L110" s="15" t="str">
        <f t="shared" si="1"/>
        <v>ok</v>
      </c>
    </row>
    <row r="111" ht="60.0" customHeight="1">
      <c r="A111" s="13" t="s">
        <v>2158</v>
      </c>
      <c r="B111" s="13">
        <v>3.0</v>
      </c>
      <c r="C111" s="13" t="s">
        <v>2317</v>
      </c>
      <c r="D111" s="13" t="s">
        <v>2160</v>
      </c>
      <c r="E111" s="13" t="s">
        <v>2161</v>
      </c>
      <c r="F111" s="13" t="s">
        <v>126</v>
      </c>
      <c r="G111" s="4">
        <v>2.2713804E7</v>
      </c>
      <c r="H111" s="4" t="s">
        <v>906</v>
      </c>
      <c r="I111" s="4"/>
      <c r="J111" s="4" t="s">
        <v>2144</v>
      </c>
      <c r="K111" s="4" t="s">
        <v>2784</v>
      </c>
      <c r="L111" s="15" t="str">
        <f t="shared" si="1"/>
        <v>ok</v>
      </c>
    </row>
    <row r="112" ht="60.0" customHeight="1">
      <c r="A112" s="13" t="s">
        <v>888</v>
      </c>
      <c r="B112" s="13">
        <v>3.0</v>
      </c>
      <c r="C112" s="13" t="s">
        <v>2305</v>
      </c>
      <c r="D112" s="13" t="s">
        <v>889</v>
      </c>
      <c r="E112" s="13" t="s">
        <v>890</v>
      </c>
      <c r="F112" s="13" t="s">
        <v>97</v>
      </c>
      <c r="G112" s="4">
        <v>2.282657E7</v>
      </c>
      <c r="H112" s="4" t="s">
        <v>906</v>
      </c>
      <c r="I112" s="4"/>
      <c r="J112" s="4" t="s">
        <v>2111</v>
      </c>
      <c r="K112" s="4" t="s">
        <v>2785</v>
      </c>
      <c r="L112" s="15" t="str">
        <f t="shared" si="1"/>
        <v>ok</v>
      </c>
    </row>
    <row r="113" ht="60.0" customHeight="1">
      <c r="A113" s="13" t="s">
        <v>892</v>
      </c>
      <c r="B113" s="13">
        <v>3.0</v>
      </c>
      <c r="C113" s="13" t="s">
        <v>2305</v>
      </c>
      <c r="D113" s="13" t="s">
        <v>893</v>
      </c>
      <c r="E113" s="13" t="s">
        <v>894</v>
      </c>
      <c r="F113" s="13" t="s">
        <v>97</v>
      </c>
      <c r="G113" s="4">
        <v>2.3044555E7</v>
      </c>
      <c r="H113" s="4" t="s">
        <v>694</v>
      </c>
      <c r="I113" s="4"/>
      <c r="J113" s="4"/>
      <c r="K113" s="4" t="s">
        <v>2786</v>
      </c>
      <c r="L113" s="15" t="str">
        <f t="shared" si="1"/>
        <v>ok</v>
      </c>
    </row>
    <row r="114" ht="60.0" customHeight="1">
      <c r="A114" s="13" t="s">
        <v>948</v>
      </c>
      <c r="B114" s="13">
        <v>3.0</v>
      </c>
      <c r="C114" s="13" t="s">
        <v>2317</v>
      </c>
      <c r="D114" s="13" t="s">
        <v>950</v>
      </c>
      <c r="E114" s="13" t="s">
        <v>951</v>
      </c>
      <c r="F114" s="13" t="s">
        <v>97</v>
      </c>
      <c r="G114" s="4">
        <v>2.3065509E7</v>
      </c>
      <c r="H114" s="4" t="s">
        <v>906</v>
      </c>
      <c r="I114" s="4"/>
      <c r="J114" s="4" t="s">
        <v>907</v>
      </c>
      <c r="K114" s="4" t="s">
        <v>2787</v>
      </c>
      <c r="L114" s="15" t="str">
        <f t="shared" si="1"/>
        <v>ok</v>
      </c>
    </row>
    <row r="115" ht="60.0" customHeight="1">
      <c r="A115" s="13" t="s">
        <v>896</v>
      </c>
      <c r="B115" s="13">
        <v>3.0</v>
      </c>
      <c r="C115" s="13" t="s">
        <v>2305</v>
      </c>
      <c r="D115" s="13" t="s">
        <v>898</v>
      </c>
      <c r="E115" s="13" t="s">
        <v>899</v>
      </c>
      <c r="F115" s="13" t="s">
        <v>126</v>
      </c>
      <c r="G115" s="4">
        <v>2.308844E7</v>
      </c>
      <c r="H115" s="4" t="s">
        <v>694</v>
      </c>
      <c r="I115" s="4"/>
      <c r="J115" s="4"/>
      <c r="K115" s="4" t="s">
        <v>2788</v>
      </c>
      <c r="L115" s="15" t="str">
        <f t="shared" si="1"/>
        <v>ok</v>
      </c>
    </row>
    <row r="116" ht="60.0" customHeight="1">
      <c r="A116" s="13" t="s">
        <v>2096</v>
      </c>
      <c r="B116" s="13">
        <v>3.0</v>
      </c>
      <c r="C116" s="13" t="s">
        <v>2305</v>
      </c>
      <c r="D116" s="13" t="s">
        <v>2098</v>
      </c>
      <c r="E116" s="13" t="s">
        <v>2099</v>
      </c>
      <c r="F116" s="13" t="s">
        <v>368</v>
      </c>
      <c r="G116" s="4">
        <v>2.3113216E7</v>
      </c>
      <c r="H116" s="4" t="s">
        <v>906</v>
      </c>
      <c r="I116" s="4"/>
      <c r="J116" s="4" t="s">
        <v>2083</v>
      </c>
      <c r="K116" s="4" t="s">
        <v>2789</v>
      </c>
      <c r="L116" s="15" t="str">
        <f t="shared" si="1"/>
        <v>ok</v>
      </c>
    </row>
    <row r="117" ht="60.0" customHeight="1">
      <c r="A117" s="13" t="s">
        <v>1790</v>
      </c>
      <c r="B117" s="13">
        <v>3.0</v>
      </c>
      <c r="C117" s="13" t="s">
        <v>2305</v>
      </c>
      <c r="D117" s="13" t="s">
        <v>1792</v>
      </c>
      <c r="E117" s="13" t="s">
        <v>1793</v>
      </c>
      <c r="F117" s="13" t="s">
        <v>97</v>
      </c>
      <c r="G117" s="4">
        <v>2.3250856E7</v>
      </c>
      <c r="H117" s="4" t="s">
        <v>906</v>
      </c>
      <c r="I117" s="4"/>
      <c r="J117" s="4" t="s">
        <v>1522</v>
      </c>
      <c r="K117" s="4" t="s">
        <v>2790</v>
      </c>
      <c r="L117" s="15" t="str">
        <f t="shared" si="1"/>
        <v>ok</v>
      </c>
    </row>
    <row r="118" ht="60.0" customHeight="1">
      <c r="A118" s="13" t="s">
        <v>954</v>
      </c>
      <c r="B118" s="13">
        <v>3.0</v>
      </c>
      <c r="C118" s="13" t="s">
        <v>2317</v>
      </c>
      <c r="D118" s="13" t="s">
        <v>956</v>
      </c>
      <c r="E118" s="13" t="s">
        <v>957</v>
      </c>
      <c r="F118" s="13" t="s">
        <v>368</v>
      </c>
      <c r="G118" s="4">
        <v>2.3401811E7</v>
      </c>
      <c r="H118" s="4" t="s">
        <v>906</v>
      </c>
      <c r="I118" s="4"/>
      <c r="J118" s="4" t="s">
        <v>1522</v>
      </c>
      <c r="K118" s="4" t="s">
        <v>2791</v>
      </c>
      <c r="L118" s="15" t="str">
        <f t="shared" si="1"/>
        <v>ok</v>
      </c>
    </row>
    <row r="119" ht="60.0" customHeight="1">
      <c r="A119" s="13" t="s">
        <v>2162</v>
      </c>
      <c r="B119" s="13">
        <v>3.0</v>
      </c>
      <c r="C119" s="13" t="s">
        <v>2317</v>
      </c>
      <c r="D119" s="13" t="s">
        <v>2164</v>
      </c>
      <c r="E119" s="13" t="s">
        <v>2165</v>
      </c>
      <c r="F119" s="13" t="s">
        <v>368</v>
      </c>
      <c r="G119" s="4">
        <v>2.3553654E7</v>
      </c>
      <c r="H119" s="4" t="s">
        <v>906</v>
      </c>
      <c r="I119" s="4"/>
      <c r="J119" s="4" t="s">
        <v>2144</v>
      </c>
      <c r="K119" s="4" t="s">
        <v>2792</v>
      </c>
      <c r="L119" s="15" t="str">
        <f t="shared" si="1"/>
        <v>ok</v>
      </c>
    </row>
    <row r="120" ht="60.0" customHeight="1">
      <c r="A120" s="13" t="s">
        <v>874</v>
      </c>
      <c r="B120" s="13">
        <v>3.0</v>
      </c>
      <c r="C120" s="13" t="s">
        <v>2317</v>
      </c>
      <c r="D120" s="13" t="s">
        <v>875</v>
      </c>
      <c r="E120" s="13" t="s">
        <v>876</v>
      </c>
      <c r="F120" s="13" t="s">
        <v>97</v>
      </c>
      <c r="G120" s="4">
        <v>2.3703053E7</v>
      </c>
      <c r="H120" s="4" t="s">
        <v>694</v>
      </c>
      <c r="I120" s="4"/>
      <c r="J120" s="4"/>
      <c r="K120" s="4" t="s">
        <v>2793</v>
      </c>
      <c r="L120" s="15" t="str">
        <f t="shared" si="1"/>
        <v>ok</v>
      </c>
    </row>
    <row r="121" ht="60.0" customHeight="1">
      <c r="A121" s="13" t="s">
        <v>554</v>
      </c>
      <c r="B121" s="13">
        <v>3.0</v>
      </c>
      <c r="C121" s="13" t="s">
        <v>2317</v>
      </c>
      <c r="D121" s="13" t="s">
        <v>556</v>
      </c>
      <c r="E121" s="13" t="s">
        <v>557</v>
      </c>
      <c r="F121" s="13" t="s">
        <v>97</v>
      </c>
      <c r="G121" s="4">
        <v>2.372041E7</v>
      </c>
      <c r="H121" s="4" t="s">
        <v>98</v>
      </c>
      <c r="I121" s="4" t="s">
        <v>97</v>
      </c>
      <c r="J121" s="4"/>
      <c r="K121" s="4" t="s">
        <v>2794</v>
      </c>
      <c r="L121" s="15" t="str">
        <f t="shared" si="1"/>
        <v>ok</v>
      </c>
    </row>
    <row r="122" ht="60.0" customHeight="1">
      <c r="A122" s="13" t="s">
        <v>878</v>
      </c>
      <c r="B122" s="13">
        <v>3.0</v>
      </c>
      <c r="C122" s="13" t="s">
        <v>2317</v>
      </c>
      <c r="D122" s="13" t="s">
        <v>879</v>
      </c>
      <c r="E122" s="13" t="s">
        <v>880</v>
      </c>
      <c r="F122" s="13" t="s">
        <v>97</v>
      </c>
      <c r="G122" s="4">
        <v>2.3831245E7</v>
      </c>
      <c r="H122" s="4" t="s">
        <v>906</v>
      </c>
      <c r="I122" s="4"/>
      <c r="J122" s="4" t="s">
        <v>1953</v>
      </c>
      <c r="K122" s="4" t="s">
        <v>2795</v>
      </c>
      <c r="L122" s="15" t="str">
        <f t="shared" si="1"/>
        <v>ok</v>
      </c>
    </row>
    <row r="123" ht="60.0" customHeight="1">
      <c r="A123" s="13" t="s">
        <v>1407</v>
      </c>
      <c r="B123" s="13">
        <v>3.0</v>
      </c>
      <c r="C123" s="13" t="s">
        <v>2317</v>
      </c>
      <c r="D123" s="13" t="s">
        <v>1409</v>
      </c>
      <c r="E123" s="13" t="s">
        <v>1410</v>
      </c>
      <c r="F123" s="13" t="s">
        <v>368</v>
      </c>
      <c r="G123" s="4">
        <v>2.3887195E7</v>
      </c>
      <c r="H123" s="4" t="s">
        <v>906</v>
      </c>
      <c r="I123" s="4"/>
      <c r="J123" s="4" t="s">
        <v>1023</v>
      </c>
      <c r="K123" s="4" t="s">
        <v>2796</v>
      </c>
      <c r="L123" s="15" t="str">
        <f t="shared" si="1"/>
        <v>ok</v>
      </c>
    </row>
    <row r="124" ht="60.0" customHeight="1">
      <c r="A124" s="13" t="s">
        <v>558</v>
      </c>
      <c r="B124" s="13">
        <v>3.0</v>
      </c>
      <c r="C124" s="13" t="s">
        <v>2317</v>
      </c>
      <c r="D124" s="13" t="s">
        <v>560</v>
      </c>
      <c r="E124" s="13" t="s">
        <v>561</v>
      </c>
      <c r="F124" s="13" t="s">
        <v>97</v>
      </c>
      <c r="G124" s="4">
        <v>2.3949924E7</v>
      </c>
      <c r="H124" s="4" t="s">
        <v>98</v>
      </c>
      <c r="I124" s="4" t="s">
        <v>97</v>
      </c>
      <c r="J124" s="4"/>
      <c r="K124" s="4" t="s">
        <v>2797</v>
      </c>
      <c r="L124" s="15" t="str">
        <f t="shared" si="1"/>
        <v>ok</v>
      </c>
    </row>
    <row r="125" ht="60.0" customHeight="1">
      <c r="A125" s="13" t="s">
        <v>2130</v>
      </c>
      <c r="B125" s="13">
        <v>3.0</v>
      </c>
      <c r="C125" s="13" t="s">
        <v>2317</v>
      </c>
      <c r="D125" s="13" t="s">
        <v>2132</v>
      </c>
      <c r="E125" s="13" t="s">
        <v>2133</v>
      </c>
      <c r="F125" s="13" t="s">
        <v>368</v>
      </c>
      <c r="G125" s="4">
        <v>2.4003992E7</v>
      </c>
      <c r="H125" s="4" t="s">
        <v>906</v>
      </c>
      <c r="I125" s="4"/>
      <c r="J125" s="4" t="s">
        <v>2111</v>
      </c>
      <c r="K125" s="4" t="s">
        <v>2798</v>
      </c>
      <c r="L125" s="15" t="str">
        <f t="shared" si="1"/>
        <v>ok</v>
      </c>
    </row>
    <row r="126" ht="60.0" customHeight="1">
      <c r="A126" s="13" t="s">
        <v>2034</v>
      </c>
      <c r="B126" s="13">
        <v>3.0</v>
      </c>
      <c r="C126" s="13" t="s">
        <v>2335</v>
      </c>
      <c r="D126" s="13" t="s">
        <v>2036</v>
      </c>
      <c r="E126" s="13" t="s">
        <v>2037</v>
      </c>
      <c r="F126" s="13" t="s">
        <v>97</v>
      </c>
      <c r="G126" s="4">
        <v>2.4080483E7</v>
      </c>
      <c r="H126" s="4" t="s">
        <v>906</v>
      </c>
      <c r="I126" s="4"/>
      <c r="J126" s="4" t="s">
        <v>1953</v>
      </c>
      <c r="K126" s="4" t="s">
        <v>2799</v>
      </c>
      <c r="L126" s="15" t="str">
        <f t="shared" si="1"/>
        <v>ok</v>
      </c>
    </row>
    <row r="127" ht="60.0" customHeight="1">
      <c r="A127" s="13" t="s">
        <v>883</v>
      </c>
      <c r="B127" s="13">
        <v>3.0</v>
      </c>
      <c r="C127" s="13" t="s">
        <v>2317</v>
      </c>
      <c r="D127" s="13" t="s">
        <v>884</v>
      </c>
      <c r="E127" s="13" t="s">
        <v>885</v>
      </c>
      <c r="F127" s="13" t="s">
        <v>97</v>
      </c>
      <c r="G127" s="4">
        <v>2.4112219E7</v>
      </c>
      <c r="H127" s="4" t="s">
        <v>694</v>
      </c>
      <c r="I127" s="4"/>
      <c r="J127" s="4"/>
      <c r="K127" s="4" t="s">
        <v>2800</v>
      </c>
      <c r="L127" s="15" t="str">
        <f t="shared" si="1"/>
        <v>ok</v>
      </c>
    </row>
    <row r="128" ht="60.0" customHeight="1">
      <c r="A128" s="13" t="s">
        <v>862</v>
      </c>
      <c r="B128" s="13">
        <v>3.0</v>
      </c>
      <c r="C128" s="13" t="s">
        <v>2335</v>
      </c>
      <c r="D128" s="13" t="s">
        <v>864</v>
      </c>
      <c r="E128" s="13" t="s">
        <v>865</v>
      </c>
      <c r="F128" s="13" t="s">
        <v>126</v>
      </c>
      <c r="G128" s="4">
        <v>2.4122837E7</v>
      </c>
      <c r="H128" s="4" t="s">
        <v>694</v>
      </c>
      <c r="I128" s="4"/>
      <c r="J128" s="4"/>
      <c r="K128" s="4" t="s">
        <v>2801</v>
      </c>
      <c r="L128" s="15" t="str">
        <f t="shared" si="1"/>
        <v>ok</v>
      </c>
    </row>
    <row r="129" ht="60.0" customHeight="1">
      <c r="A129" s="13" t="s">
        <v>2166</v>
      </c>
      <c r="B129" s="13">
        <v>3.0</v>
      </c>
      <c r="C129" s="13" t="s">
        <v>2317</v>
      </c>
      <c r="D129" s="13" t="s">
        <v>2168</v>
      </c>
      <c r="E129" s="13" t="s">
        <v>2169</v>
      </c>
      <c r="F129" s="13" t="s">
        <v>368</v>
      </c>
      <c r="G129" s="4">
        <v>2.4147155E7</v>
      </c>
      <c r="H129" s="4" t="s">
        <v>98</v>
      </c>
      <c r="I129" s="4" t="s">
        <v>368</v>
      </c>
      <c r="J129" s="4"/>
      <c r="K129" s="4" t="s">
        <v>2781</v>
      </c>
      <c r="L129" s="15" t="str">
        <f t="shared" si="1"/>
        <v>ok</v>
      </c>
    </row>
    <row r="130" ht="60.0" customHeight="1">
      <c r="A130" s="13" t="s">
        <v>1411</v>
      </c>
      <c r="B130" s="13">
        <v>3.0</v>
      </c>
      <c r="C130" s="13" t="s">
        <v>2317</v>
      </c>
      <c r="D130" s="13" t="s">
        <v>1413</v>
      </c>
      <c r="E130" s="13" t="s">
        <v>1414</v>
      </c>
      <c r="F130" s="13" t="s">
        <v>368</v>
      </c>
      <c r="G130" s="4">
        <v>2.4156088E7</v>
      </c>
      <c r="H130" s="4" t="s">
        <v>906</v>
      </c>
      <c r="I130" s="4"/>
      <c r="J130" s="4" t="s">
        <v>1023</v>
      </c>
      <c r="K130" s="4" t="s">
        <v>2802</v>
      </c>
      <c r="L130" s="15" t="str">
        <f t="shared" si="1"/>
        <v>ok</v>
      </c>
    </row>
    <row r="131" ht="60.0" customHeight="1">
      <c r="A131" s="13" t="s">
        <v>959</v>
      </c>
      <c r="B131" s="13">
        <v>3.0</v>
      </c>
      <c r="C131" s="13" t="s">
        <v>2317</v>
      </c>
      <c r="D131" s="13" t="s">
        <v>961</v>
      </c>
      <c r="E131" s="13" t="s">
        <v>962</v>
      </c>
      <c r="F131" s="13" t="s">
        <v>97</v>
      </c>
      <c r="G131" s="4">
        <v>2.4220305E7</v>
      </c>
      <c r="H131" s="4" t="s">
        <v>906</v>
      </c>
      <c r="I131" s="4"/>
      <c r="J131" s="4" t="s">
        <v>907</v>
      </c>
      <c r="K131" s="4" t="s">
        <v>2803</v>
      </c>
      <c r="L131" s="15" t="str">
        <f t="shared" si="1"/>
        <v>ok</v>
      </c>
    </row>
    <row r="132" ht="60.0" customHeight="1">
      <c r="A132" s="13" t="s">
        <v>562</v>
      </c>
      <c r="B132" s="13">
        <v>3.0</v>
      </c>
      <c r="C132" s="13" t="s">
        <v>2317</v>
      </c>
      <c r="D132" s="13" t="s">
        <v>564</v>
      </c>
      <c r="E132" s="13" t="s">
        <v>565</v>
      </c>
      <c r="F132" s="13" t="s">
        <v>126</v>
      </c>
      <c r="G132" s="4">
        <v>2.4237681E7</v>
      </c>
      <c r="H132" s="4" t="s">
        <v>98</v>
      </c>
      <c r="I132" s="4" t="s">
        <v>126</v>
      </c>
      <c r="J132" s="4"/>
      <c r="K132" s="4" t="s">
        <v>2804</v>
      </c>
      <c r="L132" s="15" t="str">
        <f t="shared" si="1"/>
        <v>ok</v>
      </c>
    </row>
    <row r="133" ht="60.0" customHeight="1">
      <c r="A133" s="13" t="s">
        <v>536</v>
      </c>
      <c r="B133" s="13">
        <v>3.0</v>
      </c>
      <c r="C133" s="13" t="s">
        <v>2335</v>
      </c>
      <c r="D133" s="13" t="s">
        <v>538</v>
      </c>
      <c r="E133" s="13" t="s">
        <v>539</v>
      </c>
      <c r="F133" s="13" t="s">
        <v>97</v>
      </c>
      <c r="G133" s="4">
        <v>2.4311518E7</v>
      </c>
      <c r="H133" s="4" t="s">
        <v>98</v>
      </c>
      <c r="I133" s="4" t="s">
        <v>97</v>
      </c>
      <c r="J133" s="4"/>
      <c r="K133" s="4" t="s">
        <v>2805</v>
      </c>
      <c r="L133" s="15" t="str">
        <f t="shared" si="1"/>
        <v>ok</v>
      </c>
    </row>
    <row r="134" ht="60.0" customHeight="1">
      <c r="A134" s="13" t="s">
        <v>1384</v>
      </c>
      <c r="B134" s="13">
        <v>3.0</v>
      </c>
      <c r="C134" s="13" t="s">
        <v>2335</v>
      </c>
      <c r="D134" s="13" t="s">
        <v>1386</v>
      </c>
      <c r="E134" s="13" t="s">
        <v>1387</v>
      </c>
      <c r="F134" s="13" t="s">
        <v>368</v>
      </c>
      <c r="G134" s="4">
        <v>2.4339153E7</v>
      </c>
      <c r="H134" s="4" t="s">
        <v>906</v>
      </c>
      <c r="I134" s="4"/>
      <c r="J134" s="4" t="s">
        <v>1023</v>
      </c>
      <c r="K134" s="4" t="s">
        <v>2806</v>
      </c>
      <c r="L134" s="15" t="str">
        <f t="shared" si="1"/>
        <v>ok</v>
      </c>
    </row>
    <row r="135" ht="60.0" customHeight="1">
      <c r="A135" s="13" t="s">
        <v>1774</v>
      </c>
      <c r="B135" s="13">
        <v>3.0</v>
      </c>
      <c r="C135" s="13" t="s">
        <v>2335</v>
      </c>
      <c r="D135" s="13" t="s">
        <v>1776</v>
      </c>
      <c r="E135" s="13" t="s">
        <v>1777</v>
      </c>
      <c r="F135" s="13" t="s">
        <v>368</v>
      </c>
      <c r="G135" s="4">
        <v>2.4357398E7</v>
      </c>
      <c r="H135" s="4" t="s">
        <v>906</v>
      </c>
      <c r="I135" s="4"/>
      <c r="J135" s="4" t="s">
        <v>1522</v>
      </c>
      <c r="K135" s="4" t="s">
        <v>2807</v>
      </c>
      <c r="L135" s="15" t="str">
        <f t="shared" si="1"/>
        <v>ok</v>
      </c>
    </row>
    <row r="136" ht="60.0" customHeight="1">
      <c r="A136" s="13" t="s">
        <v>2039</v>
      </c>
      <c r="B136" s="13">
        <v>3.0</v>
      </c>
      <c r="C136" s="13" t="s">
        <v>2335</v>
      </c>
      <c r="D136" s="13" t="s">
        <v>2041</v>
      </c>
      <c r="E136" s="13" t="s">
        <v>2042</v>
      </c>
      <c r="F136" s="13" t="s">
        <v>97</v>
      </c>
      <c r="G136" s="4">
        <v>2.4424506E7</v>
      </c>
      <c r="H136" s="4" t="s">
        <v>906</v>
      </c>
      <c r="I136" s="4"/>
      <c r="J136" s="4" t="s">
        <v>1953</v>
      </c>
      <c r="K136" s="4" t="s">
        <v>2808</v>
      </c>
      <c r="L136" s="15" t="str">
        <f t="shared" si="1"/>
        <v>ok</v>
      </c>
    </row>
    <row r="137" ht="60.0" customHeight="1">
      <c r="A137" s="13" t="s">
        <v>540</v>
      </c>
      <c r="B137" s="13">
        <v>3.0</v>
      </c>
      <c r="C137" s="13" t="s">
        <v>2335</v>
      </c>
      <c r="D137" s="13" t="s">
        <v>542</v>
      </c>
      <c r="E137" s="13" t="s">
        <v>543</v>
      </c>
      <c r="F137" s="13" t="s">
        <v>97</v>
      </c>
      <c r="G137" s="4">
        <v>2.4446439E7</v>
      </c>
      <c r="H137" s="4" t="s">
        <v>98</v>
      </c>
      <c r="I137" s="4" t="s">
        <v>97</v>
      </c>
      <c r="J137" s="4"/>
      <c r="K137" s="4" t="s">
        <v>2809</v>
      </c>
      <c r="L137" s="15" t="str">
        <f t="shared" si="1"/>
        <v>ok</v>
      </c>
    </row>
    <row r="138" ht="60.0" customHeight="1">
      <c r="A138" s="13" t="s">
        <v>1389</v>
      </c>
      <c r="B138" s="13">
        <v>3.0</v>
      </c>
      <c r="C138" s="13" t="s">
        <v>2335</v>
      </c>
      <c r="D138" s="13" t="s">
        <v>1390</v>
      </c>
      <c r="E138" s="13" t="s">
        <v>1391</v>
      </c>
      <c r="F138" s="13" t="s">
        <v>126</v>
      </c>
      <c r="G138" s="4">
        <v>2.449976E7</v>
      </c>
      <c r="H138" s="4" t="s">
        <v>906</v>
      </c>
      <c r="I138" s="4"/>
      <c r="J138" s="4" t="s">
        <v>1023</v>
      </c>
      <c r="K138" s="4" t="s">
        <v>2810</v>
      </c>
      <c r="L138" s="15" t="str">
        <f t="shared" si="1"/>
        <v>ok</v>
      </c>
    </row>
    <row r="139" ht="60.0" customHeight="1">
      <c r="A139" s="13" t="s">
        <v>2182</v>
      </c>
      <c r="B139" s="13">
        <v>3.0</v>
      </c>
      <c r="C139" s="13" t="s">
        <v>2335</v>
      </c>
      <c r="D139" s="13" t="s">
        <v>2184</v>
      </c>
      <c r="E139" s="13" t="s">
        <v>2185</v>
      </c>
      <c r="F139" s="13" t="s">
        <v>368</v>
      </c>
      <c r="G139" s="4">
        <v>2.4520506E7</v>
      </c>
      <c r="H139" s="4" t="s">
        <v>906</v>
      </c>
      <c r="I139" s="4"/>
      <c r="J139" s="4" t="s">
        <v>2187</v>
      </c>
      <c r="K139" s="4" t="s">
        <v>2811</v>
      </c>
      <c r="L139" s="15" t="str">
        <f t="shared" si="1"/>
        <v>ok</v>
      </c>
    </row>
    <row r="140" ht="60.0" customHeight="1">
      <c r="A140" s="13" t="s">
        <v>1393</v>
      </c>
      <c r="B140" s="13">
        <v>3.0</v>
      </c>
      <c r="C140" s="13" t="s">
        <v>2335</v>
      </c>
      <c r="D140" s="13" t="s">
        <v>1395</v>
      </c>
      <c r="E140" s="13" t="s">
        <v>1396</v>
      </c>
      <c r="F140" s="13" t="s">
        <v>368</v>
      </c>
      <c r="G140" s="4">
        <v>2.4799683E7</v>
      </c>
      <c r="H140" s="4" t="s">
        <v>906</v>
      </c>
      <c r="I140" s="4"/>
      <c r="J140" s="4" t="s">
        <v>1023</v>
      </c>
      <c r="K140" s="4" t="s">
        <v>2812</v>
      </c>
      <c r="L140" s="15" t="str">
        <f t="shared" si="1"/>
        <v>ok</v>
      </c>
    </row>
    <row r="141" ht="60.0" customHeight="1">
      <c r="A141" s="13" t="s">
        <v>545</v>
      </c>
      <c r="B141" s="13">
        <v>3.0</v>
      </c>
      <c r="C141" s="13" t="s">
        <v>2335</v>
      </c>
      <c r="D141" s="13" t="s">
        <v>547</v>
      </c>
      <c r="E141" s="13" t="s">
        <v>548</v>
      </c>
      <c r="F141" s="13" t="s">
        <v>368</v>
      </c>
      <c r="G141" s="4">
        <v>2.4993362E7</v>
      </c>
      <c r="H141" s="4" t="s">
        <v>98</v>
      </c>
      <c r="I141" s="4" t="s">
        <v>368</v>
      </c>
      <c r="J141" s="4"/>
      <c r="K141" s="4" t="s">
        <v>2813</v>
      </c>
      <c r="L141" s="15" t="str">
        <f t="shared" si="1"/>
        <v>ok</v>
      </c>
    </row>
    <row r="142" ht="60.0" customHeight="1">
      <c r="A142" s="13" t="s">
        <v>1398</v>
      </c>
      <c r="B142" s="13">
        <v>3.0</v>
      </c>
      <c r="C142" s="13" t="s">
        <v>2335</v>
      </c>
      <c r="D142" s="13" t="s">
        <v>1400</v>
      </c>
      <c r="E142" s="13" t="s">
        <v>1401</v>
      </c>
      <c r="F142" s="13" t="s">
        <v>368</v>
      </c>
      <c r="G142" s="4">
        <v>2.5027965E7</v>
      </c>
      <c r="H142" s="4" t="s">
        <v>906</v>
      </c>
      <c r="I142" s="4"/>
      <c r="J142" s="4" t="s">
        <v>1023</v>
      </c>
      <c r="K142" s="4" t="s">
        <v>2814</v>
      </c>
      <c r="L142" s="15" t="str">
        <f t="shared" si="1"/>
        <v>ok</v>
      </c>
    </row>
    <row r="143" ht="60.0" customHeight="1">
      <c r="A143" s="13" t="s">
        <v>1402</v>
      </c>
      <c r="B143" s="13">
        <v>3.0</v>
      </c>
      <c r="C143" s="13" t="s">
        <v>2335</v>
      </c>
      <c r="D143" s="13" t="s">
        <v>1404</v>
      </c>
      <c r="E143" s="13" t="s">
        <v>1405</v>
      </c>
      <c r="F143" s="13" t="s">
        <v>368</v>
      </c>
      <c r="G143" s="4">
        <v>2.5053891E7</v>
      </c>
      <c r="H143" s="4" t="s">
        <v>906</v>
      </c>
      <c r="I143" s="4"/>
      <c r="J143" s="4" t="s">
        <v>1023</v>
      </c>
      <c r="K143" s="4" t="s">
        <v>2815</v>
      </c>
      <c r="L143" s="15" t="str">
        <f t="shared" si="1"/>
        <v>ok</v>
      </c>
    </row>
    <row r="144" ht="60.0" customHeight="1">
      <c r="A144" s="13" t="s">
        <v>1778</v>
      </c>
      <c r="B144" s="13">
        <v>3.0</v>
      </c>
      <c r="C144" s="13" t="s">
        <v>2335</v>
      </c>
      <c r="D144" s="13" t="s">
        <v>1779</v>
      </c>
      <c r="E144" s="13" t="s">
        <v>1780</v>
      </c>
      <c r="F144" s="13" t="s">
        <v>126</v>
      </c>
      <c r="G144" s="4">
        <v>2.5178262E7</v>
      </c>
      <c r="H144" s="4" t="s">
        <v>906</v>
      </c>
      <c r="I144" s="4"/>
      <c r="J144" s="4" t="s">
        <v>1522</v>
      </c>
      <c r="K144" s="4" t="s">
        <v>2816</v>
      </c>
      <c r="L144" s="15" t="str">
        <f t="shared" si="1"/>
        <v>ok</v>
      </c>
    </row>
    <row r="145" ht="60.0" customHeight="1">
      <c r="A145" s="13" t="s">
        <v>867</v>
      </c>
      <c r="B145" s="13">
        <v>3.0</v>
      </c>
      <c r="C145" s="13" t="s">
        <v>2335</v>
      </c>
      <c r="D145" s="13" t="s">
        <v>869</v>
      </c>
      <c r="E145" s="13" t="s">
        <v>870</v>
      </c>
      <c r="F145" s="13" t="s">
        <v>97</v>
      </c>
      <c r="G145" s="4">
        <v>2.5200733E7</v>
      </c>
      <c r="H145" s="4" t="s">
        <v>694</v>
      </c>
      <c r="I145" s="4"/>
      <c r="J145" s="4"/>
      <c r="K145" s="4" t="s">
        <v>2817</v>
      </c>
      <c r="L145" s="15" t="str">
        <f t="shared" si="1"/>
        <v>ok</v>
      </c>
    </row>
    <row r="146" ht="60.0" customHeight="1">
      <c r="A146" s="13" t="s">
        <v>518</v>
      </c>
      <c r="B146" s="13">
        <v>3.0</v>
      </c>
      <c r="C146" s="13" t="s">
        <v>2356</v>
      </c>
      <c r="D146" s="13" t="s">
        <v>520</v>
      </c>
      <c r="E146" s="13" t="s">
        <v>521</v>
      </c>
      <c r="F146" s="13" t="s">
        <v>126</v>
      </c>
      <c r="G146" s="4">
        <v>2.5388684E7</v>
      </c>
      <c r="H146" s="4" t="s">
        <v>98</v>
      </c>
      <c r="I146" s="4" t="s">
        <v>126</v>
      </c>
      <c r="J146" s="4"/>
      <c r="K146" s="4" t="s">
        <v>2818</v>
      </c>
      <c r="L146" s="15" t="str">
        <f t="shared" si="1"/>
        <v>ok</v>
      </c>
    </row>
    <row r="147" ht="60.0" customHeight="1">
      <c r="A147" s="13" t="s">
        <v>1362</v>
      </c>
      <c r="B147" s="13">
        <v>3.0</v>
      </c>
      <c r="C147" s="13" t="s">
        <v>2356</v>
      </c>
      <c r="D147" s="13" t="s">
        <v>1364</v>
      </c>
      <c r="E147" s="13" t="s">
        <v>1365</v>
      </c>
      <c r="F147" s="13" t="s">
        <v>368</v>
      </c>
      <c r="G147" s="4">
        <v>2.5408438E7</v>
      </c>
      <c r="H147" s="4" t="s">
        <v>906</v>
      </c>
      <c r="I147" s="4"/>
      <c r="J147" s="4" t="s">
        <v>1023</v>
      </c>
      <c r="K147" s="4" t="s">
        <v>2819</v>
      </c>
      <c r="L147" s="15" t="str">
        <f t="shared" si="1"/>
        <v>ok</v>
      </c>
    </row>
    <row r="148" ht="60.0" customHeight="1">
      <c r="A148" s="13" t="s">
        <v>524</v>
      </c>
      <c r="B148" s="13">
        <v>3.0</v>
      </c>
      <c r="C148" s="13" t="s">
        <v>2356</v>
      </c>
      <c r="D148" s="13" t="s">
        <v>526</v>
      </c>
      <c r="E148" s="13" t="s">
        <v>527</v>
      </c>
      <c r="F148" s="13" t="s">
        <v>97</v>
      </c>
      <c r="G148" s="4">
        <v>2.5612784E7</v>
      </c>
      <c r="H148" s="4" t="s">
        <v>98</v>
      </c>
      <c r="I148" s="4" t="s">
        <v>97</v>
      </c>
      <c r="J148" s="4"/>
      <c r="K148" s="4" t="s">
        <v>2820</v>
      </c>
      <c r="L148" s="15" t="str">
        <f t="shared" si="1"/>
        <v>ok</v>
      </c>
    </row>
    <row r="149" ht="60.0" customHeight="1">
      <c r="A149" s="13" t="s">
        <v>1745</v>
      </c>
      <c r="B149" s="13">
        <v>3.0</v>
      </c>
      <c r="C149" s="13" t="s">
        <v>2360</v>
      </c>
      <c r="D149" s="13" t="s">
        <v>1746</v>
      </c>
      <c r="E149" s="13" t="s">
        <v>1747</v>
      </c>
      <c r="F149" s="13" t="s">
        <v>368</v>
      </c>
      <c r="G149" s="4">
        <v>2.5720039E7</v>
      </c>
      <c r="H149" s="4" t="s">
        <v>906</v>
      </c>
      <c r="I149" s="4"/>
      <c r="J149" s="4" t="s">
        <v>1023</v>
      </c>
      <c r="K149" s="4" t="s">
        <v>2821</v>
      </c>
      <c r="L149" s="15" t="str">
        <f t="shared" si="1"/>
        <v>ok</v>
      </c>
    </row>
    <row r="150" ht="60.0" customHeight="1">
      <c r="A150" s="13" t="s">
        <v>1366</v>
      </c>
      <c r="B150" s="13">
        <v>3.0</v>
      </c>
      <c r="C150" s="13" t="s">
        <v>2356</v>
      </c>
      <c r="D150" s="13" t="s">
        <v>1368</v>
      </c>
      <c r="E150" s="13" t="s">
        <v>1369</v>
      </c>
      <c r="F150" s="13" t="s">
        <v>368</v>
      </c>
      <c r="G150" s="4">
        <v>2.5754604E7</v>
      </c>
      <c r="H150" s="4" t="s">
        <v>906</v>
      </c>
      <c r="I150" s="4"/>
      <c r="J150" s="4" t="s">
        <v>1023</v>
      </c>
      <c r="K150" s="4" t="s">
        <v>2822</v>
      </c>
      <c r="L150" s="15" t="str">
        <f t="shared" si="1"/>
        <v>ok</v>
      </c>
    </row>
    <row r="151" ht="60.0" customHeight="1">
      <c r="A151" s="13" t="s">
        <v>1332</v>
      </c>
      <c r="B151" s="13">
        <v>3.0</v>
      </c>
      <c r="C151" s="13" t="s">
        <v>2360</v>
      </c>
      <c r="D151" s="13" t="s">
        <v>1334</v>
      </c>
      <c r="E151" s="13" t="s">
        <v>1335</v>
      </c>
      <c r="F151" s="13" t="s">
        <v>368</v>
      </c>
      <c r="G151" s="4">
        <v>2.5803072E7</v>
      </c>
      <c r="H151" s="4" t="s">
        <v>906</v>
      </c>
      <c r="I151" s="4"/>
      <c r="J151" s="4" t="s">
        <v>1023</v>
      </c>
      <c r="K151" s="4" t="s">
        <v>2823</v>
      </c>
      <c r="L151" s="15" t="str">
        <f t="shared" si="1"/>
        <v>ok</v>
      </c>
    </row>
    <row r="152" ht="60.0" customHeight="1">
      <c r="A152" s="13" t="s">
        <v>853</v>
      </c>
      <c r="B152" s="13">
        <v>3.0</v>
      </c>
      <c r="C152" s="13" t="s">
        <v>2356</v>
      </c>
      <c r="D152" s="13" t="s">
        <v>854</v>
      </c>
      <c r="E152" s="13" t="s">
        <v>855</v>
      </c>
      <c r="F152" s="13" t="s">
        <v>97</v>
      </c>
      <c r="G152" s="4">
        <v>2.584731E7</v>
      </c>
      <c r="H152" s="4" t="s">
        <v>694</v>
      </c>
      <c r="I152" s="4"/>
      <c r="J152" s="4"/>
      <c r="K152" s="4" t="s">
        <v>2824</v>
      </c>
      <c r="L152" s="15" t="str">
        <f t="shared" si="1"/>
        <v>ok</v>
      </c>
    </row>
    <row r="153" ht="60.0" customHeight="1">
      <c r="A153" s="13" t="s">
        <v>528</v>
      </c>
      <c r="B153" s="13">
        <v>3.0</v>
      </c>
      <c r="C153" s="13" t="s">
        <v>2356</v>
      </c>
      <c r="D153" s="13" t="s">
        <v>530</v>
      </c>
      <c r="E153" s="13" t="s">
        <v>531</v>
      </c>
      <c r="F153" s="13" t="s">
        <v>97</v>
      </c>
      <c r="G153" s="4">
        <v>2.5847518E7</v>
      </c>
      <c r="H153" s="4" t="s">
        <v>906</v>
      </c>
      <c r="I153" s="4"/>
      <c r="J153" s="4" t="s">
        <v>1953</v>
      </c>
      <c r="K153" s="4" t="s">
        <v>2825</v>
      </c>
      <c r="L153" s="15" t="str">
        <f t="shared" si="1"/>
        <v>ok</v>
      </c>
    </row>
    <row r="154" ht="60.0" customHeight="1">
      <c r="A154" s="13" t="s">
        <v>1370</v>
      </c>
      <c r="B154" s="13">
        <v>3.0</v>
      </c>
      <c r="C154" s="13" t="s">
        <v>2356</v>
      </c>
      <c r="D154" s="13" t="s">
        <v>1372</v>
      </c>
      <c r="E154" s="13" t="s">
        <v>1373</v>
      </c>
      <c r="F154" s="13" t="s">
        <v>97</v>
      </c>
      <c r="G154" s="4">
        <v>2.5884925E7</v>
      </c>
      <c r="H154" s="4" t="s">
        <v>906</v>
      </c>
      <c r="I154" s="4"/>
      <c r="J154" s="4" t="s">
        <v>1023</v>
      </c>
      <c r="K154" s="4" t="s">
        <v>2826</v>
      </c>
      <c r="L154" s="15" t="str">
        <f t="shared" si="1"/>
        <v>ok</v>
      </c>
    </row>
    <row r="155" ht="60.0" customHeight="1">
      <c r="A155" s="13" t="s">
        <v>1769</v>
      </c>
      <c r="B155" s="13">
        <v>3.0</v>
      </c>
      <c r="C155" s="13" t="s">
        <v>2356</v>
      </c>
      <c r="D155" s="13" t="s">
        <v>1771</v>
      </c>
      <c r="E155" s="13" t="s">
        <v>1772</v>
      </c>
      <c r="F155" s="13" t="s">
        <v>368</v>
      </c>
      <c r="G155" s="4">
        <v>2.5968321E7</v>
      </c>
      <c r="H155" s="4" t="s">
        <v>906</v>
      </c>
      <c r="I155" s="4"/>
      <c r="J155" s="4" t="s">
        <v>1023</v>
      </c>
      <c r="K155" s="4" t="s">
        <v>2827</v>
      </c>
      <c r="L155" s="15" t="str">
        <f t="shared" si="1"/>
        <v>ok</v>
      </c>
    </row>
    <row r="156" ht="60.0" customHeight="1">
      <c r="A156" s="13" t="s">
        <v>939</v>
      </c>
      <c r="B156" s="13">
        <v>3.0</v>
      </c>
      <c r="C156" s="13" t="s">
        <v>2356</v>
      </c>
      <c r="D156" s="13" t="s">
        <v>941</v>
      </c>
      <c r="E156" s="13" t="s">
        <v>942</v>
      </c>
      <c r="F156" s="13" t="s">
        <v>97</v>
      </c>
      <c r="G156" s="4">
        <v>2.609702E7</v>
      </c>
      <c r="H156" s="4" t="s">
        <v>906</v>
      </c>
      <c r="I156" s="4"/>
      <c r="J156" s="4" t="s">
        <v>2144</v>
      </c>
      <c r="K156" s="4" t="s">
        <v>2828</v>
      </c>
      <c r="L156" s="15" t="str">
        <f t="shared" si="1"/>
        <v>ok</v>
      </c>
    </row>
    <row r="157" ht="60.0" customHeight="1">
      <c r="A157" s="13" t="s">
        <v>464</v>
      </c>
      <c r="B157" s="13">
        <v>4.0</v>
      </c>
      <c r="C157" s="13" t="s">
        <v>2360</v>
      </c>
      <c r="D157" s="13" t="s">
        <v>466</v>
      </c>
      <c r="E157" s="13" t="s">
        <v>467</v>
      </c>
      <c r="F157" s="13" t="s">
        <v>126</v>
      </c>
      <c r="G157" s="4">
        <v>2.6104883E7</v>
      </c>
      <c r="H157" s="4" t="s">
        <v>98</v>
      </c>
      <c r="I157" s="4" t="s">
        <v>126</v>
      </c>
      <c r="J157" s="4"/>
      <c r="K157" s="4" t="s">
        <v>2829</v>
      </c>
      <c r="L157" s="15" t="str">
        <f t="shared" si="1"/>
        <v>ok</v>
      </c>
    </row>
    <row r="158" ht="60.0" customHeight="1">
      <c r="A158" s="13" t="s">
        <v>1781</v>
      </c>
      <c r="B158" s="13">
        <v>4.0</v>
      </c>
      <c r="C158" s="13" t="s">
        <v>2335</v>
      </c>
      <c r="D158" s="13" t="s">
        <v>1783</v>
      </c>
      <c r="E158" s="13" t="s">
        <v>1784</v>
      </c>
      <c r="F158" s="13" t="s">
        <v>97</v>
      </c>
      <c r="G158" s="4">
        <v>2.6176034E7</v>
      </c>
      <c r="H158" s="4" t="s">
        <v>906</v>
      </c>
      <c r="I158" s="4"/>
      <c r="J158" s="4" t="s">
        <v>1522</v>
      </c>
      <c r="K158" s="4" t="s">
        <v>2830</v>
      </c>
      <c r="L158" s="15" t="str">
        <f t="shared" si="1"/>
        <v>ok</v>
      </c>
    </row>
    <row r="159" ht="60.0" customHeight="1">
      <c r="A159" s="13" t="s">
        <v>1748</v>
      </c>
      <c r="B159" s="13">
        <v>4.0</v>
      </c>
      <c r="C159" s="13" t="s">
        <v>2360</v>
      </c>
      <c r="D159" s="13" t="s">
        <v>1750</v>
      </c>
      <c r="E159" s="13" t="s">
        <v>1751</v>
      </c>
      <c r="F159" s="13" t="s">
        <v>126</v>
      </c>
      <c r="G159" s="4">
        <v>2.621405E7</v>
      </c>
      <c r="H159" s="4" t="s">
        <v>906</v>
      </c>
      <c r="I159" s="4"/>
      <c r="J159" s="4" t="s">
        <v>1522</v>
      </c>
      <c r="K159" s="4" t="s">
        <v>2831</v>
      </c>
      <c r="L159" s="15" t="str">
        <f t="shared" si="1"/>
        <v>ok</v>
      </c>
    </row>
    <row r="160" ht="60.0" customHeight="1">
      <c r="A160" s="13" t="s">
        <v>1374</v>
      </c>
      <c r="B160" s="13">
        <v>4.0</v>
      </c>
      <c r="C160" s="13" t="s">
        <v>2356</v>
      </c>
      <c r="D160" s="13" t="s">
        <v>1376</v>
      </c>
      <c r="E160" s="13" t="s">
        <v>1377</v>
      </c>
      <c r="F160" s="13" t="s">
        <v>368</v>
      </c>
      <c r="G160" s="4">
        <v>2.6233973E7</v>
      </c>
      <c r="H160" s="4" t="s">
        <v>906</v>
      </c>
      <c r="I160" s="4"/>
      <c r="J160" s="4" t="s">
        <v>1023</v>
      </c>
      <c r="K160" s="4" t="s">
        <v>2832</v>
      </c>
      <c r="L160" s="15" t="str">
        <f t="shared" si="1"/>
        <v>ok</v>
      </c>
    </row>
    <row r="161" ht="60.0" customHeight="1">
      <c r="A161" s="13" t="s">
        <v>1380</v>
      </c>
      <c r="B161" s="13">
        <v>4.0</v>
      </c>
      <c r="C161" s="13" t="s">
        <v>2356</v>
      </c>
      <c r="D161" s="13" t="s">
        <v>1382</v>
      </c>
      <c r="E161" s="13" t="s">
        <v>1383</v>
      </c>
      <c r="F161" s="13" t="s">
        <v>368</v>
      </c>
      <c r="G161" s="4">
        <v>2.6288069E7</v>
      </c>
      <c r="H161" s="4" t="s">
        <v>906</v>
      </c>
      <c r="I161" s="4"/>
      <c r="J161" s="4" t="s">
        <v>1023</v>
      </c>
      <c r="K161" s="4" t="s">
        <v>2833</v>
      </c>
      <c r="L161" s="15" t="str">
        <f t="shared" si="1"/>
        <v>ok</v>
      </c>
    </row>
    <row r="162" ht="60.0" customHeight="1">
      <c r="A162" s="13" t="s">
        <v>532</v>
      </c>
      <c r="B162" s="13">
        <v>4.0</v>
      </c>
      <c r="C162" s="13" t="s">
        <v>2356</v>
      </c>
      <c r="D162" s="13" t="s">
        <v>534</v>
      </c>
      <c r="E162" s="13" t="s">
        <v>535</v>
      </c>
      <c r="F162" s="13" t="s">
        <v>97</v>
      </c>
      <c r="G162" s="4">
        <v>2.630794E7</v>
      </c>
      <c r="H162" s="4" t="s">
        <v>98</v>
      </c>
      <c r="I162" s="4" t="s">
        <v>97</v>
      </c>
      <c r="J162" s="4"/>
      <c r="K162" s="4" t="s">
        <v>2834</v>
      </c>
      <c r="L162" s="15" t="str">
        <f t="shared" si="1"/>
        <v>ok</v>
      </c>
    </row>
    <row r="163" ht="60.0" customHeight="1">
      <c r="A163" s="13" t="s">
        <v>857</v>
      </c>
      <c r="B163" s="13">
        <v>4.0</v>
      </c>
      <c r="C163" s="13" t="s">
        <v>2356</v>
      </c>
      <c r="D163" s="13" t="s">
        <v>859</v>
      </c>
      <c r="E163" s="13" t="s">
        <v>860</v>
      </c>
      <c r="F163" s="13" t="s">
        <v>368</v>
      </c>
      <c r="G163" s="4">
        <v>2.6347425E7</v>
      </c>
      <c r="H163" s="4" t="s">
        <v>98</v>
      </c>
      <c r="I163" s="4" t="s">
        <v>368</v>
      </c>
      <c r="J163" s="4"/>
      <c r="K163" s="4" t="s">
        <v>2835</v>
      </c>
      <c r="L163" s="15" t="str">
        <f t="shared" si="1"/>
        <v>ok</v>
      </c>
    </row>
    <row r="164" ht="60.0" customHeight="1">
      <c r="A164" s="13" t="s">
        <v>1753</v>
      </c>
      <c r="B164" s="13">
        <v>4.0</v>
      </c>
      <c r="C164" s="13" t="s">
        <v>2360</v>
      </c>
      <c r="D164" s="13" t="s">
        <v>1755</v>
      </c>
      <c r="E164" s="13" t="s">
        <v>1756</v>
      </c>
      <c r="F164" s="13" t="s">
        <v>368</v>
      </c>
      <c r="G164" s="4">
        <v>2.6372104E7</v>
      </c>
      <c r="H164" s="4" t="s">
        <v>906</v>
      </c>
      <c r="I164" s="4"/>
      <c r="J164" s="4" t="s">
        <v>1023</v>
      </c>
      <c r="K164" s="4" t="s">
        <v>2836</v>
      </c>
      <c r="L164" s="15" t="str">
        <f t="shared" si="1"/>
        <v>ok</v>
      </c>
    </row>
    <row r="165" ht="60.0" customHeight="1">
      <c r="A165" s="13" t="s">
        <v>2029</v>
      </c>
      <c r="B165" s="13">
        <v>4.0</v>
      </c>
      <c r="C165" s="13" t="s">
        <v>2356</v>
      </c>
      <c r="D165" s="13" t="s">
        <v>2031</v>
      </c>
      <c r="E165" s="13" t="s">
        <v>2032</v>
      </c>
      <c r="F165" s="13" t="s">
        <v>97</v>
      </c>
      <c r="G165" s="4">
        <v>2.637593E7</v>
      </c>
      <c r="H165" s="4" t="s">
        <v>906</v>
      </c>
      <c r="I165" s="4"/>
      <c r="J165" s="4" t="s">
        <v>1953</v>
      </c>
      <c r="K165" s="4" t="s">
        <v>2837</v>
      </c>
      <c r="L165" s="15" t="str">
        <f t="shared" si="1"/>
        <v>ok</v>
      </c>
    </row>
    <row r="166" ht="60.0" customHeight="1">
      <c r="A166" s="13" t="s">
        <v>943</v>
      </c>
      <c r="B166" s="13">
        <v>4.0</v>
      </c>
      <c r="C166" s="13" t="s">
        <v>2356</v>
      </c>
      <c r="D166" s="13" t="s">
        <v>945</v>
      </c>
      <c r="E166" s="13" t="s">
        <v>946</v>
      </c>
      <c r="F166" s="13" t="s">
        <v>97</v>
      </c>
      <c r="G166" s="4">
        <v>2.6452269E7</v>
      </c>
      <c r="H166" s="4" t="s">
        <v>906</v>
      </c>
      <c r="I166" s="4"/>
      <c r="J166" s="4" t="s">
        <v>907</v>
      </c>
      <c r="K166" s="4" t="s">
        <v>2838</v>
      </c>
      <c r="L166" s="15" t="str">
        <f t="shared" si="1"/>
        <v>ok</v>
      </c>
    </row>
    <row r="167" ht="60.0" customHeight="1">
      <c r="A167" s="13" t="s">
        <v>469</v>
      </c>
      <c r="B167" s="13">
        <v>4.0</v>
      </c>
      <c r="C167" s="13" t="s">
        <v>2360</v>
      </c>
      <c r="D167" s="13" t="s">
        <v>471</v>
      </c>
      <c r="E167" s="13" t="s">
        <v>472</v>
      </c>
      <c r="F167" s="13" t="s">
        <v>97</v>
      </c>
      <c r="G167" s="4">
        <v>2.6453443E7</v>
      </c>
      <c r="H167" s="4" t="s">
        <v>98</v>
      </c>
      <c r="I167" s="4" t="s">
        <v>97</v>
      </c>
      <c r="J167" s="4"/>
      <c r="K167" s="4" t="s">
        <v>2839</v>
      </c>
      <c r="L167" s="15" t="str">
        <f t="shared" si="1"/>
        <v>ok</v>
      </c>
    </row>
    <row r="168" ht="60.0" customHeight="1">
      <c r="A168" s="13" t="s">
        <v>473</v>
      </c>
      <c r="B168" s="13">
        <v>4.0</v>
      </c>
      <c r="C168" s="13" t="s">
        <v>2360</v>
      </c>
      <c r="D168" s="13" t="s">
        <v>475</v>
      </c>
      <c r="E168" s="13" t="s">
        <v>476</v>
      </c>
      <c r="F168" s="13" t="s">
        <v>126</v>
      </c>
      <c r="G168" s="4">
        <v>2.6473304E7</v>
      </c>
      <c r="H168" s="4" t="s">
        <v>98</v>
      </c>
      <c r="I168" s="4" t="s">
        <v>126</v>
      </c>
      <c r="J168" s="4"/>
      <c r="K168" s="4" t="s">
        <v>2840</v>
      </c>
      <c r="L168" s="15" t="str">
        <f t="shared" si="1"/>
        <v>ok</v>
      </c>
    </row>
    <row r="169" ht="60.0" customHeight="1">
      <c r="A169" s="13" t="s">
        <v>1337</v>
      </c>
      <c r="B169" s="13">
        <v>4.0</v>
      </c>
      <c r="C169" s="13" t="s">
        <v>2360</v>
      </c>
      <c r="D169" s="13" t="s">
        <v>1338</v>
      </c>
      <c r="E169" s="13" t="s">
        <v>1339</v>
      </c>
      <c r="F169" s="13" t="s">
        <v>368</v>
      </c>
      <c r="G169" s="4">
        <v>2.6498918E7</v>
      </c>
      <c r="H169" s="4" t="s">
        <v>906</v>
      </c>
      <c r="I169" s="4"/>
      <c r="J169" s="4" t="s">
        <v>1023</v>
      </c>
      <c r="K169" s="4" t="s">
        <v>2841</v>
      </c>
      <c r="L169" s="15" t="str">
        <f t="shared" si="1"/>
        <v>ok</v>
      </c>
    </row>
    <row r="170" ht="60.0" customHeight="1">
      <c r="A170" s="13" t="s">
        <v>1757</v>
      </c>
      <c r="B170" s="13">
        <v>4.0</v>
      </c>
      <c r="C170" s="13" t="s">
        <v>2360</v>
      </c>
      <c r="D170" s="13" t="s">
        <v>1759</v>
      </c>
      <c r="E170" s="13" t="s">
        <v>1760</v>
      </c>
      <c r="F170" s="13" t="s">
        <v>97</v>
      </c>
      <c r="G170" s="4">
        <v>2.6519042E7</v>
      </c>
      <c r="H170" s="4" t="s">
        <v>906</v>
      </c>
      <c r="I170" s="4"/>
      <c r="J170" s="4" t="s">
        <v>1522</v>
      </c>
      <c r="K170" s="4" t="s">
        <v>2842</v>
      </c>
      <c r="L170" s="15" t="str">
        <f t="shared" si="1"/>
        <v>ok</v>
      </c>
    </row>
    <row r="171" ht="60.0" customHeight="1">
      <c r="A171" s="13" t="s">
        <v>1340</v>
      </c>
      <c r="B171" s="13">
        <v>4.0</v>
      </c>
      <c r="C171" s="13" t="s">
        <v>2360</v>
      </c>
      <c r="D171" s="13" t="s">
        <v>1342</v>
      </c>
      <c r="E171" s="13" t="s">
        <v>1343</v>
      </c>
      <c r="F171" s="13" t="s">
        <v>368</v>
      </c>
      <c r="G171" s="4">
        <v>2.6538356E7</v>
      </c>
      <c r="H171" s="4" t="s">
        <v>906</v>
      </c>
      <c r="I171" s="4"/>
      <c r="J171" s="4" t="s">
        <v>1953</v>
      </c>
      <c r="K171" s="4" t="s">
        <v>2843</v>
      </c>
      <c r="L171" s="15" t="str">
        <f t="shared" si="1"/>
        <v>ok</v>
      </c>
    </row>
    <row r="172" ht="60.0" customHeight="1">
      <c r="A172" s="13" t="s">
        <v>478</v>
      </c>
      <c r="B172" s="13">
        <v>4.0</v>
      </c>
      <c r="C172" s="13" t="s">
        <v>2360</v>
      </c>
      <c r="D172" s="13" t="s">
        <v>480</v>
      </c>
      <c r="E172" s="13" t="s">
        <v>481</v>
      </c>
      <c r="F172" s="13" t="s">
        <v>97</v>
      </c>
      <c r="G172" s="4">
        <v>2.6663415E7</v>
      </c>
      <c r="H172" s="4" t="s">
        <v>98</v>
      </c>
      <c r="I172" s="4" t="s">
        <v>97</v>
      </c>
      <c r="J172" s="4"/>
      <c r="K172" s="4" t="s">
        <v>2844</v>
      </c>
      <c r="L172" s="15" t="str">
        <f t="shared" si="1"/>
        <v>ok</v>
      </c>
    </row>
    <row r="173" ht="60.0" customHeight="1">
      <c r="A173" s="13" t="s">
        <v>482</v>
      </c>
      <c r="B173" s="13">
        <v>4.0</v>
      </c>
      <c r="C173" s="13" t="s">
        <v>2360</v>
      </c>
      <c r="D173" s="13" t="s">
        <v>484</v>
      </c>
      <c r="E173" s="13" t="s">
        <v>485</v>
      </c>
      <c r="F173" s="13" t="s">
        <v>126</v>
      </c>
      <c r="G173" s="4">
        <v>2.6728763E7</v>
      </c>
      <c r="H173" s="4" t="s">
        <v>98</v>
      </c>
      <c r="I173" s="4" t="s">
        <v>126</v>
      </c>
      <c r="J173" s="4"/>
      <c r="K173" s="4" t="s">
        <v>2845</v>
      </c>
      <c r="L173" s="15" t="str">
        <f t="shared" si="1"/>
        <v>ok</v>
      </c>
    </row>
    <row r="174" ht="60.0" customHeight="1">
      <c r="A174" s="13" t="s">
        <v>1761</v>
      </c>
      <c r="B174" s="13">
        <v>4.0</v>
      </c>
      <c r="C174" s="13" t="s">
        <v>2360</v>
      </c>
      <c r="D174" s="13" t="s">
        <v>1763</v>
      </c>
      <c r="E174" s="13" t="s">
        <v>1764</v>
      </c>
      <c r="F174" s="13" t="s">
        <v>97</v>
      </c>
      <c r="G174" s="4">
        <v>2.673935E7</v>
      </c>
      <c r="H174" s="4" t="s">
        <v>906</v>
      </c>
      <c r="I174" s="4"/>
      <c r="J174" s="4" t="s">
        <v>1522</v>
      </c>
      <c r="K174" s="4" t="s">
        <v>2846</v>
      </c>
      <c r="L174" s="15" t="str">
        <f t="shared" si="1"/>
        <v>ok</v>
      </c>
    </row>
    <row r="175" ht="60.0" customHeight="1">
      <c r="A175" s="13" t="s">
        <v>846</v>
      </c>
      <c r="B175" s="13">
        <v>4.0</v>
      </c>
      <c r="C175" s="13" t="s">
        <v>2360</v>
      </c>
      <c r="D175" s="13" t="s">
        <v>847</v>
      </c>
      <c r="E175" s="13" t="s">
        <v>848</v>
      </c>
      <c r="F175" s="13" t="s">
        <v>850</v>
      </c>
      <c r="G175" s="4">
        <v>2.6740293E7</v>
      </c>
      <c r="H175" s="4" t="s">
        <v>694</v>
      </c>
      <c r="I175" s="4"/>
      <c r="J175" s="4"/>
      <c r="K175" s="4" t="s">
        <v>2847</v>
      </c>
      <c r="L175" s="15" t="str">
        <f t="shared" si="1"/>
        <v>ok</v>
      </c>
    </row>
    <row r="176" ht="60.0" customHeight="1">
      <c r="A176" s="13" t="s">
        <v>486</v>
      </c>
      <c r="B176" s="13">
        <v>4.0</v>
      </c>
      <c r="C176" s="13" t="s">
        <v>2360</v>
      </c>
      <c r="D176" s="13" t="s">
        <v>488</v>
      </c>
      <c r="E176" s="13" t="s">
        <v>489</v>
      </c>
      <c r="F176" s="13" t="s">
        <v>97</v>
      </c>
      <c r="G176" s="4">
        <v>2.6820816E7</v>
      </c>
      <c r="H176" s="4" t="s">
        <v>98</v>
      </c>
      <c r="I176" s="4" t="s">
        <v>97</v>
      </c>
      <c r="J176" s="4"/>
      <c r="K176" s="4" t="s">
        <v>2848</v>
      </c>
      <c r="L176" s="15" t="str">
        <f t="shared" si="1"/>
        <v>ok</v>
      </c>
    </row>
    <row r="177" ht="60.0" customHeight="1">
      <c r="A177" s="13" t="s">
        <v>491</v>
      </c>
      <c r="B177" s="13">
        <v>4.0</v>
      </c>
      <c r="C177" s="13" t="s">
        <v>2360</v>
      </c>
      <c r="D177" s="13" t="s">
        <v>493</v>
      </c>
      <c r="E177" s="13" t="s">
        <v>494</v>
      </c>
      <c r="F177" s="13" t="s">
        <v>97</v>
      </c>
      <c r="G177" s="4">
        <v>2.6821376E7</v>
      </c>
      <c r="H177" s="4" t="s">
        <v>98</v>
      </c>
      <c r="I177" s="4" t="s">
        <v>97</v>
      </c>
      <c r="J177" s="4"/>
      <c r="K177" s="4" t="s">
        <v>2849</v>
      </c>
      <c r="L177" s="15" t="str">
        <f t="shared" si="1"/>
        <v>ok</v>
      </c>
    </row>
    <row r="178" ht="60.0" customHeight="1">
      <c r="A178" s="13" t="s">
        <v>803</v>
      </c>
      <c r="B178" s="13">
        <v>4.0</v>
      </c>
      <c r="C178" s="13" t="s">
        <v>2360</v>
      </c>
      <c r="D178" s="13" t="s">
        <v>804</v>
      </c>
      <c r="E178" s="13" t="s">
        <v>805</v>
      </c>
      <c r="F178" s="13" t="s">
        <v>97</v>
      </c>
      <c r="G178" s="4">
        <v>2.6847083E7</v>
      </c>
      <c r="H178" s="4" t="s">
        <v>694</v>
      </c>
      <c r="I178" s="4"/>
      <c r="J178" s="4"/>
      <c r="K178" s="4" t="s">
        <v>2850</v>
      </c>
      <c r="L178" s="15" t="str">
        <f t="shared" si="1"/>
        <v>ok</v>
      </c>
    </row>
    <row r="179" ht="60.0" customHeight="1">
      <c r="A179" s="13" t="s">
        <v>1765</v>
      </c>
      <c r="B179" s="13">
        <v>4.0</v>
      </c>
      <c r="C179" s="13" t="s">
        <v>2360</v>
      </c>
      <c r="D179" s="13" t="s">
        <v>1767</v>
      </c>
      <c r="E179" s="13" t="s">
        <v>1768</v>
      </c>
      <c r="F179" s="13" t="s">
        <v>368</v>
      </c>
      <c r="G179" s="4">
        <v>2.6934494E7</v>
      </c>
      <c r="H179" s="4" t="s">
        <v>906</v>
      </c>
      <c r="I179" s="4"/>
      <c r="J179" s="4" t="s">
        <v>1522</v>
      </c>
      <c r="K179" s="4" t="s">
        <v>2851</v>
      </c>
      <c r="L179" s="15" t="str">
        <f t="shared" si="1"/>
        <v>ok</v>
      </c>
    </row>
    <row r="180" ht="60.0" customHeight="1">
      <c r="A180" s="13" t="s">
        <v>1344</v>
      </c>
      <c r="B180" s="13">
        <v>4.0</v>
      </c>
      <c r="C180" s="13" t="s">
        <v>2360</v>
      </c>
      <c r="D180" s="13" t="s">
        <v>1346</v>
      </c>
      <c r="E180" s="13" t="s">
        <v>1347</v>
      </c>
      <c r="F180" s="13" t="s">
        <v>368</v>
      </c>
      <c r="G180" s="4">
        <v>2.6941176E7</v>
      </c>
      <c r="H180" s="4" t="s">
        <v>906</v>
      </c>
      <c r="I180" s="4"/>
      <c r="J180" s="4" t="s">
        <v>1023</v>
      </c>
      <c r="K180" s="4" t="s">
        <v>2852</v>
      </c>
      <c r="L180" s="15" t="str">
        <f t="shared" si="1"/>
        <v>ok</v>
      </c>
    </row>
    <row r="181" ht="60.0" customHeight="1">
      <c r="A181" s="13" t="s">
        <v>1348</v>
      </c>
      <c r="B181" s="13">
        <v>4.0</v>
      </c>
      <c r="C181" s="13" t="s">
        <v>2360</v>
      </c>
      <c r="D181" s="13" t="s">
        <v>1350</v>
      </c>
      <c r="E181" s="13" t="s">
        <v>1351</v>
      </c>
      <c r="F181" s="13" t="s">
        <v>368</v>
      </c>
      <c r="G181" s="4">
        <v>2.694828E7</v>
      </c>
      <c r="H181" s="4" t="s">
        <v>906</v>
      </c>
      <c r="I181" s="4"/>
      <c r="J181" s="4" t="s">
        <v>1023</v>
      </c>
      <c r="K181" s="4" t="s">
        <v>2853</v>
      </c>
      <c r="L181" s="15" t="str">
        <f t="shared" si="1"/>
        <v>ok</v>
      </c>
    </row>
    <row r="182" ht="60.0" customHeight="1">
      <c r="A182" s="13" t="s">
        <v>1936</v>
      </c>
      <c r="B182" s="13">
        <v>4.0</v>
      </c>
      <c r="C182" s="13" t="s">
        <v>2360</v>
      </c>
      <c r="D182" s="13" t="s">
        <v>1938</v>
      </c>
      <c r="E182" s="13" t="s">
        <v>1939</v>
      </c>
      <c r="F182" s="13" t="s">
        <v>97</v>
      </c>
      <c r="G182" s="4">
        <v>2.7087248E7</v>
      </c>
      <c r="H182" s="4" t="s">
        <v>694</v>
      </c>
      <c r="I182" s="4"/>
      <c r="J182" s="4"/>
      <c r="K182" s="4" t="s">
        <v>2854</v>
      </c>
      <c r="L182" s="15" t="str">
        <f t="shared" si="1"/>
        <v>ok</v>
      </c>
    </row>
    <row r="183" ht="60.0" customHeight="1">
      <c r="A183" s="13" t="s">
        <v>2154</v>
      </c>
      <c r="B183" s="13">
        <v>4.0</v>
      </c>
      <c r="C183" s="13" t="s">
        <v>2360</v>
      </c>
      <c r="D183" s="13" t="s">
        <v>2156</v>
      </c>
      <c r="E183" s="13" t="s">
        <v>2157</v>
      </c>
      <c r="F183" s="13" t="s">
        <v>368</v>
      </c>
      <c r="G183" s="4">
        <v>2.7135649E7</v>
      </c>
      <c r="H183" s="4" t="s">
        <v>906</v>
      </c>
      <c r="I183" s="4"/>
      <c r="J183" s="4" t="s">
        <v>2144</v>
      </c>
      <c r="K183" s="4" t="s">
        <v>2855</v>
      </c>
      <c r="L183" s="15" t="str">
        <f t="shared" si="1"/>
        <v>ok</v>
      </c>
    </row>
    <row r="184" ht="60.0" customHeight="1">
      <c r="A184" s="13" t="s">
        <v>495</v>
      </c>
      <c r="B184" s="13">
        <v>4.0</v>
      </c>
      <c r="C184" s="13" t="s">
        <v>2360</v>
      </c>
      <c r="D184" s="13" t="s">
        <v>497</v>
      </c>
      <c r="E184" s="13" t="s">
        <v>498</v>
      </c>
      <c r="F184" s="13" t="s">
        <v>368</v>
      </c>
      <c r="G184" s="4">
        <v>2.7167547E7</v>
      </c>
      <c r="H184" s="4" t="s">
        <v>906</v>
      </c>
      <c r="I184" s="4"/>
      <c r="J184" s="4" t="s">
        <v>2111</v>
      </c>
      <c r="K184" s="4" t="s">
        <v>2856</v>
      </c>
      <c r="L184" s="15" t="str">
        <f t="shared" si="1"/>
        <v>ok</v>
      </c>
    </row>
    <row r="185" ht="60.0" customHeight="1">
      <c r="A185" s="13" t="s">
        <v>808</v>
      </c>
      <c r="B185" s="13">
        <v>4.0</v>
      </c>
      <c r="C185" s="13" t="s">
        <v>2360</v>
      </c>
      <c r="D185" s="13" t="s">
        <v>809</v>
      </c>
      <c r="E185" s="13" t="s">
        <v>810</v>
      </c>
      <c r="F185" s="13" t="s">
        <v>97</v>
      </c>
      <c r="G185" s="4">
        <v>2.7182826E7</v>
      </c>
      <c r="H185" s="4" t="s">
        <v>694</v>
      </c>
      <c r="I185" s="4"/>
      <c r="J185" s="4"/>
      <c r="K185" s="4" t="s">
        <v>2857</v>
      </c>
      <c r="L185" s="15" t="str">
        <f t="shared" si="1"/>
        <v>ok</v>
      </c>
    </row>
    <row r="186" ht="60.0" customHeight="1">
      <c r="A186" s="13" t="s">
        <v>813</v>
      </c>
      <c r="B186" s="13">
        <v>4.0</v>
      </c>
      <c r="C186" s="13" t="s">
        <v>2360</v>
      </c>
      <c r="D186" s="13" t="s">
        <v>815</v>
      </c>
      <c r="E186" s="13" t="s">
        <v>816</v>
      </c>
      <c r="F186" s="13" t="s">
        <v>126</v>
      </c>
      <c r="G186" s="4">
        <v>2.7234469E7</v>
      </c>
      <c r="H186" s="4" t="s">
        <v>694</v>
      </c>
      <c r="I186" s="4"/>
      <c r="J186" s="4"/>
      <c r="K186" s="4" t="s">
        <v>2858</v>
      </c>
      <c r="L186" s="15" t="str">
        <f t="shared" si="1"/>
        <v>ok</v>
      </c>
    </row>
    <row r="187" ht="60.0" customHeight="1">
      <c r="A187" s="13" t="s">
        <v>820</v>
      </c>
      <c r="B187" s="13">
        <v>4.0</v>
      </c>
      <c r="C187" s="13" t="s">
        <v>2360</v>
      </c>
      <c r="D187" s="13" t="s">
        <v>822</v>
      </c>
      <c r="E187" s="13" t="s">
        <v>823</v>
      </c>
      <c r="F187" s="13" t="s">
        <v>97</v>
      </c>
      <c r="G187" s="4">
        <v>2.7312333E7</v>
      </c>
      <c r="H187" s="4" t="s">
        <v>694</v>
      </c>
      <c r="I187" s="4"/>
      <c r="J187" s="4"/>
      <c r="K187" s="4" t="s">
        <v>2859</v>
      </c>
      <c r="L187" s="15" t="str">
        <f t="shared" si="1"/>
        <v>ok</v>
      </c>
    </row>
    <row r="188" ht="60.0" customHeight="1">
      <c r="A188" s="13" t="s">
        <v>825</v>
      </c>
      <c r="B188" s="13">
        <v>4.0</v>
      </c>
      <c r="C188" s="13" t="s">
        <v>2360</v>
      </c>
      <c r="D188" s="13" t="s">
        <v>827</v>
      </c>
      <c r="E188" s="13" t="s">
        <v>828</v>
      </c>
      <c r="F188" s="13" t="s">
        <v>97</v>
      </c>
      <c r="G188" s="4">
        <v>2.7338604E7</v>
      </c>
      <c r="H188" s="4" t="s">
        <v>694</v>
      </c>
      <c r="I188" s="4"/>
      <c r="J188" s="4"/>
      <c r="K188" s="4" t="s">
        <v>2860</v>
      </c>
      <c r="L188" s="15" t="str">
        <f t="shared" si="1"/>
        <v>ok</v>
      </c>
    </row>
    <row r="189" ht="60.0" customHeight="1">
      <c r="A189" s="13" t="s">
        <v>500</v>
      </c>
      <c r="B189" s="13">
        <v>4.0</v>
      </c>
      <c r="C189" s="13" t="s">
        <v>2360</v>
      </c>
      <c r="D189" s="13" t="s">
        <v>502</v>
      </c>
      <c r="E189" s="13" t="s">
        <v>503</v>
      </c>
      <c r="F189" s="13" t="s">
        <v>126</v>
      </c>
      <c r="G189" s="4">
        <v>2.7437608E7</v>
      </c>
      <c r="H189" s="4" t="s">
        <v>906</v>
      </c>
      <c r="I189" s="4"/>
      <c r="J189" s="4" t="s">
        <v>2111</v>
      </c>
      <c r="K189" s="4" t="s">
        <v>2861</v>
      </c>
      <c r="L189" s="15" t="str">
        <f t="shared" si="1"/>
        <v>ok</v>
      </c>
    </row>
    <row r="190" ht="60.0" customHeight="1">
      <c r="A190" s="13" t="s">
        <v>504</v>
      </c>
      <c r="B190" s="13">
        <v>4.0</v>
      </c>
      <c r="C190" s="13" t="s">
        <v>2360</v>
      </c>
      <c r="D190" s="13" t="s">
        <v>506</v>
      </c>
      <c r="E190" s="13" t="s">
        <v>507</v>
      </c>
      <c r="F190" s="13" t="s">
        <v>97</v>
      </c>
      <c r="G190" s="4">
        <v>2.7458947E7</v>
      </c>
      <c r="H190" s="4" t="s">
        <v>98</v>
      </c>
      <c r="I190" s="4" t="s">
        <v>97</v>
      </c>
      <c r="J190" s="4"/>
      <c r="K190" s="4" t="s">
        <v>2862</v>
      </c>
      <c r="L190" s="15" t="str">
        <f t="shared" si="1"/>
        <v>ok</v>
      </c>
    </row>
    <row r="191" ht="60.0" customHeight="1">
      <c r="A191" s="13" t="s">
        <v>2021</v>
      </c>
      <c r="B191" s="13">
        <v>4.0</v>
      </c>
      <c r="C191" s="13" t="s">
        <v>2360</v>
      </c>
      <c r="D191" s="13" t="s">
        <v>2023</v>
      </c>
      <c r="E191" s="13" t="s">
        <v>2024</v>
      </c>
      <c r="F191" s="13" t="s">
        <v>97</v>
      </c>
      <c r="G191" s="4">
        <v>2.7474103E7</v>
      </c>
      <c r="H191" s="4" t="s">
        <v>906</v>
      </c>
      <c r="I191" s="4"/>
      <c r="J191" s="4" t="s">
        <v>1953</v>
      </c>
      <c r="K191" s="4" t="s">
        <v>2863</v>
      </c>
      <c r="L191" s="15" t="str">
        <f t="shared" si="1"/>
        <v>ok</v>
      </c>
    </row>
    <row r="192" ht="60.0" customHeight="1">
      <c r="A192" s="13" t="s">
        <v>433</v>
      </c>
      <c r="B192" s="13">
        <v>4.0</v>
      </c>
      <c r="C192" s="13" t="s">
        <v>2404</v>
      </c>
      <c r="D192" s="13" t="s">
        <v>435</v>
      </c>
      <c r="E192" s="13" t="s">
        <v>436</v>
      </c>
      <c r="F192" s="13" t="s">
        <v>97</v>
      </c>
      <c r="G192" s="4">
        <v>2.7490773E7</v>
      </c>
      <c r="H192" s="4" t="s">
        <v>98</v>
      </c>
      <c r="I192" s="4" t="s">
        <v>97</v>
      </c>
      <c r="J192" s="4"/>
      <c r="K192" s="4" t="s">
        <v>2864</v>
      </c>
      <c r="L192" s="15" t="str">
        <f t="shared" si="1"/>
        <v>ok</v>
      </c>
    </row>
    <row r="193" ht="60.0" customHeight="1">
      <c r="A193" s="13" t="s">
        <v>509</v>
      </c>
      <c r="B193" s="13">
        <v>4.0</v>
      </c>
      <c r="C193" s="13" t="s">
        <v>2360</v>
      </c>
      <c r="D193" s="13" t="s">
        <v>511</v>
      </c>
      <c r="E193" s="13" t="s">
        <v>512</v>
      </c>
      <c r="F193" s="13" t="s">
        <v>97</v>
      </c>
      <c r="G193" s="4">
        <v>2.7530709E7</v>
      </c>
      <c r="H193" s="4" t="s">
        <v>98</v>
      </c>
      <c r="I193" s="4" t="s">
        <v>97</v>
      </c>
      <c r="J193" s="4"/>
      <c r="K193" s="4" t="s">
        <v>2865</v>
      </c>
      <c r="L193" s="15" t="str">
        <f t="shared" si="1"/>
        <v>ok</v>
      </c>
    </row>
    <row r="194" ht="60.0" customHeight="1">
      <c r="A194" s="13" t="s">
        <v>2025</v>
      </c>
      <c r="B194" s="13">
        <v>4.0</v>
      </c>
      <c r="C194" s="13" t="s">
        <v>2360</v>
      </c>
      <c r="D194" s="13" t="s">
        <v>2027</v>
      </c>
      <c r="E194" s="13" t="s">
        <v>2028</v>
      </c>
      <c r="F194" s="13" t="s">
        <v>97</v>
      </c>
      <c r="G194" s="4">
        <v>2.7545023E7</v>
      </c>
      <c r="H194" s="4" t="s">
        <v>98</v>
      </c>
      <c r="I194" s="4" t="s">
        <v>97</v>
      </c>
      <c r="J194" s="4"/>
      <c r="K194" s="4" t="s">
        <v>2866</v>
      </c>
      <c r="L194" s="15" t="str">
        <f t="shared" si="1"/>
        <v>ok</v>
      </c>
    </row>
    <row r="195" ht="60.0" customHeight="1">
      <c r="A195" s="13" t="s">
        <v>1308</v>
      </c>
      <c r="B195" s="13">
        <v>4.0</v>
      </c>
      <c r="C195" s="13" t="s">
        <v>2404</v>
      </c>
      <c r="D195" s="13" t="s">
        <v>1310</v>
      </c>
      <c r="E195" s="13" t="s">
        <v>1311</v>
      </c>
      <c r="F195" s="13" t="s">
        <v>368</v>
      </c>
      <c r="G195" s="4">
        <v>2.7549925E7</v>
      </c>
      <c r="H195" s="4" t="s">
        <v>906</v>
      </c>
      <c r="I195" s="4"/>
      <c r="J195" s="4" t="s">
        <v>1023</v>
      </c>
      <c r="K195" s="4" t="s">
        <v>2867</v>
      </c>
      <c r="L195" s="15" t="str">
        <f t="shared" si="1"/>
        <v>ok</v>
      </c>
    </row>
    <row r="196" ht="60.0" customHeight="1">
      <c r="A196" s="13" t="s">
        <v>514</v>
      </c>
      <c r="B196" s="13">
        <v>4.0</v>
      </c>
      <c r="C196" s="13" t="s">
        <v>2360</v>
      </c>
      <c r="D196" s="13" t="s">
        <v>516</v>
      </c>
      <c r="E196" s="13" t="s">
        <v>517</v>
      </c>
      <c r="F196" s="13" t="s">
        <v>97</v>
      </c>
      <c r="G196" s="4">
        <v>2.7550159E7</v>
      </c>
      <c r="H196" s="4" t="s">
        <v>906</v>
      </c>
      <c r="I196" s="4"/>
      <c r="J196" s="4" t="s">
        <v>2111</v>
      </c>
      <c r="K196" s="4" t="s">
        <v>2868</v>
      </c>
      <c r="L196" s="15" t="str">
        <f t="shared" si="1"/>
        <v>ok</v>
      </c>
    </row>
    <row r="197" ht="60.0" customHeight="1">
      <c r="A197" s="13" t="s">
        <v>831</v>
      </c>
      <c r="B197" s="13">
        <v>4.0</v>
      </c>
      <c r="C197" s="13" t="s">
        <v>2360</v>
      </c>
      <c r="D197" s="13" t="s">
        <v>833</v>
      </c>
      <c r="E197" s="13" t="s">
        <v>834</v>
      </c>
      <c r="F197" s="13" t="s">
        <v>97</v>
      </c>
      <c r="G197" s="4">
        <v>2.7557275E7</v>
      </c>
      <c r="H197" s="4" t="s">
        <v>694</v>
      </c>
      <c r="I197" s="4"/>
      <c r="J197" s="4"/>
      <c r="K197" s="4" t="s">
        <v>2869</v>
      </c>
      <c r="L197" s="15" t="str">
        <f t="shared" si="1"/>
        <v>ok</v>
      </c>
    </row>
    <row r="198" ht="60.0" customHeight="1">
      <c r="A198" s="13" t="s">
        <v>437</v>
      </c>
      <c r="B198" s="13">
        <v>4.0</v>
      </c>
      <c r="C198" s="13" t="s">
        <v>2404</v>
      </c>
      <c r="D198" s="13" t="s">
        <v>439</v>
      </c>
      <c r="E198" s="13" t="s">
        <v>440</v>
      </c>
      <c r="F198" s="13" t="s">
        <v>368</v>
      </c>
      <c r="G198" s="4">
        <v>2.75913E7</v>
      </c>
      <c r="H198" s="4" t="s">
        <v>906</v>
      </c>
      <c r="I198" s="4"/>
      <c r="J198" s="4" t="s">
        <v>2111</v>
      </c>
      <c r="K198" s="4" t="s">
        <v>2870</v>
      </c>
      <c r="L198" s="15" t="str">
        <f t="shared" si="1"/>
        <v>ok</v>
      </c>
    </row>
    <row r="199" ht="60.0" customHeight="1">
      <c r="A199" s="13" t="s">
        <v>836</v>
      </c>
      <c r="B199" s="13">
        <v>4.0</v>
      </c>
      <c r="C199" s="13" t="s">
        <v>2360</v>
      </c>
      <c r="D199" s="13" t="s">
        <v>838</v>
      </c>
      <c r="E199" s="13" t="s">
        <v>839</v>
      </c>
      <c r="F199" s="13" t="s">
        <v>97</v>
      </c>
      <c r="G199" s="4">
        <v>2.7643592E7</v>
      </c>
      <c r="H199" s="4" t="s">
        <v>694</v>
      </c>
      <c r="I199" s="4"/>
      <c r="J199" s="4"/>
      <c r="K199" s="4" t="s">
        <v>2871</v>
      </c>
      <c r="L199" s="15" t="str">
        <f t="shared" si="1"/>
        <v>ok</v>
      </c>
    </row>
    <row r="200" ht="60.0" customHeight="1">
      <c r="A200" s="13" t="s">
        <v>1353</v>
      </c>
      <c r="B200" s="13">
        <v>4.0</v>
      </c>
      <c r="C200" s="13" t="s">
        <v>2360</v>
      </c>
      <c r="D200" s="13" t="s">
        <v>1355</v>
      </c>
      <c r="E200" s="13" t="s">
        <v>1356</v>
      </c>
      <c r="F200" s="13" t="s">
        <v>368</v>
      </c>
      <c r="G200" s="4">
        <v>2.7668198E7</v>
      </c>
      <c r="H200" s="4" t="s">
        <v>906</v>
      </c>
      <c r="I200" s="4"/>
      <c r="J200" s="4" t="s">
        <v>1023</v>
      </c>
      <c r="K200" s="4" t="s">
        <v>2872</v>
      </c>
      <c r="L200" s="15" t="str">
        <f t="shared" si="1"/>
        <v>ok</v>
      </c>
    </row>
    <row r="201" ht="60.0" customHeight="1">
      <c r="A201" s="13" t="s">
        <v>1358</v>
      </c>
      <c r="B201" s="13">
        <v>4.0</v>
      </c>
      <c r="C201" s="13" t="s">
        <v>2360</v>
      </c>
      <c r="D201" s="13" t="s">
        <v>1360</v>
      </c>
      <c r="E201" s="13" t="s">
        <v>1361</v>
      </c>
      <c r="F201" s="13" t="s">
        <v>368</v>
      </c>
      <c r="G201" s="4">
        <v>2.7750376E7</v>
      </c>
      <c r="H201" s="4" t="s">
        <v>906</v>
      </c>
      <c r="I201" s="4"/>
      <c r="J201" s="4" t="s">
        <v>1023</v>
      </c>
      <c r="K201" s="4" t="s">
        <v>2873</v>
      </c>
      <c r="L201" s="15" t="str">
        <f t="shared" si="1"/>
        <v>ok</v>
      </c>
    </row>
    <row r="202" ht="60.0" customHeight="1">
      <c r="A202" s="13" t="s">
        <v>841</v>
      </c>
      <c r="B202" s="13">
        <v>4.0</v>
      </c>
      <c r="C202" s="13" t="s">
        <v>2360</v>
      </c>
      <c r="D202" s="13" t="s">
        <v>843</v>
      </c>
      <c r="E202" s="13" t="s">
        <v>844</v>
      </c>
      <c r="F202" s="13" t="s">
        <v>368</v>
      </c>
      <c r="G202" s="4">
        <v>2.7760457E7</v>
      </c>
      <c r="H202" s="4" t="s">
        <v>98</v>
      </c>
      <c r="I202" s="4" t="s">
        <v>368</v>
      </c>
      <c r="J202" s="4"/>
      <c r="K202" s="4" t="s">
        <v>2874</v>
      </c>
      <c r="L202" s="15" t="str">
        <f t="shared" si="1"/>
        <v>ok</v>
      </c>
    </row>
    <row r="203" ht="60.0" customHeight="1">
      <c r="A203" s="13" t="s">
        <v>1713</v>
      </c>
      <c r="B203" s="13">
        <v>4.0</v>
      </c>
      <c r="C203" s="13" t="s">
        <v>2404</v>
      </c>
      <c r="D203" s="13" t="s">
        <v>1715</v>
      </c>
      <c r="E203" s="13" t="s">
        <v>1716</v>
      </c>
      <c r="F203" s="13" t="s">
        <v>368</v>
      </c>
      <c r="G203" s="4">
        <v>2.7889224E7</v>
      </c>
      <c r="H203" s="4" t="s">
        <v>906</v>
      </c>
      <c r="I203" s="4"/>
      <c r="J203" s="4" t="s">
        <v>1522</v>
      </c>
      <c r="K203" s="4" t="s">
        <v>2875</v>
      </c>
      <c r="L203" s="15" t="str">
        <f t="shared" si="1"/>
        <v>ok</v>
      </c>
    </row>
    <row r="204" ht="60.0" customHeight="1">
      <c r="A204" s="13" t="s">
        <v>1718</v>
      </c>
      <c r="B204" s="13">
        <v>4.0</v>
      </c>
      <c r="C204" s="13" t="s">
        <v>2404</v>
      </c>
      <c r="D204" s="13" t="s">
        <v>1720</v>
      </c>
      <c r="E204" s="13" t="s">
        <v>1721</v>
      </c>
      <c r="F204" s="13" t="s">
        <v>126</v>
      </c>
      <c r="G204" s="4">
        <v>2.7987078E7</v>
      </c>
      <c r="H204" s="4" t="s">
        <v>906</v>
      </c>
      <c r="I204" s="4"/>
      <c r="J204" s="4" t="s">
        <v>1522</v>
      </c>
      <c r="K204" s="4" t="s">
        <v>2876</v>
      </c>
      <c r="L204" s="15" t="str">
        <f t="shared" si="1"/>
        <v>ok</v>
      </c>
    </row>
    <row r="205" ht="60.0" customHeight="1">
      <c r="A205" s="13" t="s">
        <v>443</v>
      </c>
      <c r="B205" s="13">
        <v>4.0</v>
      </c>
      <c r="C205" s="13" t="s">
        <v>2404</v>
      </c>
      <c r="D205" s="13" t="s">
        <v>445</v>
      </c>
      <c r="E205" s="13" t="s">
        <v>446</v>
      </c>
      <c r="F205" s="13" t="s">
        <v>368</v>
      </c>
      <c r="G205" s="4">
        <v>2.8056858E7</v>
      </c>
      <c r="H205" s="4" t="s">
        <v>906</v>
      </c>
      <c r="I205" s="4"/>
      <c r="J205" s="4" t="s">
        <v>2111</v>
      </c>
      <c r="K205" s="4" t="s">
        <v>2877</v>
      </c>
      <c r="L205" s="15" t="str">
        <f t="shared" si="1"/>
        <v>ok</v>
      </c>
    </row>
    <row r="206" ht="60.0" customHeight="1">
      <c r="A206" s="13" t="s">
        <v>448</v>
      </c>
      <c r="B206" s="13">
        <v>4.0</v>
      </c>
      <c r="C206" s="13" t="s">
        <v>2404</v>
      </c>
      <c r="D206" s="13" t="s">
        <v>449</v>
      </c>
      <c r="E206" s="13" t="s">
        <v>450</v>
      </c>
      <c r="F206" s="13" t="s">
        <v>97</v>
      </c>
      <c r="G206" s="4">
        <v>2.8079873E7</v>
      </c>
      <c r="H206" s="4" t="s">
        <v>906</v>
      </c>
      <c r="I206" s="4"/>
      <c r="J206" s="4" t="s">
        <v>2111</v>
      </c>
      <c r="K206" s="4" t="s">
        <v>2878</v>
      </c>
      <c r="L206" s="15" t="str">
        <f t="shared" si="1"/>
        <v>ok</v>
      </c>
    </row>
    <row r="207" ht="60.0" customHeight="1">
      <c r="A207" s="13" t="s">
        <v>1313</v>
      </c>
      <c r="B207" s="13">
        <v>5.0</v>
      </c>
      <c r="C207" s="13" t="s">
        <v>2404</v>
      </c>
      <c r="D207" s="13" t="s">
        <v>1315</v>
      </c>
      <c r="E207" s="13" t="s">
        <v>1316</v>
      </c>
      <c r="F207" s="13" t="s">
        <v>368</v>
      </c>
      <c r="G207" s="4">
        <v>2.8079901E7</v>
      </c>
      <c r="H207" s="4" t="s">
        <v>906</v>
      </c>
      <c r="I207" s="4"/>
      <c r="J207" s="4" t="s">
        <v>1023</v>
      </c>
      <c r="K207" s="4" t="s">
        <v>2879</v>
      </c>
      <c r="L207" s="15" t="str">
        <f t="shared" si="1"/>
        <v>ok</v>
      </c>
    </row>
    <row r="208" ht="60.0" customHeight="1">
      <c r="A208" s="13" t="s">
        <v>786</v>
      </c>
      <c r="B208" s="13">
        <v>5.0</v>
      </c>
      <c r="C208" s="13" t="s">
        <v>2421</v>
      </c>
      <c r="D208" s="13" t="s">
        <v>788</v>
      </c>
      <c r="E208" s="13" t="s">
        <v>789</v>
      </c>
      <c r="F208" s="13" t="s">
        <v>97</v>
      </c>
      <c r="G208" s="4">
        <v>2.8185147E7</v>
      </c>
      <c r="H208" s="4" t="s">
        <v>694</v>
      </c>
      <c r="I208" s="4"/>
      <c r="J208" s="4"/>
      <c r="K208" s="4" t="s">
        <v>2880</v>
      </c>
      <c r="L208" s="15" t="str">
        <f t="shared" si="1"/>
        <v>ok</v>
      </c>
    </row>
    <row r="209" ht="60.0" customHeight="1">
      <c r="A209" s="13" t="s">
        <v>451</v>
      </c>
      <c r="B209" s="13">
        <v>5.0</v>
      </c>
      <c r="C209" s="13" t="s">
        <v>2404</v>
      </c>
      <c r="D209" s="13" t="s">
        <v>453</v>
      </c>
      <c r="E209" s="13" t="s">
        <v>454</v>
      </c>
      <c r="F209" s="13" t="s">
        <v>126</v>
      </c>
      <c r="G209" s="4">
        <v>2.8328132E7</v>
      </c>
      <c r="H209" s="4" t="s">
        <v>98</v>
      </c>
      <c r="I209" s="4" t="s">
        <v>126</v>
      </c>
      <c r="J209" s="4"/>
      <c r="K209" s="4" t="s">
        <v>2881</v>
      </c>
      <c r="L209" s="15" t="str">
        <f t="shared" si="1"/>
        <v>ok</v>
      </c>
    </row>
    <row r="210" ht="60.0" customHeight="1">
      <c r="A210" s="13" t="s">
        <v>792</v>
      </c>
      <c r="B210" s="13">
        <v>5.0</v>
      </c>
      <c r="C210" s="13" t="s">
        <v>2404</v>
      </c>
      <c r="D210" s="13" t="s">
        <v>794</v>
      </c>
      <c r="E210" s="13" t="s">
        <v>795</v>
      </c>
      <c r="F210" s="13" t="s">
        <v>97</v>
      </c>
      <c r="G210" s="4">
        <v>2.8365826E7</v>
      </c>
      <c r="H210" s="4" t="s">
        <v>694</v>
      </c>
      <c r="I210" s="4"/>
      <c r="J210" s="4"/>
      <c r="K210" s="4" t="s">
        <v>2882</v>
      </c>
      <c r="L210" s="15" t="str">
        <f t="shared" si="1"/>
        <v>ok</v>
      </c>
    </row>
    <row r="211" ht="60.0" customHeight="1">
      <c r="A211" s="13" t="s">
        <v>1723</v>
      </c>
      <c r="B211" s="13">
        <v>5.0</v>
      </c>
      <c r="C211" s="13" t="s">
        <v>2404</v>
      </c>
      <c r="D211" s="13" t="s">
        <v>1725</v>
      </c>
      <c r="E211" s="13" t="s">
        <v>1726</v>
      </c>
      <c r="F211" s="13" t="s">
        <v>368</v>
      </c>
      <c r="G211" s="4">
        <v>2.8391132E7</v>
      </c>
      <c r="H211" s="4" t="s">
        <v>906</v>
      </c>
      <c r="I211" s="4"/>
      <c r="J211" s="4" t="s">
        <v>1522</v>
      </c>
      <c r="K211" s="4" t="s">
        <v>2883</v>
      </c>
      <c r="L211" s="15" t="str">
        <f t="shared" si="1"/>
        <v>ok</v>
      </c>
    </row>
    <row r="212" ht="60.0" customHeight="1">
      <c r="A212" s="13" t="s">
        <v>1318</v>
      </c>
      <c r="B212" s="13">
        <v>5.0</v>
      </c>
      <c r="C212" s="13" t="s">
        <v>2404</v>
      </c>
      <c r="D212" s="13" t="s">
        <v>1320</v>
      </c>
      <c r="E212" s="13" t="s">
        <v>1321</v>
      </c>
      <c r="F212" s="13" t="s">
        <v>368</v>
      </c>
      <c r="G212" s="4">
        <v>2.8397325E7</v>
      </c>
      <c r="H212" s="4" t="s">
        <v>906</v>
      </c>
      <c r="I212" s="4"/>
      <c r="J212" s="4" t="s">
        <v>1023</v>
      </c>
      <c r="K212" s="4" t="s">
        <v>2884</v>
      </c>
      <c r="L212" s="15" t="str">
        <f t="shared" si="1"/>
        <v>ok</v>
      </c>
    </row>
    <row r="213" ht="60.0" customHeight="1">
      <c r="A213" s="13" t="s">
        <v>455</v>
      </c>
      <c r="B213" s="13">
        <v>5.0</v>
      </c>
      <c r="C213" s="13" t="s">
        <v>2404</v>
      </c>
      <c r="D213" s="13" t="s">
        <v>457</v>
      </c>
      <c r="E213" s="13" t="s">
        <v>458</v>
      </c>
      <c r="F213" s="13" t="s">
        <v>97</v>
      </c>
      <c r="G213" s="4">
        <v>2.8456396E7</v>
      </c>
      <c r="H213" s="4" t="s">
        <v>98</v>
      </c>
      <c r="I213" s="4" t="s">
        <v>97</v>
      </c>
      <c r="J213" s="4"/>
      <c r="K213" s="4" t="s">
        <v>2885</v>
      </c>
      <c r="L213" s="15" t="str">
        <f t="shared" si="1"/>
        <v>ok</v>
      </c>
    </row>
    <row r="214" ht="60.0" customHeight="1">
      <c r="A214" s="13" t="s">
        <v>2150</v>
      </c>
      <c r="B214" s="13">
        <v>5.0</v>
      </c>
      <c r="C214" s="13" t="s">
        <v>2404</v>
      </c>
      <c r="D214" s="13" t="s">
        <v>2152</v>
      </c>
      <c r="E214" s="13" t="s">
        <v>2153</v>
      </c>
      <c r="F214" s="13" t="s">
        <v>97</v>
      </c>
      <c r="G214" s="4">
        <v>2.8499441E7</v>
      </c>
      <c r="H214" s="4" t="s">
        <v>906</v>
      </c>
      <c r="I214" s="4"/>
      <c r="J214" s="4" t="s">
        <v>2144</v>
      </c>
      <c r="K214" s="4" t="s">
        <v>2886</v>
      </c>
      <c r="L214" s="15" t="str">
        <f t="shared" si="1"/>
        <v>ok</v>
      </c>
    </row>
    <row r="215" ht="60.0" customHeight="1">
      <c r="A215" s="13" t="s">
        <v>798</v>
      </c>
      <c r="B215" s="13">
        <v>5.0</v>
      </c>
      <c r="C215" s="13" t="s">
        <v>2404</v>
      </c>
      <c r="D215" s="13" t="s">
        <v>800</v>
      </c>
      <c r="E215" s="13" t="s">
        <v>801</v>
      </c>
      <c r="F215" s="13" t="s">
        <v>97</v>
      </c>
      <c r="G215" s="4">
        <v>2.8550383E7</v>
      </c>
      <c r="H215" s="4" t="s">
        <v>694</v>
      </c>
      <c r="I215" s="4"/>
      <c r="J215" s="4"/>
      <c r="K215" s="4" t="s">
        <v>2887</v>
      </c>
      <c r="L215" s="15" t="str">
        <f t="shared" si="1"/>
        <v>ok</v>
      </c>
    </row>
    <row r="216" ht="60.0" customHeight="1">
      <c r="A216" s="13" t="s">
        <v>1296</v>
      </c>
      <c r="B216" s="13">
        <v>5.0</v>
      </c>
      <c r="C216" s="13" t="s">
        <v>2421</v>
      </c>
      <c r="D216" s="13" t="s">
        <v>1298</v>
      </c>
      <c r="E216" s="13" t="s">
        <v>1299</v>
      </c>
      <c r="F216" s="13" t="s">
        <v>368</v>
      </c>
      <c r="G216" s="4">
        <v>2.8553771E7</v>
      </c>
      <c r="H216" s="4" t="s">
        <v>906</v>
      </c>
      <c r="I216" s="4"/>
      <c r="J216" s="4" t="s">
        <v>1023</v>
      </c>
      <c r="K216" s="4" t="s">
        <v>2888</v>
      </c>
      <c r="L216" s="15" t="str">
        <f t="shared" si="1"/>
        <v>ok</v>
      </c>
    </row>
    <row r="217" ht="60.0" customHeight="1">
      <c r="A217" s="13" t="s">
        <v>2125</v>
      </c>
      <c r="B217" s="13">
        <v>5.0</v>
      </c>
      <c r="C217" s="13" t="s">
        <v>2421</v>
      </c>
      <c r="D217" s="13" t="s">
        <v>2127</v>
      </c>
      <c r="E217" s="13" t="s">
        <v>2128</v>
      </c>
      <c r="F217" s="13" t="s">
        <v>368</v>
      </c>
      <c r="G217" s="4">
        <v>2.8595435E7</v>
      </c>
      <c r="H217" s="4" t="s">
        <v>906</v>
      </c>
      <c r="I217" s="4"/>
      <c r="J217" s="4" t="s">
        <v>2111</v>
      </c>
      <c r="K217" s="4" t="s">
        <v>2889</v>
      </c>
      <c r="L217" s="15" t="str">
        <f t="shared" si="1"/>
        <v>ok</v>
      </c>
    </row>
    <row r="218" ht="60.0" customHeight="1">
      <c r="A218" s="13" t="s">
        <v>1727</v>
      </c>
      <c r="B218" s="13">
        <v>5.0</v>
      </c>
      <c r="C218" s="13" t="s">
        <v>2404</v>
      </c>
      <c r="D218" s="13" t="s">
        <v>1729</v>
      </c>
      <c r="E218" s="13" t="s">
        <v>1730</v>
      </c>
      <c r="F218" s="13" t="s">
        <v>97</v>
      </c>
      <c r="G218" s="4">
        <v>2.8627098E7</v>
      </c>
      <c r="H218" s="4" t="s">
        <v>906</v>
      </c>
      <c r="I218" s="4"/>
      <c r="J218" s="4" t="s">
        <v>1522</v>
      </c>
      <c r="K218" s="4" t="s">
        <v>2890</v>
      </c>
      <c r="L218" s="15" t="str">
        <f t="shared" si="1"/>
        <v>ok</v>
      </c>
    </row>
    <row r="219" ht="60.0" customHeight="1">
      <c r="A219" s="13" t="s">
        <v>1300</v>
      </c>
      <c r="B219" s="13">
        <v>5.0</v>
      </c>
      <c r="C219" s="13" t="s">
        <v>2421</v>
      </c>
      <c r="D219" s="13" t="s">
        <v>1302</v>
      </c>
      <c r="E219" s="13" t="s">
        <v>1303</v>
      </c>
      <c r="F219" s="13" t="s">
        <v>368</v>
      </c>
      <c r="G219" s="4">
        <v>2.864047E7</v>
      </c>
      <c r="H219" s="4" t="s">
        <v>906</v>
      </c>
      <c r="I219" s="4"/>
      <c r="J219" s="4" t="s">
        <v>1023</v>
      </c>
      <c r="K219" s="4" t="s">
        <v>2891</v>
      </c>
      <c r="L219" s="15" t="str">
        <f t="shared" si="1"/>
        <v>ok</v>
      </c>
    </row>
    <row r="220" ht="60.0" customHeight="1">
      <c r="A220" s="13" t="s">
        <v>1731</v>
      </c>
      <c r="B220" s="13">
        <v>5.0</v>
      </c>
      <c r="C220" s="13" t="s">
        <v>2404</v>
      </c>
      <c r="D220" s="13" t="s">
        <v>1733</v>
      </c>
      <c r="E220" s="13" t="s">
        <v>1734</v>
      </c>
      <c r="F220" s="13" t="s">
        <v>368</v>
      </c>
      <c r="G220" s="4">
        <v>2.8723764E7</v>
      </c>
      <c r="H220" s="4" t="s">
        <v>906</v>
      </c>
      <c r="I220" s="4"/>
      <c r="J220" s="4" t="s">
        <v>1522</v>
      </c>
      <c r="K220" s="4" t="s">
        <v>2892</v>
      </c>
      <c r="L220" s="15" t="str">
        <f t="shared" si="1"/>
        <v>ok</v>
      </c>
    </row>
    <row r="221" ht="60.0" customHeight="1">
      <c r="A221" s="13" t="s">
        <v>1735</v>
      </c>
      <c r="B221" s="13">
        <v>5.0</v>
      </c>
      <c r="C221" s="13" t="s">
        <v>2404</v>
      </c>
      <c r="D221" s="13" t="s">
        <v>1737</v>
      </c>
      <c r="E221" s="13" t="s">
        <v>1738</v>
      </c>
      <c r="F221" s="13" t="s">
        <v>97</v>
      </c>
      <c r="G221" s="4">
        <v>2.8770124E7</v>
      </c>
      <c r="H221" s="4" t="s">
        <v>906</v>
      </c>
      <c r="I221" s="4"/>
      <c r="J221" s="4" t="s">
        <v>1522</v>
      </c>
      <c r="K221" s="4" t="s">
        <v>2893</v>
      </c>
      <c r="L221" s="15" t="str">
        <f t="shared" si="1"/>
        <v>ok</v>
      </c>
    </row>
    <row r="222" ht="60.0" customHeight="1">
      <c r="A222" s="13" t="s">
        <v>930</v>
      </c>
      <c r="B222" s="13">
        <v>5.0</v>
      </c>
      <c r="C222" s="13" t="s">
        <v>2404</v>
      </c>
      <c r="D222" s="13" t="s">
        <v>932</v>
      </c>
      <c r="E222" s="13" t="s">
        <v>933</v>
      </c>
      <c r="F222" s="13" t="s">
        <v>97</v>
      </c>
      <c r="G222" s="4">
        <v>2.8817202E7</v>
      </c>
      <c r="H222" s="4" t="s">
        <v>906</v>
      </c>
      <c r="I222" s="4"/>
      <c r="J222" s="4" t="s">
        <v>1522</v>
      </c>
      <c r="K222" s="4" t="s">
        <v>2894</v>
      </c>
      <c r="L222" s="15" t="str">
        <f t="shared" si="1"/>
        <v>ok</v>
      </c>
    </row>
    <row r="223" ht="60.0" customHeight="1">
      <c r="A223" s="13" t="s">
        <v>1740</v>
      </c>
      <c r="B223" s="13">
        <v>5.0</v>
      </c>
      <c r="C223" s="13" t="s">
        <v>2404</v>
      </c>
      <c r="D223" s="13" t="s">
        <v>1742</v>
      </c>
      <c r="E223" s="13" t="s">
        <v>1743</v>
      </c>
      <c r="F223" s="13" t="s">
        <v>368</v>
      </c>
      <c r="G223" s="4">
        <v>2.8879597E7</v>
      </c>
      <c r="H223" s="4" t="s">
        <v>906</v>
      </c>
      <c r="I223" s="4"/>
      <c r="J223" s="4" t="s">
        <v>1522</v>
      </c>
      <c r="K223" s="4" t="s">
        <v>2895</v>
      </c>
      <c r="L223" s="15" t="str">
        <f t="shared" si="1"/>
        <v>ok</v>
      </c>
    </row>
    <row r="224" ht="60.0" customHeight="1">
      <c r="A224" s="13" t="s">
        <v>1323</v>
      </c>
      <c r="B224" s="13">
        <v>5.0</v>
      </c>
      <c r="C224" s="13" t="s">
        <v>2404</v>
      </c>
      <c r="D224" s="13" t="s">
        <v>1325</v>
      </c>
      <c r="E224" s="13" t="s">
        <v>1326</v>
      </c>
      <c r="F224" s="13" t="s">
        <v>368</v>
      </c>
      <c r="G224" s="4">
        <v>2.8887622E7</v>
      </c>
      <c r="H224" s="4" t="s">
        <v>906</v>
      </c>
      <c r="I224" s="4"/>
      <c r="J224" s="4" t="s">
        <v>1023</v>
      </c>
      <c r="K224" s="4" t="s">
        <v>2896</v>
      </c>
      <c r="L224" s="15" t="str">
        <f t="shared" si="1"/>
        <v>ok</v>
      </c>
    </row>
    <row r="225" ht="60.0" customHeight="1">
      <c r="A225" s="13" t="s">
        <v>413</v>
      </c>
      <c r="B225" s="13">
        <v>5.0</v>
      </c>
      <c r="C225" s="13" t="s">
        <v>2421</v>
      </c>
      <c r="D225" s="13" t="s">
        <v>415</v>
      </c>
      <c r="E225" s="13" t="s">
        <v>416</v>
      </c>
      <c r="F225" s="13" t="s">
        <v>97</v>
      </c>
      <c r="G225" s="4">
        <v>2.894839E7</v>
      </c>
      <c r="H225" s="4" t="s">
        <v>98</v>
      </c>
      <c r="I225" s="4" t="s">
        <v>97</v>
      </c>
      <c r="J225" s="4"/>
      <c r="K225" s="4" t="s">
        <v>2897</v>
      </c>
      <c r="L225" s="15" t="str">
        <f t="shared" si="1"/>
        <v>ok</v>
      </c>
    </row>
    <row r="226" ht="60.0" customHeight="1">
      <c r="A226" s="13" t="s">
        <v>935</v>
      </c>
      <c r="B226" s="13">
        <v>5.0</v>
      </c>
      <c r="C226" s="13" t="s">
        <v>2404</v>
      </c>
      <c r="D226" s="13" t="s">
        <v>936</v>
      </c>
      <c r="E226" s="13" t="s">
        <v>937</v>
      </c>
      <c r="F226" s="13" t="s">
        <v>97</v>
      </c>
      <c r="G226" s="4">
        <v>2.8970731E7</v>
      </c>
      <c r="H226" s="4" t="s">
        <v>906</v>
      </c>
      <c r="I226" s="4"/>
      <c r="J226" s="4" t="s">
        <v>907</v>
      </c>
      <c r="K226" s="4" t="s">
        <v>2898</v>
      </c>
      <c r="L226" s="15" t="str">
        <f t="shared" si="1"/>
        <v>ok</v>
      </c>
    </row>
    <row r="227" ht="60.0" customHeight="1">
      <c r="A227" s="13" t="s">
        <v>460</v>
      </c>
      <c r="B227" s="13">
        <v>5.0</v>
      </c>
      <c r="C227" s="13" t="s">
        <v>2404</v>
      </c>
      <c r="D227" s="13" t="s">
        <v>461</v>
      </c>
      <c r="E227" s="13" t="s">
        <v>462</v>
      </c>
      <c r="F227" s="13" t="s">
        <v>97</v>
      </c>
      <c r="G227" s="4">
        <v>2.9046387E7</v>
      </c>
      <c r="H227" s="4" t="s">
        <v>98</v>
      </c>
      <c r="I227" s="4" t="s">
        <v>97</v>
      </c>
      <c r="J227" s="4"/>
      <c r="K227" s="4" t="s">
        <v>2899</v>
      </c>
      <c r="L227" s="15" t="str">
        <f t="shared" si="1"/>
        <v>ok</v>
      </c>
    </row>
    <row r="228" ht="60.0" customHeight="1">
      <c r="A228" s="13" t="s">
        <v>2016</v>
      </c>
      <c r="B228" s="13">
        <v>5.0</v>
      </c>
      <c r="C228" s="13" t="s">
        <v>2404</v>
      </c>
      <c r="D228" s="13" t="s">
        <v>2018</v>
      </c>
      <c r="E228" s="13" t="s">
        <v>2019</v>
      </c>
      <c r="F228" s="13" t="s">
        <v>97</v>
      </c>
      <c r="G228" s="4">
        <v>2.9049012E7</v>
      </c>
      <c r="H228" s="4" t="s">
        <v>906</v>
      </c>
      <c r="I228" s="4"/>
      <c r="J228" s="4" t="s">
        <v>1953</v>
      </c>
      <c r="K228" s="4" t="s">
        <v>2900</v>
      </c>
      <c r="L228" s="15" t="str">
        <f t="shared" si="1"/>
        <v>ok</v>
      </c>
    </row>
    <row r="229" ht="60.0" customHeight="1">
      <c r="A229" s="13" t="s">
        <v>417</v>
      </c>
      <c r="B229" s="13">
        <v>5.0</v>
      </c>
      <c r="C229" s="13" t="s">
        <v>2421</v>
      </c>
      <c r="D229" s="13" t="s">
        <v>419</v>
      </c>
      <c r="E229" s="13" t="s">
        <v>420</v>
      </c>
      <c r="F229" s="13" t="s">
        <v>97</v>
      </c>
      <c r="G229" s="4">
        <v>2.9112995E7</v>
      </c>
      <c r="H229" s="4" t="s">
        <v>98</v>
      </c>
      <c r="I229" s="4" t="s">
        <v>126</v>
      </c>
      <c r="J229" s="4"/>
      <c r="K229" s="4" t="s">
        <v>2901</v>
      </c>
      <c r="L229" s="15" t="str">
        <f t="shared" si="1"/>
        <v>ok</v>
      </c>
    </row>
    <row r="230" ht="60.0" customHeight="1">
      <c r="A230" s="13" t="s">
        <v>1327</v>
      </c>
      <c r="B230" s="13">
        <v>5.0</v>
      </c>
      <c r="C230" s="13" t="s">
        <v>2404</v>
      </c>
      <c r="D230" s="13" t="s">
        <v>1329</v>
      </c>
      <c r="E230" s="13" t="s">
        <v>1330</v>
      </c>
      <c r="F230" s="13" t="s">
        <v>368</v>
      </c>
      <c r="G230" s="4">
        <v>2.9125628E7</v>
      </c>
      <c r="H230" s="4" t="s">
        <v>906</v>
      </c>
      <c r="I230" s="4"/>
      <c r="J230" s="4" t="s">
        <v>1023</v>
      </c>
      <c r="K230" s="4" t="s">
        <v>2902</v>
      </c>
      <c r="L230" s="15" t="str">
        <f t="shared" si="1"/>
        <v>ok</v>
      </c>
    </row>
    <row r="231" ht="60.0" customHeight="1">
      <c r="A231" s="13" t="s">
        <v>1704</v>
      </c>
      <c r="B231" s="13">
        <v>5.0</v>
      </c>
      <c r="C231" s="13" t="s">
        <v>2421</v>
      </c>
      <c r="D231" s="13" t="s">
        <v>1706</v>
      </c>
      <c r="E231" s="13" t="s">
        <v>1707</v>
      </c>
      <c r="F231" s="13" t="s">
        <v>368</v>
      </c>
      <c r="G231" s="4">
        <v>2.9164604E7</v>
      </c>
      <c r="H231" s="4" t="s">
        <v>906</v>
      </c>
      <c r="I231" s="4"/>
      <c r="J231" s="4" t="s">
        <v>1023</v>
      </c>
      <c r="K231" s="4" t="s">
        <v>2903</v>
      </c>
      <c r="L231" s="15" t="str">
        <f t="shared" si="1"/>
        <v>ok</v>
      </c>
    </row>
    <row r="232" ht="60.0" customHeight="1">
      <c r="A232" s="13" t="s">
        <v>1304</v>
      </c>
      <c r="B232" s="13">
        <v>5.0</v>
      </c>
      <c r="C232" s="13" t="s">
        <v>2421</v>
      </c>
      <c r="D232" s="13" t="s">
        <v>1306</v>
      </c>
      <c r="E232" s="13" t="s">
        <v>1307</v>
      </c>
      <c r="F232" s="13" t="s">
        <v>368</v>
      </c>
      <c r="G232" s="4">
        <v>2.9368276E7</v>
      </c>
      <c r="H232" s="4" t="s">
        <v>98</v>
      </c>
      <c r="I232" s="4" t="s">
        <v>368</v>
      </c>
      <c r="J232" s="4"/>
      <c r="K232" s="4" t="s">
        <v>2904</v>
      </c>
      <c r="L232" s="15" t="str">
        <f t="shared" si="1"/>
        <v>ok</v>
      </c>
    </row>
    <row r="233" ht="60.0" customHeight="1">
      <c r="A233" s="13" t="s">
        <v>422</v>
      </c>
      <c r="B233" s="13">
        <v>5.0</v>
      </c>
      <c r="C233" s="13" t="s">
        <v>2421</v>
      </c>
      <c r="D233" s="13" t="s">
        <v>424</v>
      </c>
      <c r="E233" s="13" t="s">
        <v>425</v>
      </c>
      <c r="F233" s="13" t="s">
        <v>126</v>
      </c>
      <c r="G233" s="4">
        <v>2.9740195E7</v>
      </c>
      <c r="H233" s="4" t="s">
        <v>98</v>
      </c>
      <c r="I233" s="4" t="s">
        <v>126</v>
      </c>
      <c r="J233" s="4"/>
      <c r="K233" s="4" t="s">
        <v>2905</v>
      </c>
      <c r="L233" s="15" t="str">
        <f t="shared" si="1"/>
        <v>ok</v>
      </c>
    </row>
    <row r="234" ht="60.0" customHeight="1">
      <c r="A234" s="13" t="s">
        <v>1269</v>
      </c>
      <c r="B234" s="13">
        <v>5.0</v>
      </c>
      <c r="C234" s="13" t="s">
        <v>2448</v>
      </c>
      <c r="D234" s="13" t="s">
        <v>1271</v>
      </c>
      <c r="E234" s="13" t="s">
        <v>1272</v>
      </c>
      <c r="F234" s="13" t="s">
        <v>368</v>
      </c>
      <c r="G234" s="4">
        <v>3.0014528E7</v>
      </c>
      <c r="H234" s="4" t="s">
        <v>906</v>
      </c>
      <c r="I234" s="4"/>
      <c r="J234" s="4" t="s">
        <v>1023</v>
      </c>
      <c r="K234" s="4" t="s">
        <v>2906</v>
      </c>
      <c r="L234" s="15" t="str">
        <f t="shared" si="1"/>
        <v>ok</v>
      </c>
    </row>
    <row r="235" ht="60.0" customHeight="1">
      <c r="A235" s="13" t="s">
        <v>1708</v>
      </c>
      <c r="B235" s="13">
        <v>5.0</v>
      </c>
      <c r="C235" s="13" t="s">
        <v>2421</v>
      </c>
      <c r="D235" s="13" t="s">
        <v>1710</v>
      </c>
      <c r="E235" s="13" t="s">
        <v>1711</v>
      </c>
      <c r="F235" s="13" t="s">
        <v>368</v>
      </c>
      <c r="G235" s="4">
        <v>3.013355E7</v>
      </c>
      <c r="H235" s="4" t="s">
        <v>906</v>
      </c>
      <c r="I235" s="4"/>
      <c r="J235" s="4" t="s">
        <v>1522</v>
      </c>
      <c r="K235" s="4" t="s">
        <v>2907</v>
      </c>
      <c r="L235" s="15" t="str">
        <f t="shared" si="1"/>
        <v>ok</v>
      </c>
    </row>
    <row r="236" ht="60.0" customHeight="1">
      <c r="A236" s="13" t="s">
        <v>1273</v>
      </c>
      <c r="B236" s="13">
        <v>5.0</v>
      </c>
      <c r="C236" s="13" t="s">
        <v>2448</v>
      </c>
      <c r="D236" s="13" t="s">
        <v>1275</v>
      </c>
      <c r="E236" s="13" t="s">
        <v>1276</v>
      </c>
      <c r="F236" s="13" t="s">
        <v>368</v>
      </c>
      <c r="G236" s="4">
        <v>3.0191619E7</v>
      </c>
      <c r="H236" s="4" t="s">
        <v>906</v>
      </c>
      <c r="I236" s="4"/>
      <c r="J236" s="4" t="s">
        <v>1023</v>
      </c>
      <c r="K236" s="4" t="s">
        <v>2908</v>
      </c>
      <c r="L236" s="15" t="str">
        <f t="shared" si="1"/>
        <v>ok</v>
      </c>
    </row>
    <row r="237" ht="60.0" customHeight="1">
      <c r="A237" s="13" t="s">
        <v>925</v>
      </c>
      <c r="B237" s="13">
        <v>5.0</v>
      </c>
      <c r="C237" s="13" t="s">
        <v>2421</v>
      </c>
      <c r="D237" s="13" t="s">
        <v>927</v>
      </c>
      <c r="E237" s="13" t="s">
        <v>928</v>
      </c>
      <c r="F237" s="13" t="s">
        <v>97</v>
      </c>
      <c r="G237" s="4">
        <v>3.0220946E7</v>
      </c>
      <c r="H237" s="4" t="s">
        <v>906</v>
      </c>
      <c r="I237" s="4"/>
      <c r="J237" s="4" t="s">
        <v>907</v>
      </c>
      <c r="K237" s="4" t="s">
        <v>2909</v>
      </c>
      <c r="L237" s="15" t="str">
        <f t="shared" si="1"/>
        <v>ok</v>
      </c>
    </row>
    <row r="238" ht="60.0" customHeight="1">
      <c r="A238" s="13" t="s">
        <v>428</v>
      </c>
      <c r="B238" s="13">
        <v>5.0</v>
      </c>
      <c r="C238" s="13" t="s">
        <v>2421</v>
      </c>
      <c r="D238" s="13" t="s">
        <v>430</v>
      </c>
      <c r="E238" s="13" t="s">
        <v>431</v>
      </c>
      <c r="F238" s="13" t="s">
        <v>97</v>
      </c>
      <c r="G238" s="4">
        <v>3.0237475E7</v>
      </c>
      <c r="H238" s="4" t="s">
        <v>98</v>
      </c>
      <c r="I238" s="4" t="s">
        <v>97</v>
      </c>
      <c r="J238" s="4"/>
      <c r="K238" s="4" t="s">
        <v>2910</v>
      </c>
      <c r="L238" s="15" t="str">
        <f t="shared" si="1"/>
        <v>ok</v>
      </c>
    </row>
    <row r="239" ht="60.0" customHeight="1">
      <c r="A239" s="13" t="s">
        <v>375</v>
      </c>
      <c r="B239" s="13">
        <v>5.0</v>
      </c>
      <c r="C239" s="13" t="s">
        <v>2448</v>
      </c>
      <c r="D239" s="13" t="s">
        <v>377</v>
      </c>
      <c r="E239" s="13" t="s">
        <v>378</v>
      </c>
      <c r="F239" s="13" t="s">
        <v>97</v>
      </c>
      <c r="G239" s="4">
        <v>3.0291384E7</v>
      </c>
      <c r="H239" s="4" t="s">
        <v>98</v>
      </c>
      <c r="I239" s="4" t="s">
        <v>97</v>
      </c>
      <c r="J239" s="4"/>
      <c r="K239" s="4" t="s">
        <v>2911</v>
      </c>
      <c r="L239" s="15" t="str">
        <f t="shared" si="1"/>
        <v>ok</v>
      </c>
    </row>
    <row r="240" ht="60.0" customHeight="1">
      <c r="A240" s="13" t="s">
        <v>1278</v>
      </c>
      <c r="B240" s="13">
        <v>5.0</v>
      </c>
      <c r="C240" s="13" t="s">
        <v>2448</v>
      </c>
      <c r="D240" s="13" t="s">
        <v>1280</v>
      </c>
      <c r="E240" s="13" t="s">
        <v>1281</v>
      </c>
      <c r="F240" s="13" t="s">
        <v>368</v>
      </c>
      <c r="G240" s="4">
        <v>3.0353581E7</v>
      </c>
      <c r="H240" s="4" t="s">
        <v>906</v>
      </c>
      <c r="I240" s="4"/>
      <c r="J240" s="4" t="s">
        <v>1023</v>
      </c>
      <c r="K240" s="4" t="s">
        <v>2912</v>
      </c>
      <c r="L240" s="15" t="str">
        <f t="shared" si="1"/>
        <v>ok</v>
      </c>
    </row>
    <row r="241" ht="60.0" customHeight="1">
      <c r="A241" s="13" t="s">
        <v>380</v>
      </c>
      <c r="B241" s="13">
        <v>5.0</v>
      </c>
      <c r="C241" s="13" t="s">
        <v>2448</v>
      </c>
      <c r="D241" s="13" t="s">
        <v>382</v>
      </c>
      <c r="E241" s="13" t="s">
        <v>383</v>
      </c>
      <c r="F241" s="13" t="s">
        <v>97</v>
      </c>
      <c r="G241" s="4">
        <v>3.0556105E7</v>
      </c>
      <c r="H241" s="4" t="s">
        <v>98</v>
      </c>
      <c r="I241" s="4" t="s">
        <v>97</v>
      </c>
      <c r="J241" s="4"/>
      <c r="K241" s="4" t="s">
        <v>2913</v>
      </c>
      <c r="L241" s="15" t="str">
        <f t="shared" si="1"/>
        <v>ok</v>
      </c>
    </row>
    <row r="242" ht="60.0" customHeight="1">
      <c r="A242" s="13" t="s">
        <v>774</v>
      </c>
      <c r="B242" s="13">
        <v>5.0</v>
      </c>
      <c r="C242" s="13" t="s">
        <v>2448</v>
      </c>
      <c r="D242" s="13" t="s">
        <v>776</v>
      </c>
      <c r="E242" s="13" t="s">
        <v>777</v>
      </c>
      <c r="F242" s="13" t="s">
        <v>97</v>
      </c>
      <c r="G242" s="4">
        <v>3.068839E7</v>
      </c>
      <c r="H242" s="4" t="s">
        <v>694</v>
      </c>
      <c r="I242" s="4"/>
      <c r="J242" s="4"/>
      <c r="K242" s="4" t="s">
        <v>2914</v>
      </c>
      <c r="L242" s="15" t="str">
        <f t="shared" si="1"/>
        <v>ok</v>
      </c>
    </row>
    <row r="243" ht="60.0" customHeight="1">
      <c r="A243" s="13" t="s">
        <v>1282</v>
      </c>
      <c r="B243" s="13">
        <v>5.0</v>
      </c>
      <c r="C243" s="13" t="s">
        <v>2448</v>
      </c>
      <c r="D243" s="13" t="s">
        <v>1284</v>
      </c>
      <c r="E243" s="13" t="s">
        <v>1285</v>
      </c>
      <c r="F243" s="13" t="s">
        <v>368</v>
      </c>
      <c r="G243" s="4">
        <v>3.0706702E7</v>
      </c>
      <c r="H243" s="4" t="s">
        <v>906</v>
      </c>
      <c r="I243" s="4"/>
      <c r="J243" s="4" t="s">
        <v>1023</v>
      </c>
      <c r="K243" s="4" t="s">
        <v>2915</v>
      </c>
      <c r="L243" s="15" t="str">
        <f t="shared" si="1"/>
        <v>ok</v>
      </c>
    </row>
    <row r="244" ht="60.0" customHeight="1">
      <c r="A244" s="13" t="s">
        <v>920</v>
      </c>
      <c r="B244" s="13">
        <v>5.0</v>
      </c>
      <c r="C244" s="13" t="s">
        <v>2448</v>
      </c>
      <c r="D244" s="13" t="s">
        <v>922</v>
      </c>
      <c r="E244" s="13" t="s">
        <v>923</v>
      </c>
      <c r="F244" s="13" t="s">
        <v>368</v>
      </c>
      <c r="G244" s="4">
        <v>3.0820311E7</v>
      </c>
      <c r="H244" s="4" t="s">
        <v>906</v>
      </c>
      <c r="I244" s="4"/>
      <c r="J244" s="4" t="s">
        <v>1023</v>
      </c>
      <c r="K244" s="4" t="s">
        <v>2916</v>
      </c>
      <c r="L244" s="15" t="str">
        <f t="shared" si="1"/>
        <v>ok</v>
      </c>
    </row>
    <row r="245" ht="60.0" customHeight="1">
      <c r="A245" s="13" t="s">
        <v>384</v>
      </c>
      <c r="B245" s="13">
        <v>5.0</v>
      </c>
      <c r="C245" s="13" t="s">
        <v>2448</v>
      </c>
      <c r="D245" s="13" t="s">
        <v>386</v>
      </c>
      <c r="E245" s="13" t="s">
        <v>387</v>
      </c>
      <c r="F245" s="13" t="s">
        <v>97</v>
      </c>
      <c r="G245" s="4">
        <v>3.0932336E7</v>
      </c>
      <c r="H245" s="4" t="s">
        <v>906</v>
      </c>
      <c r="I245" s="4"/>
      <c r="J245" s="4" t="s">
        <v>1953</v>
      </c>
      <c r="K245" s="4" t="s">
        <v>2917</v>
      </c>
      <c r="L245" s="15" t="str">
        <f t="shared" si="1"/>
        <v>ok</v>
      </c>
    </row>
    <row r="246" ht="60.0" customHeight="1">
      <c r="A246" s="13" t="s">
        <v>388</v>
      </c>
      <c r="B246" s="13">
        <v>5.0</v>
      </c>
      <c r="C246" s="13" t="s">
        <v>2448</v>
      </c>
      <c r="D246" s="13" t="s">
        <v>390</v>
      </c>
      <c r="E246" s="13" t="s">
        <v>391</v>
      </c>
      <c r="F246" s="13" t="s">
        <v>97</v>
      </c>
      <c r="G246" s="4">
        <v>3.0935949E7</v>
      </c>
      <c r="H246" s="4" t="s">
        <v>98</v>
      </c>
      <c r="I246" s="4" t="s">
        <v>97</v>
      </c>
      <c r="J246" s="4"/>
      <c r="K246" s="4" t="s">
        <v>2918</v>
      </c>
      <c r="L246" s="15" t="str">
        <f t="shared" si="1"/>
        <v>ok</v>
      </c>
    </row>
    <row r="247" ht="60.0" customHeight="1">
      <c r="A247" s="13" t="s">
        <v>394</v>
      </c>
      <c r="B247" s="13">
        <v>5.0</v>
      </c>
      <c r="C247" s="13" t="s">
        <v>2448</v>
      </c>
      <c r="D247" s="13" t="s">
        <v>396</v>
      </c>
      <c r="E247" s="13" t="s">
        <v>397</v>
      </c>
      <c r="F247" s="13" t="s">
        <v>97</v>
      </c>
      <c r="G247" s="4">
        <v>3.0942556E7</v>
      </c>
      <c r="H247" s="4" t="s">
        <v>98</v>
      </c>
      <c r="I247" s="4" t="s">
        <v>97</v>
      </c>
      <c r="J247" s="4"/>
      <c r="K247" s="4" t="s">
        <v>2919</v>
      </c>
      <c r="L247" s="15" t="str">
        <f t="shared" si="1"/>
        <v>ok</v>
      </c>
    </row>
    <row r="248" ht="60.0" customHeight="1">
      <c r="A248" s="13" t="s">
        <v>1699</v>
      </c>
      <c r="B248" s="13">
        <v>5.0</v>
      </c>
      <c r="C248" s="13" t="s">
        <v>2448</v>
      </c>
      <c r="D248" s="13" t="s">
        <v>1701</v>
      </c>
      <c r="E248" s="13" t="s">
        <v>1702</v>
      </c>
      <c r="F248" s="13" t="s">
        <v>97</v>
      </c>
      <c r="G248" s="4">
        <v>3.1000707E7</v>
      </c>
      <c r="H248" s="4" t="s">
        <v>906</v>
      </c>
      <c r="I248" s="4"/>
      <c r="J248" s="4" t="s">
        <v>1522</v>
      </c>
      <c r="K248" s="4" t="s">
        <v>2920</v>
      </c>
      <c r="L248" s="15" t="str">
        <f t="shared" si="1"/>
        <v>ok</v>
      </c>
    </row>
    <row r="249" ht="60.0" customHeight="1">
      <c r="A249" s="13" t="s">
        <v>398</v>
      </c>
      <c r="B249" s="13">
        <v>5.0</v>
      </c>
      <c r="C249" s="13" t="s">
        <v>2448</v>
      </c>
      <c r="D249" s="13" t="s">
        <v>400</v>
      </c>
      <c r="E249" s="13" t="s">
        <v>401</v>
      </c>
      <c r="F249" s="13" t="s">
        <v>126</v>
      </c>
      <c r="G249" s="4">
        <v>3.1170277E7</v>
      </c>
      <c r="H249" s="4" t="s">
        <v>98</v>
      </c>
      <c r="I249" s="4" t="s">
        <v>126</v>
      </c>
      <c r="J249" s="4"/>
      <c r="K249" s="4" t="s">
        <v>2921</v>
      </c>
      <c r="L249" s="15" t="str">
        <f t="shared" si="1"/>
        <v>ok</v>
      </c>
    </row>
    <row r="250" ht="60.0" customHeight="1">
      <c r="A250" s="13" t="s">
        <v>1682</v>
      </c>
      <c r="B250" s="13">
        <v>5.0</v>
      </c>
      <c r="C250" s="13" t="s">
        <v>2465</v>
      </c>
      <c r="D250" s="13" t="s">
        <v>1684</v>
      </c>
      <c r="E250" s="13" t="s">
        <v>1685</v>
      </c>
      <c r="F250" s="13" t="s">
        <v>97</v>
      </c>
      <c r="G250" s="4">
        <v>3.11806E7</v>
      </c>
      <c r="H250" s="4" t="s">
        <v>906</v>
      </c>
      <c r="I250" s="4"/>
      <c r="J250" s="4" t="s">
        <v>1522</v>
      </c>
      <c r="K250" s="4" t="s">
        <v>2922</v>
      </c>
      <c r="L250" s="15" t="str">
        <f t="shared" si="1"/>
        <v>ok</v>
      </c>
    </row>
    <row r="251" ht="60.0" customHeight="1">
      <c r="A251" s="13" t="s">
        <v>1286</v>
      </c>
      <c r="B251" s="13">
        <v>5.0</v>
      </c>
      <c r="C251" s="13" t="s">
        <v>2448</v>
      </c>
      <c r="D251" s="13" t="s">
        <v>1288</v>
      </c>
      <c r="E251" s="13" t="s">
        <v>1289</v>
      </c>
      <c r="F251" s="13" t="s">
        <v>368</v>
      </c>
      <c r="G251" s="4">
        <v>3.1231136E7</v>
      </c>
      <c r="H251" s="4" t="s">
        <v>906</v>
      </c>
      <c r="I251" s="4"/>
      <c r="J251" s="4" t="s">
        <v>1023</v>
      </c>
      <c r="K251" s="4" t="s">
        <v>2923</v>
      </c>
      <c r="L251" s="15" t="str">
        <f t="shared" si="1"/>
        <v>ok</v>
      </c>
    </row>
    <row r="252" ht="60.0" customHeight="1">
      <c r="A252" s="13" t="s">
        <v>404</v>
      </c>
      <c r="B252" s="13">
        <v>5.0</v>
      </c>
      <c r="C252" s="13" t="s">
        <v>2448</v>
      </c>
      <c r="D252" s="13" t="s">
        <v>406</v>
      </c>
      <c r="E252" s="13" t="s">
        <v>407</v>
      </c>
      <c r="F252" s="13" t="s">
        <v>97</v>
      </c>
      <c r="G252" s="4">
        <v>3.123719E7</v>
      </c>
      <c r="H252" s="4" t="s">
        <v>98</v>
      </c>
      <c r="I252" s="4" t="s">
        <v>97</v>
      </c>
      <c r="J252" s="4"/>
      <c r="K252" s="4" t="s">
        <v>2924</v>
      </c>
      <c r="L252" s="15" t="str">
        <f t="shared" si="1"/>
        <v>ok</v>
      </c>
    </row>
    <row r="253" ht="60.0" customHeight="1">
      <c r="A253" s="13" t="s">
        <v>2089</v>
      </c>
      <c r="B253" s="13">
        <v>5.0</v>
      </c>
      <c r="C253" s="13" t="s">
        <v>2469</v>
      </c>
      <c r="D253" s="13" t="s">
        <v>2090</v>
      </c>
      <c r="E253" s="13"/>
      <c r="F253" s="13" t="s">
        <v>97</v>
      </c>
      <c r="G253" s="4">
        <v>3.1536302E7</v>
      </c>
      <c r="H253" s="4" t="s">
        <v>906</v>
      </c>
      <c r="I253" s="4"/>
      <c r="J253" s="4" t="s">
        <v>907</v>
      </c>
      <c r="K253" s="4" t="s">
        <v>2925</v>
      </c>
      <c r="L253" s="15" t="str">
        <f t="shared" si="1"/>
        <v>ok</v>
      </c>
    </row>
    <row r="254" ht="60.0" customHeight="1">
      <c r="A254" s="13" t="s">
        <v>1291</v>
      </c>
      <c r="B254" s="13">
        <v>5.0</v>
      </c>
      <c r="C254" s="13" t="s">
        <v>2448</v>
      </c>
      <c r="D254" s="13" t="s">
        <v>1293</v>
      </c>
      <c r="E254" s="13" t="s">
        <v>1294</v>
      </c>
      <c r="F254" s="13" t="s">
        <v>368</v>
      </c>
      <c r="G254" s="4">
        <v>3.1539354E7</v>
      </c>
      <c r="H254" s="4" t="s">
        <v>906</v>
      </c>
      <c r="I254" s="4"/>
      <c r="J254" s="4" t="s">
        <v>1023</v>
      </c>
      <c r="K254" s="4" t="s">
        <v>2926</v>
      </c>
      <c r="L254" s="15" t="str">
        <f t="shared" si="1"/>
        <v>ok</v>
      </c>
    </row>
    <row r="255" ht="60.0" customHeight="1">
      <c r="A255" s="13" t="s">
        <v>409</v>
      </c>
      <c r="B255" s="13">
        <v>5.0</v>
      </c>
      <c r="C255" s="13" t="s">
        <v>2448</v>
      </c>
      <c r="D255" s="13" t="s">
        <v>411</v>
      </c>
      <c r="E255" s="13" t="s">
        <v>412</v>
      </c>
      <c r="F255" s="13" t="s">
        <v>126</v>
      </c>
      <c r="G255" s="4">
        <v>3.1566869E7</v>
      </c>
      <c r="H255" s="4" t="s">
        <v>98</v>
      </c>
      <c r="I255" s="4" t="s">
        <v>126</v>
      </c>
      <c r="J255" s="4"/>
      <c r="K255" s="4" t="s">
        <v>2927</v>
      </c>
      <c r="L255" s="15" t="str">
        <f t="shared" si="1"/>
        <v>ok</v>
      </c>
    </row>
    <row r="256" ht="60.0" customHeight="1">
      <c r="A256" s="13" t="s">
        <v>1229</v>
      </c>
      <c r="B256" s="13">
        <v>5.0</v>
      </c>
      <c r="C256" s="13" t="s">
        <v>2465</v>
      </c>
      <c r="D256" s="13" t="s">
        <v>1231</v>
      </c>
      <c r="E256" s="13" t="s">
        <v>1232</v>
      </c>
      <c r="F256" s="13" t="s">
        <v>368</v>
      </c>
      <c r="G256" s="4">
        <v>3.1671482E7</v>
      </c>
      <c r="H256" s="4" t="s">
        <v>906</v>
      </c>
      <c r="I256" s="4"/>
      <c r="J256" s="4" t="s">
        <v>1023</v>
      </c>
      <c r="K256" s="4" t="s">
        <v>2928</v>
      </c>
      <c r="L256" s="15" t="str">
        <f t="shared" si="1"/>
        <v>ok</v>
      </c>
    </row>
    <row r="257" ht="60.0" customHeight="1">
      <c r="A257" s="13" t="s">
        <v>2146</v>
      </c>
      <c r="B257" s="13">
        <v>6.0</v>
      </c>
      <c r="C257" s="13" t="s">
        <v>2448</v>
      </c>
      <c r="D257" s="13" t="s">
        <v>2148</v>
      </c>
      <c r="E257" s="13" t="s">
        <v>2149</v>
      </c>
      <c r="F257" s="13" t="s">
        <v>368</v>
      </c>
      <c r="G257" s="4">
        <v>3.1691307E7</v>
      </c>
      <c r="H257" s="4" t="s">
        <v>906</v>
      </c>
      <c r="I257" s="4"/>
      <c r="J257" s="4" t="s">
        <v>1023</v>
      </c>
      <c r="K257" s="4" t="s">
        <v>2929</v>
      </c>
      <c r="L257" s="15" t="str">
        <f t="shared" si="1"/>
        <v>ok</v>
      </c>
    </row>
    <row r="258" ht="60.0" customHeight="1">
      <c r="A258" s="13" t="s">
        <v>780</v>
      </c>
      <c r="B258" s="13">
        <v>6.0</v>
      </c>
      <c r="C258" s="13" t="s">
        <v>2448</v>
      </c>
      <c r="D258" s="13" t="s">
        <v>782</v>
      </c>
      <c r="E258" s="13" t="s">
        <v>783</v>
      </c>
      <c r="F258" s="13" t="s">
        <v>97</v>
      </c>
      <c r="G258" s="4">
        <v>3.1693566E7</v>
      </c>
      <c r="H258" s="4" t="s">
        <v>694</v>
      </c>
      <c r="I258" s="4"/>
      <c r="J258" s="4"/>
      <c r="K258" s="4" t="s">
        <v>2930</v>
      </c>
      <c r="L258" s="15" t="str">
        <f t="shared" si="1"/>
        <v>ok</v>
      </c>
    </row>
    <row r="259" ht="60.0" customHeight="1">
      <c r="A259" s="13" t="s">
        <v>1233</v>
      </c>
      <c r="B259" s="13">
        <v>6.0</v>
      </c>
      <c r="C259" s="13" t="s">
        <v>2465</v>
      </c>
      <c r="D259" s="13" t="s">
        <v>1235</v>
      </c>
      <c r="E259" s="13" t="s">
        <v>1236</v>
      </c>
      <c r="F259" s="13" t="s">
        <v>368</v>
      </c>
      <c r="G259" s="4">
        <v>3.1697852E7</v>
      </c>
      <c r="H259" s="4" t="s">
        <v>906</v>
      </c>
      <c r="I259" s="4"/>
      <c r="J259" s="4" t="s">
        <v>1023</v>
      </c>
      <c r="K259" s="4" t="s">
        <v>2931</v>
      </c>
      <c r="L259" s="15" t="str">
        <f t="shared" si="1"/>
        <v>ok</v>
      </c>
    </row>
    <row r="260" ht="60.0" customHeight="1">
      <c r="A260" s="13" t="s">
        <v>352</v>
      </c>
      <c r="B260" s="13">
        <v>6.0</v>
      </c>
      <c r="C260" s="13" t="s">
        <v>2465</v>
      </c>
      <c r="D260" s="13" t="s">
        <v>354</v>
      </c>
      <c r="E260" s="13" t="s">
        <v>355</v>
      </c>
      <c r="F260" s="13" t="s">
        <v>97</v>
      </c>
      <c r="G260" s="4">
        <v>3.176369E7</v>
      </c>
      <c r="H260" s="4" t="s">
        <v>98</v>
      </c>
      <c r="I260" s="4" t="s">
        <v>97</v>
      </c>
      <c r="J260" s="4"/>
      <c r="K260" s="4" t="s">
        <v>2932</v>
      </c>
      <c r="L260" s="15" t="str">
        <f t="shared" si="1"/>
        <v>ok</v>
      </c>
    </row>
    <row r="261" ht="60.0" customHeight="1">
      <c r="A261" s="13" t="s">
        <v>1237</v>
      </c>
      <c r="B261" s="13">
        <v>6.0</v>
      </c>
      <c r="C261" s="13" t="s">
        <v>2465</v>
      </c>
      <c r="D261" s="13" t="s">
        <v>1238</v>
      </c>
      <c r="E261" s="13" t="s">
        <v>1239</v>
      </c>
      <c r="F261" s="13" t="s">
        <v>368</v>
      </c>
      <c r="G261" s="4">
        <v>3.1769052E7</v>
      </c>
      <c r="H261" s="4" t="s">
        <v>906</v>
      </c>
      <c r="I261" s="4"/>
      <c r="J261" s="4" t="s">
        <v>907</v>
      </c>
      <c r="K261" s="4" t="s">
        <v>2933</v>
      </c>
      <c r="L261" s="15" t="str">
        <f t="shared" si="1"/>
        <v>ok</v>
      </c>
    </row>
    <row r="262" ht="60.0" customHeight="1">
      <c r="A262" s="13" t="s">
        <v>754</v>
      </c>
      <c r="B262" s="13">
        <v>6.0</v>
      </c>
      <c r="C262" s="13" t="s">
        <v>2465</v>
      </c>
      <c r="D262" s="13" t="s">
        <v>756</v>
      </c>
      <c r="E262" s="13" t="s">
        <v>757</v>
      </c>
      <c r="F262" s="13" t="s">
        <v>97</v>
      </c>
      <c r="G262" s="4">
        <v>3.181405E7</v>
      </c>
      <c r="H262" s="4" t="s">
        <v>694</v>
      </c>
      <c r="I262" s="4"/>
      <c r="J262" s="4"/>
      <c r="K262" s="4" t="s">
        <v>2934</v>
      </c>
      <c r="L262" s="15" t="str">
        <f t="shared" si="1"/>
        <v>ok</v>
      </c>
    </row>
    <row r="263" ht="60.0" customHeight="1">
      <c r="A263" s="13" t="s">
        <v>1928</v>
      </c>
      <c r="B263" s="13">
        <v>6.0</v>
      </c>
      <c r="C263" s="13" t="s">
        <v>2465</v>
      </c>
      <c r="D263" s="13" t="s">
        <v>1930</v>
      </c>
      <c r="E263" s="13" t="s">
        <v>1931</v>
      </c>
      <c r="F263" s="13" t="s">
        <v>126</v>
      </c>
      <c r="G263" s="4">
        <v>3.1868316E7</v>
      </c>
      <c r="H263" s="4" t="s">
        <v>694</v>
      </c>
      <c r="I263" s="4"/>
      <c r="J263" s="4"/>
      <c r="K263" s="4" t="s">
        <v>2935</v>
      </c>
      <c r="L263" s="15" t="str">
        <f t="shared" si="1"/>
        <v>ok</v>
      </c>
    </row>
    <row r="264" ht="60.0" customHeight="1">
      <c r="A264" s="13" t="s">
        <v>1175</v>
      </c>
      <c r="B264" s="13">
        <v>6.0</v>
      </c>
      <c r="C264" s="13" t="s">
        <v>2481</v>
      </c>
      <c r="D264" s="13" t="s">
        <v>1177</v>
      </c>
      <c r="E264" s="13" t="s">
        <v>1178</v>
      </c>
      <c r="F264" s="13" t="s">
        <v>368</v>
      </c>
      <c r="G264" s="4">
        <v>3.1900003E7</v>
      </c>
      <c r="H264" s="4" t="s">
        <v>906</v>
      </c>
      <c r="I264" s="4"/>
      <c r="J264" s="4" t="s">
        <v>1023</v>
      </c>
      <c r="K264" s="4" t="s">
        <v>2936</v>
      </c>
      <c r="L264" s="15" t="str">
        <f t="shared" si="1"/>
        <v>ok</v>
      </c>
    </row>
    <row r="265" ht="60.0" customHeight="1">
      <c r="A265" s="13" t="s">
        <v>1686</v>
      </c>
      <c r="B265" s="13">
        <v>6.0</v>
      </c>
      <c r="C265" s="13" t="s">
        <v>2465</v>
      </c>
      <c r="D265" s="13" t="s">
        <v>1688</v>
      </c>
      <c r="E265" s="13" t="s">
        <v>1689</v>
      </c>
      <c r="F265" s="13" t="s">
        <v>97</v>
      </c>
      <c r="G265" s="4">
        <v>3.1952847E7</v>
      </c>
      <c r="H265" s="4" t="s">
        <v>906</v>
      </c>
      <c r="I265" s="4"/>
      <c r="J265" s="4" t="s">
        <v>1522</v>
      </c>
      <c r="K265" s="4" t="s">
        <v>2937</v>
      </c>
      <c r="L265" s="15" t="str">
        <f t="shared" si="1"/>
        <v>ok</v>
      </c>
    </row>
    <row r="266" ht="60.0" customHeight="1">
      <c r="A266" s="13" t="s">
        <v>359</v>
      </c>
      <c r="B266" s="13">
        <v>6.0</v>
      </c>
      <c r="C266" s="13" t="s">
        <v>2465</v>
      </c>
      <c r="D266" s="13" t="s">
        <v>361</v>
      </c>
      <c r="E266" s="13" t="s">
        <v>362</v>
      </c>
      <c r="F266" s="13" t="s">
        <v>97</v>
      </c>
      <c r="G266" s="4">
        <v>3.1954556E7</v>
      </c>
      <c r="H266" s="4" t="s">
        <v>98</v>
      </c>
      <c r="I266" s="4" t="s">
        <v>97</v>
      </c>
      <c r="J266" s="4"/>
      <c r="K266" s="4" t="s">
        <v>2938</v>
      </c>
      <c r="L266" s="15" t="str">
        <f t="shared" si="1"/>
        <v>ok</v>
      </c>
    </row>
    <row r="267" ht="60.0" customHeight="1">
      <c r="A267" s="13" t="s">
        <v>1690</v>
      </c>
      <c r="B267" s="13">
        <v>6.0</v>
      </c>
      <c r="C267" s="13" t="s">
        <v>2465</v>
      </c>
      <c r="D267" s="13" t="s">
        <v>1692</v>
      </c>
      <c r="E267" s="13" t="s">
        <v>1693</v>
      </c>
      <c r="F267" s="13" t="s">
        <v>368</v>
      </c>
      <c r="G267" s="4">
        <v>3.1955448E7</v>
      </c>
      <c r="H267" s="4" t="s">
        <v>906</v>
      </c>
      <c r="I267" s="4"/>
      <c r="J267" s="4" t="s">
        <v>1522</v>
      </c>
      <c r="K267" s="4" t="s">
        <v>2939</v>
      </c>
      <c r="L267" s="15" t="str">
        <f t="shared" si="1"/>
        <v>ok</v>
      </c>
    </row>
    <row r="268" ht="60.0" customHeight="1">
      <c r="A268" s="13" t="s">
        <v>759</v>
      </c>
      <c r="B268" s="13">
        <v>6.0</v>
      </c>
      <c r="C268" s="13" t="s">
        <v>2465</v>
      </c>
      <c r="D268" s="13" t="s">
        <v>761</v>
      </c>
      <c r="E268" s="13" t="s">
        <v>762</v>
      </c>
      <c r="F268" s="13" t="s">
        <v>97</v>
      </c>
      <c r="G268" s="4">
        <v>3.1964456E7</v>
      </c>
      <c r="H268" s="4" t="s">
        <v>694</v>
      </c>
      <c r="I268" s="4"/>
      <c r="J268" s="4"/>
      <c r="K268" s="4" t="s">
        <v>2940</v>
      </c>
      <c r="L268" s="15" t="str">
        <f t="shared" si="1"/>
        <v>ok</v>
      </c>
    </row>
    <row r="269" ht="60.0" customHeight="1">
      <c r="A269" s="13" t="s">
        <v>1240</v>
      </c>
      <c r="B269" s="13">
        <v>6.0</v>
      </c>
      <c r="C269" s="13" t="s">
        <v>2465</v>
      </c>
      <c r="D269" s="13" t="s">
        <v>1242</v>
      </c>
      <c r="E269" s="13" t="s">
        <v>1243</v>
      </c>
      <c r="F269" s="13" t="s">
        <v>368</v>
      </c>
      <c r="G269" s="4">
        <v>3.2067421E7</v>
      </c>
      <c r="H269" s="4" t="s">
        <v>906</v>
      </c>
      <c r="I269" s="4"/>
      <c r="J269" s="4" t="s">
        <v>1023</v>
      </c>
      <c r="K269" s="4" t="s">
        <v>2941</v>
      </c>
      <c r="L269" s="15" t="str">
        <f t="shared" si="1"/>
        <v>ok</v>
      </c>
    </row>
    <row r="270" ht="60.0" customHeight="1">
      <c r="A270" s="13" t="s">
        <v>1694</v>
      </c>
      <c r="B270" s="13">
        <v>6.0</v>
      </c>
      <c r="C270" s="13" t="s">
        <v>2465</v>
      </c>
      <c r="D270" s="13" t="s">
        <v>1696</v>
      </c>
      <c r="E270" s="13" t="s">
        <v>1697</v>
      </c>
      <c r="F270" s="13" t="s">
        <v>97</v>
      </c>
      <c r="G270" s="4">
        <v>3.2219563E7</v>
      </c>
      <c r="H270" s="4" t="s">
        <v>906</v>
      </c>
      <c r="I270" s="4"/>
      <c r="J270" s="4" t="s">
        <v>1522</v>
      </c>
      <c r="K270" s="4" t="s">
        <v>2942</v>
      </c>
      <c r="L270" s="15" t="str">
        <f t="shared" si="1"/>
        <v>ok</v>
      </c>
    </row>
    <row r="271" ht="60.0" customHeight="1">
      <c r="A271" s="13" t="s">
        <v>1932</v>
      </c>
      <c r="B271" s="13">
        <v>6.0</v>
      </c>
      <c r="C271" s="13" t="s">
        <v>2465</v>
      </c>
      <c r="D271" s="13" t="s">
        <v>1934</v>
      </c>
      <c r="E271" s="13" t="s">
        <v>1935</v>
      </c>
      <c r="F271" s="13" t="s">
        <v>97</v>
      </c>
      <c r="G271" s="4">
        <v>3.2419096E7</v>
      </c>
      <c r="H271" s="4" t="s">
        <v>694</v>
      </c>
      <c r="I271" s="4"/>
      <c r="J271" s="4"/>
      <c r="K271" s="4" t="s">
        <v>2943</v>
      </c>
      <c r="L271" s="15" t="str">
        <f t="shared" si="1"/>
        <v>ok</v>
      </c>
    </row>
    <row r="272" ht="60.0" customHeight="1">
      <c r="A272" s="13" t="s">
        <v>2011</v>
      </c>
      <c r="B272" s="13">
        <v>6.0</v>
      </c>
      <c r="C272" s="13" t="s">
        <v>2465</v>
      </c>
      <c r="D272" s="13" t="s">
        <v>2013</v>
      </c>
      <c r="E272" s="13" t="s">
        <v>2014</v>
      </c>
      <c r="F272" s="13" t="s">
        <v>97</v>
      </c>
      <c r="G272" s="4">
        <v>3.2522368E7</v>
      </c>
      <c r="H272" s="4" t="s">
        <v>906</v>
      </c>
      <c r="I272" s="4"/>
      <c r="J272" s="4" t="s">
        <v>1953</v>
      </c>
      <c r="K272" s="4" t="s">
        <v>2944</v>
      </c>
      <c r="L272" s="15" t="str">
        <f t="shared" si="1"/>
        <v>ok</v>
      </c>
    </row>
    <row r="273" ht="60.0" customHeight="1">
      <c r="A273" s="13" t="s">
        <v>2122</v>
      </c>
      <c r="B273" s="13">
        <v>6.0</v>
      </c>
      <c r="C273" s="13" t="s">
        <v>2465</v>
      </c>
      <c r="D273" s="13" t="s">
        <v>2123</v>
      </c>
      <c r="E273" s="13" t="s">
        <v>2124</v>
      </c>
      <c r="F273" s="13" t="s">
        <v>126</v>
      </c>
      <c r="G273" s="4">
        <v>3.2634406E7</v>
      </c>
      <c r="H273" s="4" t="s">
        <v>906</v>
      </c>
      <c r="I273" s="4"/>
      <c r="J273" s="4" t="s">
        <v>2111</v>
      </c>
      <c r="K273" s="4" t="s">
        <v>2945</v>
      </c>
      <c r="L273" s="15" t="str">
        <f t="shared" si="1"/>
        <v>ok</v>
      </c>
    </row>
    <row r="274" ht="60.0" customHeight="1">
      <c r="A274" s="13" t="s">
        <v>304</v>
      </c>
      <c r="B274" s="13">
        <v>6.0</v>
      </c>
      <c r="C274" s="13" t="s">
        <v>2481</v>
      </c>
      <c r="D274" s="13" t="s">
        <v>306</v>
      </c>
      <c r="E274" s="13" t="s">
        <v>307</v>
      </c>
      <c r="F274" s="13" t="s">
        <v>97</v>
      </c>
      <c r="G274" s="4">
        <v>3.2646662E7</v>
      </c>
      <c r="H274" s="4" t="s">
        <v>98</v>
      </c>
      <c r="I274" s="4" t="s">
        <v>97</v>
      </c>
      <c r="J274" s="4"/>
      <c r="K274" s="4" t="s">
        <v>2946</v>
      </c>
      <c r="L274" s="15" t="str">
        <f t="shared" si="1"/>
        <v>ok</v>
      </c>
    </row>
    <row r="275" ht="60.0" customHeight="1">
      <c r="A275" s="13" t="s">
        <v>1245</v>
      </c>
      <c r="B275" s="13">
        <v>6.0</v>
      </c>
      <c r="C275" s="13" t="s">
        <v>2465</v>
      </c>
      <c r="D275" s="13" t="s">
        <v>1247</v>
      </c>
      <c r="E275" s="13" t="s">
        <v>1248</v>
      </c>
      <c r="F275" s="13" t="s">
        <v>368</v>
      </c>
      <c r="G275" s="4">
        <v>3.265842E7</v>
      </c>
      <c r="H275" s="4" t="s">
        <v>906</v>
      </c>
      <c r="I275" s="4"/>
      <c r="J275" s="4" t="s">
        <v>1023</v>
      </c>
      <c r="K275" s="4" t="s">
        <v>2947</v>
      </c>
      <c r="L275" s="15" t="str">
        <f t="shared" si="1"/>
        <v>ok</v>
      </c>
    </row>
    <row r="276" ht="60.0" customHeight="1">
      <c r="A276" s="13" t="s">
        <v>1250</v>
      </c>
      <c r="B276" s="13">
        <v>6.0</v>
      </c>
      <c r="C276" s="13" t="s">
        <v>2465</v>
      </c>
      <c r="D276" s="13" t="s">
        <v>1252</v>
      </c>
      <c r="E276" s="13" t="s">
        <v>1253</v>
      </c>
      <c r="F276" s="13" t="s">
        <v>368</v>
      </c>
      <c r="G276" s="4">
        <v>3.2695138E7</v>
      </c>
      <c r="H276" s="4" t="s">
        <v>906</v>
      </c>
      <c r="I276" s="4"/>
      <c r="J276" s="4" t="s">
        <v>1023</v>
      </c>
      <c r="K276" s="4" t="s">
        <v>2948</v>
      </c>
      <c r="L276" s="15" t="str">
        <f t="shared" si="1"/>
        <v>ok</v>
      </c>
    </row>
    <row r="277" ht="60.0" customHeight="1">
      <c r="A277" s="13" t="s">
        <v>1254</v>
      </c>
      <c r="B277" s="13">
        <v>6.0</v>
      </c>
      <c r="C277" s="13" t="s">
        <v>2465</v>
      </c>
      <c r="D277" s="13" t="s">
        <v>1256</v>
      </c>
      <c r="E277" s="13" t="s">
        <v>1257</v>
      </c>
      <c r="F277" s="13" t="s">
        <v>368</v>
      </c>
      <c r="G277" s="4">
        <v>3.2721841E7</v>
      </c>
      <c r="H277" s="4" t="s">
        <v>906</v>
      </c>
      <c r="I277" s="4"/>
      <c r="J277" s="4" t="s">
        <v>1023</v>
      </c>
      <c r="K277" s="4" t="s">
        <v>2949</v>
      </c>
      <c r="L277" s="15" t="str">
        <f t="shared" si="1"/>
        <v>ok</v>
      </c>
    </row>
    <row r="278" ht="60.0" customHeight="1">
      <c r="A278" s="13" t="s">
        <v>764</v>
      </c>
      <c r="B278" s="13">
        <v>6.0</v>
      </c>
      <c r="C278" s="13" t="s">
        <v>2465</v>
      </c>
      <c r="D278" s="13" t="s">
        <v>766</v>
      </c>
      <c r="E278" s="13" t="s">
        <v>767</v>
      </c>
      <c r="F278" s="13" t="s">
        <v>97</v>
      </c>
      <c r="G278" s="4">
        <v>3.2737226E7</v>
      </c>
      <c r="H278" s="4" t="s">
        <v>694</v>
      </c>
      <c r="I278" s="4"/>
      <c r="J278" s="4"/>
      <c r="K278" s="4" t="s">
        <v>2950</v>
      </c>
      <c r="L278" s="15" t="str">
        <f t="shared" si="1"/>
        <v>ok</v>
      </c>
    </row>
    <row r="279" ht="60.0" customHeight="1">
      <c r="A279" s="13" t="s">
        <v>363</v>
      </c>
      <c r="B279" s="13">
        <v>6.0</v>
      </c>
      <c r="C279" s="13" t="s">
        <v>2465</v>
      </c>
      <c r="D279" s="13" t="s">
        <v>365</v>
      </c>
      <c r="E279" s="13" t="s">
        <v>366</v>
      </c>
      <c r="F279" s="13" t="s">
        <v>368</v>
      </c>
      <c r="G279" s="4">
        <v>3.2815676E7</v>
      </c>
      <c r="H279" s="4" t="s">
        <v>98</v>
      </c>
      <c r="I279" s="4" t="s">
        <v>368</v>
      </c>
      <c r="J279" s="4"/>
      <c r="K279" s="4" t="s">
        <v>2951</v>
      </c>
      <c r="L279" s="15" t="str">
        <f t="shared" si="1"/>
        <v>ok</v>
      </c>
    </row>
    <row r="280" ht="60.0" customHeight="1">
      <c r="A280" s="13" t="s">
        <v>308</v>
      </c>
      <c r="B280" s="13">
        <v>6.0</v>
      </c>
      <c r="C280" s="13" t="s">
        <v>2481</v>
      </c>
      <c r="D280" s="13" t="s">
        <v>310</v>
      </c>
      <c r="E280" s="13" t="s">
        <v>311</v>
      </c>
      <c r="F280" s="13" t="s">
        <v>97</v>
      </c>
      <c r="G280" s="4">
        <v>3.2862054E7</v>
      </c>
      <c r="H280" s="4" t="s">
        <v>906</v>
      </c>
      <c r="I280" s="4"/>
      <c r="J280" s="4" t="s">
        <v>2111</v>
      </c>
      <c r="K280" s="4" t="s">
        <v>2952</v>
      </c>
      <c r="L280" s="15" t="str">
        <f t="shared" si="1"/>
        <v>ok</v>
      </c>
    </row>
    <row r="281" ht="60.0" customHeight="1">
      <c r="A281" s="13" t="s">
        <v>769</v>
      </c>
      <c r="B281" s="13">
        <v>6.0</v>
      </c>
      <c r="C281" s="13" t="s">
        <v>2465</v>
      </c>
      <c r="D281" s="13" t="s">
        <v>771</v>
      </c>
      <c r="E281" s="13" t="s">
        <v>772</v>
      </c>
      <c r="F281" s="13" t="s">
        <v>97</v>
      </c>
      <c r="G281" s="4">
        <v>3.292407E7</v>
      </c>
      <c r="H281" s="4" t="s">
        <v>906</v>
      </c>
      <c r="I281" s="4"/>
      <c r="J281" s="4" t="s">
        <v>2111</v>
      </c>
      <c r="K281" s="4" t="s">
        <v>2953</v>
      </c>
      <c r="L281" s="15" t="str">
        <f t="shared" si="1"/>
        <v>ok</v>
      </c>
    </row>
    <row r="282" ht="60.0" customHeight="1">
      <c r="A282" s="13" t="s">
        <v>313</v>
      </c>
      <c r="B282" s="13">
        <v>6.0</v>
      </c>
      <c r="C282" s="13" t="s">
        <v>2481</v>
      </c>
      <c r="D282" s="13" t="s">
        <v>315</v>
      </c>
      <c r="E282" s="13" t="s">
        <v>316</v>
      </c>
      <c r="F282" s="13" t="s">
        <v>97</v>
      </c>
      <c r="G282" s="4">
        <v>3.294374E7</v>
      </c>
      <c r="H282" s="4" t="s">
        <v>98</v>
      </c>
      <c r="I282" s="4" t="s">
        <v>97</v>
      </c>
      <c r="J282" s="4"/>
      <c r="K282" s="4" t="s">
        <v>2954</v>
      </c>
      <c r="L282" s="15" t="str">
        <f t="shared" si="1"/>
        <v>ok</v>
      </c>
    </row>
    <row r="283" ht="60.0" customHeight="1">
      <c r="A283" s="13" t="s">
        <v>2003</v>
      </c>
      <c r="B283" s="13">
        <v>6.0</v>
      </c>
      <c r="C283" s="13" t="s">
        <v>2481</v>
      </c>
      <c r="D283" s="13" t="s">
        <v>2005</v>
      </c>
      <c r="E283" s="13" t="s">
        <v>2006</v>
      </c>
      <c r="F283" s="13" t="s">
        <v>97</v>
      </c>
      <c r="G283" s="4">
        <v>3.2981701E7</v>
      </c>
      <c r="H283" s="4" t="s">
        <v>906</v>
      </c>
      <c r="I283" s="4"/>
      <c r="J283" s="4" t="s">
        <v>2111</v>
      </c>
      <c r="K283" s="4" t="s">
        <v>2955</v>
      </c>
      <c r="L283" s="15" t="str">
        <f t="shared" si="1"/>
        <v>ok</v>
      </c>
    </row>
    <row r="284" ht="60.0" customHeight="1">
      <c r="A284" s="13" t="s">
        <v>369</v>
      </c>
      <c r="B284" s="13">
        <v>6.0</v>
      </c>
      <c r="C284" s="13" t="s">
        <v>2465</v>
      </c>
      <c r="D284" s="13" t="s">
        <v>370</v>
      </c>
      <c r="E284" s="13" t="s">
        <v>371</v>
      </c>
      <c r="F284" s="13" t="s">
        <v>97</v>
      </c>
      <c r="G284" s="4">
        <v>3.2986711E7</v>
      </c>
      <c r="H284" s="4" t="s">
        <v>98</v>
      </c>
      <c r="I284" s="4" t="s">
        <v>97</v>
      </c>
      <c r="J284" s="4"/>
      <c r="K284" s="4" t="s">
        <v>2956</v>
      </c>
      <c r="L284" s="15" t="str">
        <f t="shared" si="1"/>
        <v>ok</v>
      </c>
    </row>
    <row r="285" ht="60.0" customHeight="1">
      <c r="A285" s="13" t="s">
        <v>1180</v>
      </c>
      <c r="B285" s="13">
        <v>6.0</v>
      </c>
      <c r="C285" s="13" t="s">
        <v>2481</v>
      </c>
      <c r="D285" s="13" t="s">
        <v>1182</v>
      </c>
      <c r="E285" s="13" t="s">
        <v>1183</v>
      </c>
      <c r="F285" s="13" t="s">
        <v>368</v>
      </c>
      <c r="G285" s="4">
        <v>3.300968E7</v>
      </c>
      <c r="H285" s="4" t="s">
        <v>906</v>
      </c>
      <c r="I285" s="4"/>
      <c r="J285" s="4" t="s">
        <v>907</v>
      </c>
      <c r="K285" s="4" t="s">
        <v>2957</v>
      </c>
      <c r="L285" s="15" t="str">
        <f t="shared" si="1"/>
        <v>ok</v>
      </c>
    </row>
    <row r="286" ht="60.0" customHeight="1">
      <c r="A286" s="13" t="s">
        <v>1259</v>
      </c>
      <c r="B286" s="13">
        <v>6.0</v>
      </c>
      <c r="C286" s="13" t="s">
        <v>2465</v>
      </c>
      <c r="D286" s="13" t="s">
        <v>1261</v>
      </c>
      <c r="E286" s="13" t="s">
        <v>1262</v>
      </c>
      <c r="F286" s="13" t="s">
        <v>368</v>
      </c>
      <c r="G286" s="4">
        <v>3.3069877E7</v>
      </c>
      <c r="H286" s="4" t="s">
        <v>906</v>
      </c>
      <c r="I286" s="4"/>
      <c r="J286" s="4" t="s">
        <v>1023</v>
      </c>
      <c r="K286" s="4" t="s">
        <v>2958</v>
      </c>
      <c r="L286" s="15" t="str">
        <f t="shared" si="1"/>
        <v>ok</v>
      </c>
    </row>
    <row r="287" ht="60.0" customHeight="1">
      <c r="A287" s="13" t="s">
        <v>2085</v>
      </c>
      <c r="B287" s="13">
        <v>6.0</v>
      </c>
      <c r="C287" s="13" t="s">
        <v>2505</v>
      </c>
      <c r="D287" s="13" t="s">
        <v>2087</v>
      </c>
      <c r="E287" s="13"/>
      <c r="F287" s="13" t="s">
        <v>368</v>
      </c>
      <c r="G287" s="4">
        <v>3.308544E7</v>
      </c>
      <c r="H287" s="4" t="s">
        <v>906</v>
      </c>
      <c r="I287" s="4"/>
      <c r="J287" s="4" t="s">
        <v>907</v>
      </c>
      <c r="K287" s="4" t="s">
        <v>2959</v>
      </c>
      <c r="L287" s="15" t="str">
        <f t="shared" si="1"/>
        <v>ok</v>
      </c>
    </row>
    <row r="288" ht="60.0" customHeight="1">
      <c r="A288" s="13" t="s">
        <v>1264</v>
      </c>
      <c r="B288" s="13">
        <v>6.0</v>
      </c>
      <c r="C288" s="13" t="s">
        <v>2465</v>
      </c>
      <c r="D288" s="13" t="s">
        <v>1266</v>
      </c>
      <c r="E288" s="13" t="s">
        <v>1267</v>
      </c>
      <c r="F288" s="13" t="s">
        <v>368</v>
      </c>
      <c r="G288" s="4">
        <v>3.3143018E7</v>
      </c>
      <c r="H288" s="4" t="s">
        <v>906</v>
      </c>
      <c r="I288" s="4"/>
      <c r="J288" s="4" t="s">
        <v>1023</v>
      </c>
      <c r="K288" s="4" t="s">
        <v>2960</v>
      </c>
      <c r="L288" s="15" t="str">
        <f t="shared" si="1"/>
        <v>ok</v>
      </c>
    </row>
    <row r="289" ht="60.0" customHeight="1">
      <c r="A289" s="13" t="s">
        <v>1184</v>
      </c>
      <c r="B289" s="13">
        <v>6.0</v>
      </c>
      <c r="C289" s="13" t="s">
        <v>2481</v>
      </c>
      <c r="D289" s="13" t="s">
        <v>1186</v>
      </c>
      <c r="E289" s="13" t="s">
        <v>1187</v>
      </c>
      <c r="F289" s="13" t="s">
        <v>368</v>
      </c>
      <c r="G289" s="4">
        <v>3.3230826E7</v>
      </c>
      <c r="H289" s="4" t="s">
        <v>98</v>
      </c>
      <c r="I289" s="4" t="s">
        <v>368</v>
      </c>
      <c r="J289" s="4"/>
      <c r="K289" s="4" t="s">
        <v>2961</v>
      </c>
      <c r="L289" s="15" t="str">
        <f t="shared" si="1"/>
        <v>ok</v>
      </c>
    </row>
    <row r="290" ht="60.0" customHeight="1">
      <c r="A290" s="13" t="s">
        <v>318</v>
      </c>
      <c r="B290" s="13">
        <v>6.0</v>
      </c>
      <c r="C290" s="13" t="s">
        <v>2481</v>
      </c>
      <c r="D290" s="13" t="s">
        <v>320</v>
      </c>
      <c r="E290" s="13" t="s">
        <v>321</v>
      </c>
      <c r="F290" s="13" t="s">
        <v>97</v>
      </c>
      <c r="G290" s="4">
        <v>3.3403783E7</v>
      </c>
      <c r="H290" s="4" t="s">
        <v>906</v>
      </c>
      <c r="I290" s="4"/>
      <c r="J290" s="4" t="s">
        <v>2111</v>
      </c>
      <c r="K290" s="4" t="s">
        <v>2962</v>
      </c>
      <c r="L290" s="15" t="str">
        <f t="shared" si="1"/>
        <v>ok</v>
      </c>
    </row>
    <row r="291" ht="60.0" customHeight="1">
      <c r="A291" s="13" t="s">
        <v>1189</v>
      </c>
      <c r="B291" s="13">
        <v>6.0</v>
      </c>
      <c r="C291" s="13" t="s">
        <v>2481</v>
      </c>
      <c r="D291" s="13" t="s">
        <v>1191</v>
      </c>
      <c r="E291" s="13" t="s">
        <v>1192</v>
      </c>
      <c r="F291" s="13" t="s">
        <v>368</v>
      </c>
      <c r="G291" s="4">
        <v>3.3460583E7</v>
      </c>
      <c r="H291" s="4" t="s">
        <v>906</v>
      </c>
      <c r="I291" s="4"/>
      <c r="J291" s="4" t="s">
        <v>1023</v>
      </c>
      <c r="K291" s="4" t="s">
        <v>2963</v>
      </c>
      <c r="L291" s="15" t="str">
        <f t="shared" si="1"/>
        <v>ok</v>
      </c>
    </row>
    <row r="292" ht="60.0" customHeight="1">
      <c r="A292" s="13" t="s">
        <v>323</v>
      </c>
      <c r="B292" s="13">
        <v>6.0</v>
      </c>
      <c r="C292" s="13" t="s">
        <v>2481</v>
      </c>
      <c r="D292" s="13" t="s">
        <v>325</v>
      </c>
      <c r="E292" s="13" t="s">
        <v>326</v>
      </c>
      <c r="F292" s="13" t="s">
        <v>97</v>
      </c>
      <c r="G292" s="4">
        <v>3.3486488E7</v>
      </c>
      <c r="H292" s="4" t="s">
        <v>98</v>
      </c>
      <c r="I292" s="4" t="s">
        <v>97</v>
      </c>
      <c r="J292" s="4"/>
      <c r="K292" s="4" t="s">
        <v>2964</v>
      </c>
      <c r="L292" s="15" t="str">
        <f t="shared" si="1"/>
        <v>ok</v>
      </c>
    </row>
    <row r="293" ht="60.0" customHeight="1">
      <c r="A293" s="13" t="s">
        <v>329</v>
      </c>
      <c r="B293" s="13">
        <v>6.0</v>
      </c>
      <c r="C293" s="13" t="s">
        <v>2481</v>
      </c>
      <c r="D293" s="13" t="s">
        <v>331</v>
      </c>
      <c r="E293" s="13" t="s">
        <v>332</v>
      </c>
      <c r="F293" s="13" t="s">
        <v>97</v>
      </c>
      <c r="G293" s="4">
        <v>3.3515091E7</v>
      </c>
      <c r="H293" s="4" t="s">
        <v>98</v>
      </c>
      <c r="I293" s="4" t="s">
        <v>97</v>
      </c>
      <c r="J293" s="4"/>
      <c r="K293" s="4" t="s">
        <v>2965</v>
      </c>
      <c r="L293" s="15" t="str">
        <f t="shared" si="1"/>
        <v>ok</v>
      </c>
    </row>
    <row r="294" ht="60.0" customHeight="1">
      <c r="A294" s="13" t="s">
        <v>749</v>
      </c>
      <c r="B294" s="13">
        <v>6.0</v>
      </c>
      <c r="C294" s="13" t="s">
        <v>2481</v>
      </c>
      <c r="D294" s="13" t="s">
        <v>751</v>
      </c>
      <c r="E294" s="13" t="s">
        <v>752</v>
      </c>
      <c r="F294" s="13" t="s">
        <v>126</v>
      </c>
      <c r="G294" s="4">
        <v>3.3527722E7</v>
      </c>
      <c r="H294" s="4" t="s">
        <v>694</v>
      </c>
      <c r="I294" s="4"/>
      <c r="J294" s="4"/>
      <c r="K294" s="4" t="s">
        <v>2966</v>
      </c>
      <c r="L294" s="15" t="str">
        <f t="shared" si="1"/>
        <v>ok</v>
      </c>
    </row>
    <row r="295" ht="60.0" customHeight="1">
      <c r="A295" s="13" t="s">
        <v>2007</v>
      </c>
      <c r="B295" s="13">
        <v>6.0</v>
      </c>
      <c r="C295" s="13" t="s">
        <v>2481</v>
      </c>
      <c r="D295" s="13" t="s">
        <v>2009</v>
      </c>
      <c r="E295" s="13" t="s">
        <v>2010</v>
      </c>
      <c r="F295" s="13" t="s">
        <v>97</v>
      </c>
      <c r="G295" s="4">
        <v>3.364493E7</v>
      </c>
      <c r="H295" s="4" t="s">
        <v>98</v>
      </c>
      <c r="I295" s="4" t="s">
        <v>97</v>
      </c>
      <c r="J295" s="4"/>
      <c r="K295" s="4" t="s">
        <v>2967</v>
      </c>
      <c r="L295" s="15" t="str">
        <f t="shared" si="1"/>
        <v>ok</v>
      </c>
    </row>
    <row r="296" ht="60.0" customHeight="1">
      <c r="A296" s="13" t="s">
        <v>915</v>
      </c>
      <c r="B296" s="13">
        <v>6.0</v>
      </c>
      <c r="C296" s="13" t="s">
        <v>2481</v>
      </c>
      <c r="D296" s="13" t="s">
        <v>917</v>
      </c>
      <c r="E296" s="13" t="s">
        <v>918</v>
      </c>
      <c r="F296" s="13" t="s">
        <v>97</v>
      </c>
      <c r="G296" s="4">
        <v>3.3730431E7</v>
      </c>
      <c r="H296" s="4" t="s">
        <v>906</v>
      </c>
      <c r="I296" s="4"/>
      <c r="J296" s="4" t="s">
        <v>907</v>
      </c>
      <c r="K296" s="4" t="s">
        <v>2968</v>
      </c>
      <c r="L296" s="15" t="str">
        <f t="shared" si="1"/>
        <v>ok</v>
      </c>
    </row>
    <row r="297" ht="60.0" customHeight="1">
      <c r="A297" s="13" t="s">
        <v>1193</v>
      </c>
      <c r="B297" s="13">
        <v>6.0</v>
      </c>
      <c r="C297" s="13" t="s">
        <v>2481</v>
      </c>
      <c r="D297" s="13" t="s">
        <v>1195</v>
      </c>
      <c r="E297" s="13" t="s">
        <v>1196</v>
      </c>
      <c r="F297" s="13" t="s">
        <v>368</v>
      </c>
      <c r="G297" s="4">
        <v>3.3838069E7</v>
      </c>
      <c r="H297" s="4" t="s">
        <v>906</v>
      </c>
      <c r="I297" s="4"/>
      <c r="J297" s="4" t="s">
        <v>1023</v>
      </c>
      <c r="K297" s="4" t="s">
        <v>2969</v>
      </c>
      <c r="L297" s="15" t="str">
        <f t="shared" si="1"/>
        <v>ok</v>
      </c>
    </row>
    <row r="298" ht="60.0" customHeight="1">
      <c r="A298" s="13" t="s">
        <v>1198</v>
      </c>
      <c r="B298" s="13">
        <v>6.0</v>
      </c>
      <c r="C298" s="13" t="s">
        <v>2481</v>
      </c>
      <c r="D298" s="13" t="s">
        <v>1200</v>
      </c>
      <c r="E298" s="13" t="s">
        <v>1201</v>
      </c>
      <c r="F298" s="13" t="s">
        <v>368</v>
      </c>
      <c r="G298" s="4">
        <v>3.3853619E7</v>
      </c>
      <c r="H298" s="4" t="s">
        <v>906</v>
      </c>
      <c r="I298" s="4"/>
      <c r="J298" s="4" t="s">
        <v>1023</v>
      </c>
      <c r="K298" s="4" t="s">
        <v>2970</v>
      </c>
      <c r="L298" s="15" t="str">
        <f t="shared" si="1"/>
        <v>ok</v>
      </c>
    </row>
    <row r="299" ht="60.0" customHeight="1">
      <c r="A299" s="13" t="s">
        <v>1202</v>
      </c>
      <c r="B299" s="13">
        <v>6.0</v>
      </c>
      <c r="C299" s="13" t="s">
        <v>2481</v>
      </c>
      <c r="D299" s="13" t="s">
        <v>1204</v>
      </c>
      <c r="E299" s="13" t="s">
        <v>1205</v>
      </c>
      <c r="F299" s="13" t="s">
        <v>368</v>
      </c>
      <c r="G299" s="4">
        <v>3.3884933E7</v>
      </c>
      <c r="H299" s="4" t="s">
        <v>906</v>
      </c>
      <c r="I299" s="4"/>
      <c r="J299" s="4" t="s">
        <v>1023</v>
      </c>
      <c r="K299" s="4" t="s">
        <v>2971</v>
      </c>
      <c r="L299" s="15" t="str">
        <f t="shared" si="1"/>
        <v>ok</v>
      </c>
    </row>
    <row r="300" ht="60.0" customHeight="1">
      <c r="A300" s="13" t="s">
        <v>1674</v>
      </c>
      <c r="B300" s="13">
        <v>6.0</v>
      </c>
      <c r="C300" s="13" t="s">
        <v>2481</v>
      </c>
      <c r="D300" s="13" t="s">
        <v>1676</v>
      </c>
      <c r="E300" s="13" t="s">
        <v>1677</v>
      </c>
      <c r="F300" s="13" t="s">
        <v>368</v>
      </c>
      <c r="G300" s="4">
        <v>3.3914334E7</v>
      </c>
      <c r="H300" s="4" t="s">
        <v>906</v>
      </c>
      <c r="I300" s="4"/>
      <c r="J300" s="4" t="s">
        <v>1522</v>
      </c>
      <c r="K300" s="4" t="s">
        <v>2972</v>
      </c>
      <c r="L300" s="15" t="str">
        <f t="shared" si="1"/>
        <v>ok</v>
      </c>
    </row>
    <row r="301" ht="60.0" customHeight="1">
      <c r="A301" s="13" t="s">
        <v>1206</v>
      </c>
      <c r="B301" s="13">
        <v>6.0</v>
      </c>
      <c r="C301" s="13" t="s">
        <v>2481</v>
      </c>
      <c r="D301" s="13" t="s">
        <v>1208</v>
      </c>
      <c r="E301" s="13" t="s">
        <v>1209</v>
      </c>
      <c r="F301" s="13" t="s">
        <v>368</v>
      </c>
      <c r="G301" s="4">
        <v>3.3957658E7</v>
      </c>
      <c r="H301" s="4" t="s">
        <v>906</v>
      </c>
      <c r="I301" s="4"/>
      <c r="J301" s="4" t="s">
        <v>1023</v>
      </c>
      <c r="K301" s="4" t="s">
        <v>2973</v>
      </c>
      <c r="L301" s="15" t="str">
        <f t="shared" si="1"/>
        <v>ok</v>
      </c>
    </row>
    <row r="302" ht="60.0" customHeight="1">
      <c r="A302" s="13" t="s">
        <v>1211</v>
      </c>
      <c r="B302" s="13">
        <v>6.0</v>
      </c>
      <c r="C302" s="13" t="s">
        <v>2481</v>
      </c>
      <c r="D302" s="13" t="s">
        <v>1213</v>
      </c>
      <c r="E302" s="13" t="s">
        <v>1214</v>
      </c>
      <c r="F302" s="13" t="s">
        <v>368</v>
      </c>
      <c r="G302" s="4">
        <v>3.4025125E7</v>
      </c>
      <c r="H302" s="4" t="s">
        <v>906</v>
      </c>
      <c r="I302" s="4"/>
      <c r="J302" s="4" t="s">
        <v>1023</v>
      </c>
      <c r="K302" s="4" t="s">
        <v>2974</v>
      </c>
      <c r="L302" s="15" t="str">
        <f t="shared" si="1"/>
        <v>ok</v>
      </c>
    </row>
    <row r="303" ht="60.0" customHeight="1">
      <c r="A303" s="13" t="s">
        <v>1216</v>
      </c>
      <c r="B303" s="13">
        <v>6.0</v>
      </c>
      <c r="C303" s="13" t="s">
        <v>2481</v>
      </c>
      <c r="D303" s="13" t="s">
        <v>1218</v>
      </c>
      <c r="E303" s="13" t="s">
        <v>1219</v>
      </c>
      <c r="F303" s="13" t="s">
        <v>368</v>
      </c>
      <c r="G303" s="4">
        <v>3.4040638E7</v>
      </c>
      <c r="H303" s="4" t="s">
        <v>906</v>
      </c>
      <c r="I303" s="4"/>
      <c r="J303" s="4" t="s">
        <v>1023</v>
      </c>
      <c r="K303" s="4" t="s">
        <v>2975</v>
      </c>
      <c r="L303" s="15" t="str">
        <f t="shared" si="1"/>
        <v>ok</v>
      </c>
    </row>
    <row r="304" ht="60.0" customHeight="1">
      <c r="A304" s="13" t="s">
        <v>1678</v>
      </c>
      <c r="B304" s="13">
        <v>6.0</v>
      </c>
      <c r="C304" s="13" t="s">
        <v>2481</v>
      </c>
      <c r="D304" s="13" t="s">
        <v>1680</v>
      </c>
      <c r="E304" s="13" t="s">
        <v>1681</v>
      </c>
      <c r="F304" s="13" t="s">
        <v>368</v>
      </c>
      <c r="G304" s="4">
        <v>3.4058167E7</v>
      </c>
      <c r="H304" s="4" t="s">
        <v>906</v>
      </c>
      <c r="I304" s="4"/>
      <c r="J304" s="4" t="s">
        <v>1522</v>
      </c>
      <c r="K304" s="4" t="s">
        <v>2976</v>
      </c>
      <c r="L304" s="15" t="str">
        <f t="shared" si="1"/>
        <v>ok</v>
      </c>
    </row>
    <row r="305" ht="60.0" customHeight="1">
      <c r="A305" s="13" t="s">
        <v>333</v>
      </c>
      <c r="B305" s="13">
        <v>6.0</v>
      </c>
      <c r="C305" s="13" t="s">
        <v>2481</v>
      </c>
      <c r="D305" s="13" t="s">
        <v>335</v>
      </c>
      <c r="E305" s="13" t="s">
        <v>336</v>
      </c>
      <c r="F305" s="13" t="s">
        <v>97</v>
      </c>
      <c r="G305" s="4">
        <v>3.4112961E7</v>
      </c>
      <c r="H305" s="4" t="s">
        <v>906</v>
      </c>
      <c r="I305" s="4"/>
      <c r="J305" s="4" t="s">
        <v>2111</v>
      </c>
      <c r="K305" s="4" t="s">
        <v>2977</v>
      </c>
      <c r="L305" s="15" t="str">
        <f t="shared" si="1"/>
        <v>ok</v>
      </c>
    </row>
    <row r="306" ht="60.0" customHeight="1">
      <c r="A306" s="13" t="s">
        <v>1220</v>
      </c>
      <c r="B306" s="13">
        <v>6.0</v>
      </c>
      <c r="C306" s="13" t="s">
        <v>2481</v>
      </c>
      <c r="D306" s="13" t="s">
        <v>1222</v>
      </c>
      <c r="E306" s="13" t="s">
        <v>1223</v>
      </c>
      <c r="F306" s="13" t="s">
        <v>368</v>
      </c>
      <c r="G306" s="4">
        <v>3.4127051E7</v>
      </c>
      <c r="H306" s="4" t="s">
        <v>906</v>
      </c>
      <c r="I306" s="4"/>
      <c r="J306" s="4" t="s">
        <v>1023</v>
      </c>
      <c r="K306" s="4" t="s">
        <v>2978</v>
      </c>
      <c r="L306" s="15" t="str">
        <f t="shared" si="1"/>
        <v>ok</v>
      </c>
    </row>
    <row r="307" ht="60.0" customHeight="1">
      <c r="A307" s="13" t="s">
        <v>337</v>
      </c>
      <c r="B307" s="13">
        <v>7.0</v>
      </c>
      <c r="C307" s="13" t="s">
        <v>2481</v>
      </c>
      <c r="D307" s="13" t="s">
        <v>339</v>
      </c>
      <c r="E307" s="13" t="s">
        <v>340</v>
      </c>
      <c r="F307" s="13" t="s">
        <v>97</v>
      </c>
      <c r="G307" s="4">
        <v>3.4215991E7</v>
      </c>
      <c r="H307" s="4" t="s">
        <v>98</v>
      </c>
      <c r="I307" s="4" t="s">
        <v>97</v>
      </c>
      <c r="J307" s="4"/>
      <c r="K307" s="4" t="s">
        <v>2979</v>
      </c>
      <c r="L307" s="15" t="str">
        <f t="shared" si="1"/>
        <v>ok</v>
      </c>
    </row>
    <row r="308" ht="60.0" customHeight="1">
      <c r="A308" s="13" t="s">
        <v>343</v>
      </c>
      <c r="B308" s="13">
        <v>7.0</v>
      </c>
      <c r="C308" s="13" t="s">
        <v>2481</v>
      </c>
      <c r="D308" s="13" t="s">
        <v>345</v>
      </c>
      <c r="E308" s="13" t="s">
        <v>346</v>
      </c>
      <c r="F308" s="13" t="s">
        <v>97</v>
      </c>
      <c r="G308" s="4">
        <v>3.4363815E7</v>
      </c>
      <c r="H308" s="4" t="s">
        <v>98</v>
      </c>
      <c r="I308" s="4" t="s">
        <v>97</v>
      </c>
      <c r="J308" s="4"/>
      <c r="K308" s="4" t="s">
        <v>2980</v>
      </c>
      <c r="L308" s="15" t="str">
        <f t="shared" si="1"/>
        <v>ok</v>
      </c>
    </row>
    <row r="309" ht="60.0" customHeight="1">
      <c r="A309" s="13" t="s">
        <v>348</v>
      </c>
      <c r="B309" s="13">
        <v>7.0</v>
      </c>
      <c r="C309" s="13" t="s">
        <v>2481</v>
      </c>
      <c r="D309" s="13" t="s">
        <v>350</v>
      </c>
      <c r="E309" s="13" t="s">
        <v>351</v>
      </c>
      <c r="F309" s="13" t="s">
        <v>97</v>
      </c>
      <c r="G309" s="4">
        <v>3.4415101E7</v>
      </c>
      <c r="H309" s="4" t="s">
        <v>98</v>
      </c>
      <c r="I309" s="4" t="s">
        <v>97</v>
      </c>
      <c r="J309" s="4"/>
      <c r="K309" s="4" t="s">
        <v>2981</v>
      </c>
      <c r="L309" s="15" t="str">
        <f t="shared" si="1"/>
        <v>ok</v>
      </c>
    </row>
    <row r="310" ht="60.0" customHeight="1">
      <c r="A310" s="13" t="s">
        <v>1135</v>
      </c>
      <c r="B310" s="13">
        <v>7.0</v>
      </c>
      <c r="C310" s="13" t="s">
        <v>2529</v>
      </c>
      <c r="D310" s="13" t="s">
        <v>1137</v>
      </c>
      <c r="E310" s="13" t="s">
        <v>1138</v>
      </c>
      <c r="F310" s="13" t="s">
        <v>368</v>
      </c>
      <c r="G310" s="4">
        <v>3.4533609E7</v>
      </c>
      <c r="H310" s="4" t="s">
        <v>906</v>
      </c>
      <c r="I310" s="4"/>
      <c r="J310" s="4" t="s">
        <v>1023</v>
      </c>
      <c r="K310" s="4" t="s">
        <v>2982</v>
      </c>
      <c r="L310" s="15" t="str">
        <f t="shared" si="1"/>
        <v>ok</v>
      </c>
    </row>
    <row r="311" ht="60.0" customHeight="1">
      <c r="A311" s="13" t="s">
        <v>1225</v>
      </c>
      <c r="B311" s="13">
        <v>7.0</v>
      </c>
      <c r="C311" s="13" t="s">
        <v>2481</v>
      </c>
      <c r="D311" s="13" t="s">
        <v>1227</v>
      </c>
      <c r="E311" s="13" t="s">
        <v>1228</v>
      </c>
      <c r="F311" s="13" t="s">
        <v>368</v>
      </c>
      <c r="G311" s="4">
        <v>3.4876859E7</v>
      </c>
      <c r="H311" s="4" t="s">
        <v>906</v>
      </c>
      <c r="I311" s="4"/>
      <c r="J311" s="4" t="s">
        <v>1023</v>
      </c>
      <c r="K311" s="4" t="s">
        <v>2983</v>
      </c>
      <c r="L311" s="15" t="str">
        <f t="shared" si="1"/>
        <v>ok</v>
      </c>
    </row>
    <row r="312" ht="60.0" customHeight="1">
      <c r="A312" s="13" t="s">
        <v>272</v>
      </c>
      <c r="B312" s="13">
        <v>7.0</v>
      </c>
      <c r="C312" s="13" t="s">
        <v>2529</v>
      </c>
      <c r="D312" s="13" t="s">
        <v>273</v>
      </c>
      <c r="E312" s="13" t="s">
        <v>274</v>
      </c>
      <c r="F312" s="13" t="s">
        <v>97</v>
      </c>
      <c r="G312" s="4">
        <v>3.488903E7</v>
      </c>
      <c r="H312" s="4" t="s">
        <v>98</v>
      </c>
      <c r="I312" s="4" t="s">
        <v>97</v>
      </c>
      <c r="J312" s="4"/>
      <c r="K312" s="4" t="s">
        <v>2984</v>
      </c>
      <c r="L312" s="15" t="str">
        <f t="shared" si="1"/>
        <v>ok</v>
      </c>
    </row>
    <row r="313" ht="60.0" customHeight="1">
      <c r="A313" s="13" t="s">
        <v>743</v>
      </c>
      <c r="B313" s="13">
        <v>7.0</v>
      </c>
      <c r="C313" s="13" t="s">
        <v>2529</v>
      </c>
      <c r="D313" s="13" t="s">
        <v>745</v>
      </c>
      <c r="E313" s="13" t="s">
        <v>746</v>
      </c>
      <c r="F313" s="13" t="s">
        <v>97</v>
      </c>
      <c r="G313" s="4">
        <v>3.4919485E7</v>
      </c>
      <c r="H313" s="4" t="s">
        <v>694</v>
      </c>
      <c r="I313" s="4"/>
      <c r="J313" s="4"/>
      <c r="K313" s="4" t="s">
        <v>2985</v>
      </c>
      <c r="L313" s="15" t="str">
        <f t="shared" si="1"/>
        <v>ok</v>
      </c>
    </row>
    <row r="314" ht="60.0" customHeight="1">
      <c r="A314" s="13" t="s">
        <v>1140</v>
      </c>
      <c r="B314" s="13">
        <v>7.0</v>
      </c>
      <c r="C314" s="13" t="s">
        <v>2529</v>
      </c>
      <c r="D314" s="13" t="s">
        <v>1142</v>
      </c>
      <c r="E314" s="13" t="s">
        <v>1143</v>
      </c>
      <c r="F314" s="13" t="s">
        <v>368</v>
      </c>
      <c r="G314" s="4">
        <v>3.5085538E7</v>
      </c>
      <c r="H314" s="4" t="s">
        <v>906</v>
      </c>
      <c r="I314" s="4"/>
      <c r="J314" s="4" t="s">
        <v>1023</v>
      </c>
      <c r="K314" s="4" t="s">
        <v>2986</v>
      </c>
      <c r="L314" s="15" t="str">
        <f t="shared" si="1"/>
        <v>ok</v>
      </c>
    </row>
    <row r="315" ht="60.0" customHeight="1">
      <c r="A315" s="13" t="s">
        <v>275</v>
      </c>
      <c r="B315" s="13">
        <v>7.0</v>
      </c>
      <c r="C315" s="13" t="s">
        <v>2529</v>
      </c>
      <c r="D315" s="13" t="s">
        <v>277</v>
      </c>
      <c r="E315" s="13" t="s">
        <v>278</v>
      </c>
      <c r="F315" s="13" t="s">
        <v>97</v>
      </c>
      <c r="G315" s="4">
        <v>3.5156266E7</v>
      </c>
      <c r="H315" s="4" t="s">
        <v>98</v>
      </c>
      <c r="I315" s="4" t="s">
        <v>97</v>
      </c>
      <c r="J315" s="4"/>
      <c r="K315" s="4" t="s">
        <v>2987</v>
      </c>
      <c r="L315" s="15" t="str">
        <f t="shared" si="1"/>
        <v>ok</v>
      </c>
    </row>
    <row r="316" ht="60.0" customHeight="1">
      <c r="A316" s="13" t="s">
        <v>1146</v>
      </c>
      <c r="B316" s="13">
        <v>7.0</v>
      </c>
      <c r="C316" s="13" t="s">
        <v>2529</v>
      </c>
      <c r="D316" s="13" t="s">
        <v>1148</v>
      </c>
      <c r="E316" s="13" t="s">
        <v>1149</v>
      </c>
      <c r="F316" s="13" t="s">
        <v>97</v>
      </c>
      <c r="G316" s="4">
        <v>3.5169781E7</v>
      </c>
      <c r="H316" s="4" t="s">
        <v>906</v>
      </c>
      <c r="I316" s="4"/>
      <c r="J316" s="4" t="s">
        <v>1522</v>
      </c>
      <c r="K316" s="4" t="s">
        <v>2988</v>
      </c>
      <c r="L316" s="15" t="str">
        <f t="shared" si="1"/>
        <v>ok</v>
      </c>
    </row>
    <row r="317" ht="60.0" customHeight="1">
      <c r="A317" s="13" t="s">
        <v>1151</v>
      </c>
      <c r="B317" s="13">
        <v>7.0</v>
      </c>
      <c r="C317" s="13" t="s">
        <v>2529</v>
      </c>
      <c r="D317" s="13" t="s">
        <v>1153</v>
      </c>
      <c r="E317" s="13" t="s">
        <v>1154</v>
      </c>
      <c r="F317" s="13" t="s">
        <v>368</v>
      </c>
      <c r="G317" s="4">
        <v>3.5278232E7</v>
      </c>
      <c r="H317" s="4" t="s">
        <v>906</v>
      </c>
      <c r="I317" s="4"/>
      <c r="J317" s="4" t="s">
        <v>1023</v>
      </c>
      <c r="K317" s="4" t="s">
        <v>2989</v>
      </c>
      <c r="L317" s="15" t="str">
        <f t="shared" si="1"/>
        <v>ok</v>
      </c>
    </row>
    <row r="318" ht="60.0" customHeight="1">
      <c r="A318" s="13" t="s">
        <v>1670</v>
      </c>
      <c r="B318" s="13">
        <v>7.0</v>
      </c>
      <c r="C318" s="13" t="s">
        <v>2529</v>
      </c>
      <c r="D318" s="13" t="s">
        <v>1672</v>
      </c>
      <c r="E318" s="13" t="s">
        <v>1673</v>
      </c>
      <c r="F318" s="13" t="s">
        <v>368</v>
      </c>
      <c r="G318" s="4">
        <v>3.5291955E7</v>
      </c>
      <c r="H318" s="4" t="s">
        <v>906</v>
      </c>
      <c r="I318" s="4"/>
      <c r="J318" s="4" t="s">
        <v>1522</v>
      </c>
      <c r="K318" s="4" t="s">
        <v>2990</v>
      </c>
      <c r="L318" s="15" t="str">
        <f t="shared" si="1"/>
        <v>ok</v>
      </c>
    </row>
    <row r="319" ht="60.0" customHeight="1">
      <c r="A319" s="13" t="s">
        <v>280</v>
      </c>
      <c r="B319" s="13">
        <v>7.0</v>
      </c>
      <c r="C319" s="13" t="s">
        <v>2529</v>
      </c>
      <c r="D319" s="13" t="s">
        <v>282</v>
      </c>
      <c r="E319" s="13" t="s">
        <v>283</v>
      </c>
      <c r="F319" s="13" t="s">
        <v>126</v>
      </c>
      <c r="G319" s="4">
        <v>3.5452657E7</v>
      </c>
      <c r="H319" s="4" t="s">
        <v>98</v>
      </c>
      <c r="I319" s="4" t="s">
        <v>97</v>
      </c>
      <c r="J319" s="4"/>
      <c r="K319" s="4" t="s">
        <v>2991</v>
      </c>
      <c r="L319" s="15" t="str">
        <f t="shared" si="1"/>
        <v>ok</v>
      </c>
    </row>
    <row r="320" ht="60.0" customHeight="1">
      <c r="A320" s="13" t="s">
        <v>1915</v>
      </c>
      <c r="B320" s="13">
        <v>7.0</v>
      </c>
      <c r="C320" s="13" t="s">
        <v>2529</v>
      </c>
      <c r="D320" s="13" t="s">
        <v>1917</v>
      </c>
      <c r="E320" s="13" t="s">
        <v>1918</v>
      </c>
      <c r="F320" s="13" t="s">
        <v>97</v>
      </c>
      <c r="G320" s="4">
        <v>3.5478319E7</v>
      </c>
      <c r="H320" s="4" t="s">
        <v>906</v>
      </c>
      <c r="I320" s="4"/>
      <c r="J320" s="4" t="s">
        <v>1522</v>
      </c>
      <c r="K320" s="4" t="s">
        <v>2992</v>
      </c>
      <c r="L320" s="15" t="str">
        <f t="shared" si="1"/>
        <v>ok</v>
      </c>
    </row>
    <row r="321" ht="60.0" customHeight="1">
      <c r="A321" s="13" t="s">
        <v>284</v>
      </c>
      <c r="B321" s="13">
        <v>7.0</v>
      </c>
      <c r="C321" s="13" t="s">
        <v>2529</v>
      </c>
      <c r="D321" s="13" t="s">
        <v>286</v>
      </c>
      <c r="E321" s="13" t="s">
        <v>287</v>
      </c>
      <c r="F321" s="13" t="s">
        <v>97</v>
      </c>
      <c r="G321" s="4">
        <v>3.5522316E7</v>
      </c>
      <c r="H321" s="4" t="s">
        <v>98</v>
      </c>
      <c r="I321" s="4" t="s">
        <v>97</v>
      </c>
      <c r="J321" s="4"/>
      <c r="K321" s="4" t="s">
        <v>2993</v>
      </c>
      <c r="L321" s="15" t="str">
        <f t="shared" si="1"/>
        <v>ok</v>
      </c>
    </row>
    <row r="322" ht="60.0" customHeight="1">
      <c r="A322" s="13" t="s">
        <v>1155</v>
      </c>
      <c r="B322" s="13">
        <v>7.0</v>
      </c>
      <c r="C322" s="13" t="s">
        <v>2529</v>
      </c>
      <c r="D322" s="13" t="s">
        <v>1157</v>
      </c>
      <c r="E322" s="13" t="s">
        <v>1158</v>
      </c>
      <c r="F322" s="13" t="s">
        <v>368</v>
      </c>
      <c r="G322" s="4">
        <v>3.5644554E7</v>
      </c>
      <c r="H322" s="4" t="s">
        <v>906</v>
      </c>
      <c r="I322" s="4"/>
      <c r="J322" s="4" t="s">
        <v>1023</v>
      </c>
      <c r="K322" s="4" t="s">
        <v>2994</v>
      </c>
      <c r="L322" s="15" t="str">
        <f t="shared" si="1"/>
        <v>ok</v>
      </c>
    </row>
    <row r="323" ht="60.0" customHeight="1">
      <c r="A323" s="13" t="s">
        <v>2117</v>
      </c>
      <c r="B323" s="13">
        <v>7.0</v>
      </c>
      <c r="C323" s="13" t="s">
        <v>2529</v>
      </c>
      <c r="D323" s="13" t="s">
        <v>2119</v>
      </c>
      <c r="E323" s="13" t="s">
        <v>2120</v>
      </c>
      <c r="F323" s="13" t="s">
        <v>97</v>
      </c>
      <c r="G323" s="4">
        <v>3.5725946E7</v>
      </c>
      <c r="H323" s="4" t="s">
        <v>906</v>
      </c>
      <c r="I323" s="4"/>
      <c r="J323" s="4" t="s">
        <v>2111</v>
      </c>
      <c r="K323" s="4" t="s">
        <v>2995</v>
      </c>
      <c r="L323" s="15" t="str">
        <f t="shared" si="1"/>
        <v>ok</v>
      </c>
    </row>
    <row r="324" ht="60.0" customHeight="1">
      <c r="A324" s="13" t="s">
        <v>289</v>
      </c>
      <c r="B324" s="13">
        <v>7.0</v>
      </c>
      <c r="C324" s="13" t="s">
        <v>2529</v>
      </c>
      <c r="D324" s="13" t="s">
        <v>291</v>
      </c>
      <c r="E324" s="13" t="s">
        <v>292</v>
      </c>
      <c r="F324" s="13" t="s">
        <v>126</v>
      </c>
      <c r="G324" s="4">
        <v>3.6013402E7</v>
      </c>
      <c r="H324" s="4" t="s">
        <v>906</v>
      </c>
      <c r="I324" s="4"/>
      <c r="J324" s="4" t="s">
        <v>2111</v>
      </c>
      <c r="K324" s="4" t="s">
        <v>2996</v>
      </c>
      <c r="L324" s="15" t="str">
        <f t="shared" si="1"/>
        <v>ok</v>
      </c>
    </row>
    <row r="325" ht="60.0" customHeight="1">
      <c r="A325" s="13" t="s">
        <v>1161</v>
      </c>
      <c r="B325" s="13">
        <v>7.0</v>
      </c>
      <c r="C325" s="13" t="s">
        <v>2529</v>
      </c>
      <c r="D325" s="13" t="s">
        <v>1163</v>
      </c>
      <c r="E325" s="13" t="s">
        <v>1164</v>
      </c>
      <c r="F325" s="13" t="s">
        <v>368</v>
      </c>
      <c r="G325" s="4">
        <v>3.6099005E7</v>
      </c>
      <c r="H325" s="4" t="s">
        <v>906</v>
      </c>
      <c r="I325" s="4"/>
      <c r="J325" s="4" t="s">
        <v>1023</v>
      </c>
      <c r="K325" s="4" t="s">
        <v>2997</v>
      </c>
      <c r="L325" s="15" t="str">
        <f t="shared" si="1"/>
        <v>ok</v>
      </c>
    </row>
    <row r="326" ht="60.0" customHeight="1">
      <c r="A326" s="13" t="s">
        <v>1919</v>
      </c>
      <c r="B326" s="13">
        <v>7.0</v>
      </c>
      <c r="C326" s="13" t="s">
        <v>2529</v>
      </c>
      <c r="D326" s="13" t="s">
        <v>1920</v>
      </c>
      <c r="E326" s="13" t="s">
        <v>1921</v>
      </c>
      <c r="F326" s="13" t="s">
        <v>368</v>
      </c>
      <c r="G326" s="4">
        <v>3.6241341E7</v>
      </c>
      <c r="H326" s="4" t="s">
        <v>906</v>
      </c>
      <c r="I326" s="4"/>
      <c r="J326" s="4" t="s">
        <v>907</v>
      </c>
      <c r="K326" s="4" t="s">
        <v>2998</v>
      </c>
      <c r="L326" s="15" t="str">
        <f t="shared" si="1"/>
        <v>ok</v>
      </c>
    </row>
    <row r="327" ht="60.0" customHeight="1">
      <c r="A327" s="13" t="s">
        <v>1640</v>
      </c>
      <c r="B327" s="13">
        <v>7.0</v>
      </c>
      <c r="C327" s="13" t="s">
        <v>2547</v>
      </c>
      <c r="D327" s="13" t="s">
        <v>1642</v>
      </c>
      <c r="E327" s="13" t="s">
        <v>1643</v>
      </c>
      <c r="F327" s="13" t="s">
        <v>368</v>
      </c>
      <c r="G327" s="4">
        <v>3.6269386E7</v>
      </c>
      <c r="H327" s="4" t="s">
        <v>906</v>
      </c>
      <c r="I327" s="4"/>
      <c r="J327" s="4" t="s">
        <v>1023</v>
      </c>
      <c r="K327" s="4" t="s">
        <v>2999</v>
      </c>
      <c r="L327" s="15" t="str">
        <f t="shared" si="1"/>
        <v>ok</v>
      </c>
    </row>
    <row r="328" ht="60.0" customHeight="1">
      <c r="A328" s="13" t="s">
        <v>1166</v>
      </c>
      <c r="B328" s="13">
        <v>7.0</v>
      </c>
      <c r="C328" s="13" t="s">
        <v>2529</v>
      </c>
      <c r="D328" s="13" t="s">
        <v>1168</v>
      </c>
      <c r="E328" s="13" t="s">
        <v>1169</v>
      </c>
      <c r="F328" s="13" t="s">
        <v>368</v>
      </c>
      <c r="G328" s="4">
        <v>3.6336878E7</v>
      </c>
      <c r="H328" s="4" t="s">
        <v>906</v>
      </c>
      <c r="I328" s="4"/>
      <c r="J328" s="4" t="s">
        <v>1023</v>
      </c>
      <c r="K328" s="4" t="s">
        <v>3000</v>
      </c>
      <c r="L328" s="15" t="str">
        <f t="shared" si="1"/>
        <v>ok</v>
      </c>
    </row>
    <row r="329" ht="60.0" customHeight="1">
      <c r="A329" s="13" t="s">
        <v>1171</v>
      </c>
      <c r="B329" s="13">
        <v>7.0</v>
      </c>
      <c r="C329" s="13" t="s">
        <v>2529</v>
      </c>
      <c r="D329" s="13" t="s">
        <v>1173</v>
      </c>
      <c r="E329" s="13" t="s">
        <v>1174</v>
      </c>
      <c r="F329" s="13" t="s">
        <v>368</v>
      </c>
      <c r="G329" s="4">
        <v>3.6360264E7</v>
      </c>
      <c r="H329" s="4" t="s">
        <v>906</v>
      </c>
      <c r="I329" s="4"/>
      <c r="J329" s="4" t="s">
        <v>1023</v>
      </c>
      <c r="K329" s="4" t="s">
        <v>3001</v>
      </c>
      <c r="L329" s="15" t="str">
        <f t="shared" si="1"/>
        <v>ok</v>
      </c>
    </row>
    <row r="330" ht="60.0" customHeight="1">
      <c r="A330" s="13" t="s">
        <v>1998</v>
      </c>
      <c r="B330" s="13">
        <v>7.0</v>
      </c>
      <c r="C330" s="13" t="s">
        <v>2529</v>
      </c>
      <c r="D330" s="13" t="s">
        <v>2000</v>
      </c>
      <c r="E330" s="13" t="s">
        <v>2001</v>
      </c>
      <c r="F330" s="13" t="s">
        <v>97</v>
      </c>
      <c r="G330" s="4">
        <v>3.6401256E7</v>
      </c>
      <c r="H330" s="4" t="s">
        <v>906</v>
      </c>
      <c r="I330" s="4"/>
      <c r="J330" s="4" t="s">
        <v>1023</v>
      </c>
      <c r="K330" s="4" t="s">
        <v>3002</v>
      </c>
      <c r="L330" s="15" t="str">
        <f t="shared" si="1"/>
        <v>ok</v>
      </c>
    </row>
    <row r="331" ht="60.0" customHeight="1">
      <c r="A331" s="13" t="s">
        <v>220</v>
      </c>
      <c r="B331" s="13">
        <v>7.0</v>
      </c>
      <c r="C331" s="13" t="s">
        <v>2547</v>
      </c>
      <c r="D331" s="13" t="s">
        <v>222</v>
      </c>
      <c r="E331" s="13" t="s">
        <v>223</v>
      </c>
      <c r="F331" s="13" t="s">
        <v>97</v>
      </c>
      <c r="G331" s="4">
        <v>3.6402594E7</v>
      </c>
      <c r="H331" s="4" t="s">
        <v>906</v>
      </c>
      <c r="I331" s="4"/>
      <c r="J331" s="4" t="s">
        <v>2111</v>
      </c>
      <c r="K331" s="4" t="s">
        <v>3003</v>
      </c>
      <c r="L331" s="15" t="str">
        <f t="shared" si="1"/>
        <v>ok</v>
      </c>
    </row>
    <row r="332" ht="60.0" customHeight="1">
      <c r="A332" s="13" t="s">
        <v>294</v>
      </c>
      <c r="B332" s="13">
        <v>7.0</v>
      </c>
      <c r="C332" s="13" t="s">
        <v>2529</v>
      </c>
      <c r="D332" s="13" t="s">
        <v>296</v>
      </c>
      <c r="E332" s="13" t="s">
        <v>297</v>
      </c>
      <c r="F332" s="13" t="s">
        <v>126</v>
      </c>
      <c r="G332" s="4">
        <v>3.6403096E7</v>
      </c>
      <c r="H332" s="4" t="s">
        <v>98</v>
      </c>
      <c r="I332" s="4" t="s">
        <v>126</v>
      </c>
      <c r="J332" s="4"/>
      <c r="K332" s="4" t="s">
        <v>3004</v>
      </c>
      <c r="L332" s="15" t="str">
        <f t="shared" si="1"/>
        <v>ok</v>
      </c>
    </row>
    <row r="333" ht="60.0" customHeight="1">
      <c r="A333" s="13" t="s">
        <v>1644</v>
      </c>
      <c r="B333" s="13">
        <v>7.0</v>
      </c>
      <c r="C333" s="13" t="s">
        <v>2547</v>
      </c>
      <c r="D333" s="13" t="s">
        <v>1646</v>
      </c>
      <c r="E333" s="13" t="s">
        <v>1647</v>
      </c>
      <c r="F333" s="13" t="s">
        <v>368</v>
      </c>
      <c r="G333" s="4">
        <v>3.6582017E7</v>
      </c>
      <c r="H333" s="4" t="s">
        <v>906</v>
      </c>
      <c r="I333" s="4"/>
      <c r="J333" s="4" t="s">
        <v>1522</v>
      </c>
      <c r="K333" s="4" t="s">
        <v>3005</v>
      </c>
      <c r="L333" s="15" t="str">
        <f t="shared" si="1"/>
        <v>ok</v>
      </c>
    </row>
    <row r="334" ht="60.0" customHeight="1">
      <c r="A334" s="13" t="s">
        <v>300</v>
      </c>
      <c r="B334" s="13">
        <v>7.0</v>
      </c>
      <c r="C334" s="13" t="s">
        <v>2529</v>
      </c>
      <c r="D334" s="13" t="s">
        <v>302</v>
      </c>
      <c r="E334" s="13" t="s">
        <v>303</v>
      </c>
      <c r="F334" s="13" t="s">
        <v>97</v>
      </c>
      <c r="G334" s="4">
        <v>3.659071E7</v>
      </c>
      <c r="H334" s="4" t="s">
        <v>98</v>
      </c>
      <c r="I334" s="4" t="s">
        <v>97</v>
      </c>
      <c r="J334" s="4"/>
      <c r="K334" s="4" t="s">
        <v>3006</v>
      </c>
      <c r="L334" s="15" t="str">
        <f t="shared" si="1"/>
        <v>ok</v>
      </c>
    </row>
    <row r="335" ht="60.0" customHeight="1">
      <c r="A335" s="13" t="s">
        <v>224</v>
      </c>
      <c r="B335" s="13">
        <v>7.0</v>
      </c>
      <c r="C335" s="13" t="s">
        <v>2547</v>
      </c>
      <c r="D335" s="13" t="s">
        <v>226</v>
      </c>
      <c r="E335" s="13" t="s">
        <v>227</v>
      </c>
      <c r="F335" s="13" t="s">
        <v>97</v>
      </c>
      <c r="G335" s="4">
        <v>3.6776116E7</v>
      </c>
      <c r="H335" s="4" t="s">
        <v>98</v>
      </c>
      <c r="I335" s="4" t="s">
        <v>97</v>
      </c>
      <c r="J335" s="4"/>
      <c r="K335" s="4" t="s">
        <v>3007</v>
      </c>
      <c r="L335" s="15" t="str">
        <f t="shared" si="1"/>
        <v>ok</v>
      </c>
    </row>
    <row r="336" ht="60.0" customHeight="1">
      <c r="A336" s="13" t="s">
        <v>229</v>
      </c>
      <c r="B336" s="13">
        <v>7.0</v>
      </c>
      <c r="C336" s="13" t="s">
        <v>2547</v>
      </c>
      <c r="D336" s="13" t="s">
        <v>231</v>
      </c>
      <c r="E336" s="13" t="s">
        <v>232</v>
      </c>
      <c r="F336" s="13" t="s">
        <v>126</v>
      </c>
      <c r="G336" s="4">
        <v>3.6863687E7</v>
      </c>
      <c r="H336" s="4" t="s">
        <v>98</v>
      </c>
      <c r="I336" s="4" t="s">
        <v>126</v>
      </c>
      <c r="J336" s="4"/>
      <c r="K336" s="4" t="s">
        <v>3008</v>
      </c>
      <c r="L336" s="15" t="str">
        <f t="shared" si="1"/>
        <v>ok</v>
      </c>
    </row>
    <row r="337" ht="60.0" customHeight="1">
      <c r="A337" s="13" t="s">
        <v>234</v>
      </c>
      <c r="B337" s="13">
        <v>7.0</v>
      </c>
      <c r="C337" s="13" t="s">
        <v>2547</v>
      </c>
      <c r="D337" s="13" t="s">
        <v>236</v>
      </c>
      <c r="E337" s="13" t="s">
        <v>237</v>
      </c>
      <c r="F337" s="13" t="s">
        <v>126</v>
      </c>
      <c r="G337" s="4">
        <v>3.6882305E7</v>
      </c>
      <c r="H337" s="4" t="s">
        <v>98</v>
      </c>
      <c r="I337" s="4" t="s">
        <v>97</v>
      </c>
      <c r="J337" s="4"/>
      <c r="K337" s="4" t="s">
        <v>3009</v>
      </c>
      <c r="L337" s="15" t="str">
        <f t="shared" si="1"/>
        <v>ok</v>
      </c>
    </row>
    <row r="338" ht="60.0" customHeight="1">
      <c r="A338" s="13" t="s">
        <v>1102</v>
      </c>
      <c r="B338" s="13">
        <v>7.0</v>
      </c>
      <c r="C338" s="13" t="s">
        <v>2547</v>
      </c>
      <c r="D338" s="13" t="s">
        <v>1104</v>
      </c>
      <c r="E338" s="13" t="s">
        <v>1105</v>
      </c>
      <c r="F338" s="13" t="s">
        <v>368</v>
      </c>
      <c r="G338" s="4">
        <v>3.6939534E7</v>
      </c>
      <c r="H338" s="4" t="s">
        <v>906</v>
      </c>
      <c r="I338" s="4"/>
      <c r="J338" s="4" t="s">
        <v>1023</v>
      </c>
      <c r="K338" s="4" t="s">
        <v>3010</v>
      </c>
      <c r="L338" s="15" t="str">
        <f t="shared" si="1"/>
        <v>ok</v>
      </c>
    </row>
    <row r="339" ht="60.0" customHeight="1">
      <c r="A339" s="13" t="s">
        <v>1648</v>
      </c>
      <c r="B339" s="13">
        <v>7.0</v>
      </c>
      <c r="C339" s="13" t="s">
        <v>2547</v>
      </c>
      <c r="D339" s="13" t="s">
        <v>1650</v>
      </c>
      <c r="E339" s="13" t="s">
        <v>1651</v>
      </c>
      <c r="F339" s="13" t="s">
        <v>368</v>
      </c>
      <c r="G339" s="4">
        <v>3.7052892E7</v>
      </c>
      <c r="H339" s="4" t="s">
        <v>906</v>
      </c>
      <c r="I339" s="4"/>
      <c r="J339" s="4" t="s">
        <v>1522</v>
      </c>
      <c r="K339" s="4" t="s">
        <v>3011</v>
      </c>
      <c r="L339" s="15" t="str">
        <f t="shared" si="1"/>
        <v>ok</v>
      </c>
    </row>
    <row r="340" ht="60.0" customHeight="1">
      <c r="A340" s="13" t="s">
        <v>239</v>
      </c>
      <c r="B340" s="13">
        <v>7.0</v>
      </c>
      <c r="C340" s="13" t="s">
        <v>2547</v>
      </c>
      <c r="D340" s="13" t="s">
        <v>241</v>
      </c>
      <c r="E340" s="13" t="s">
        <v>242</v>
      </c>
      <c r="F340" s="13" t="s">
        <v>97</v>
      </c>
      <c r="G340" s="4">
        <v>3.7070966E7</v>
      </c>
      <c r="H340" s="4" t="s">
        <v>906</v>
      </c>
      <c r="I340" s="4" t="s">
        <v>1953</v>
      </c>
      <c r="J340" s="4"/>
      <c r="K340" s="4" t="s">
        <v>3012</v>
      </c>
      <c r="L340" s="15" t="str">
        <f t="shared" si="1"/>
        <v>ok</v>
      </c>
    </row>
    <row r="341" ht="60.0" customHeight="1">
      <c r="A341" s="13" t="s">
        <v>1988</v>
      </c>
      <c r="B341" s="13">
        <v>7.0</v>
      </c>
      <c r="C341" s="13" t="s">
        <v>2547</v>
      </c>
      <c r="D341" s="13" t="s">
        <v>1990</v>
      </c>
      <c r="E341" s="13" t="s">
        <v>1991</v>
      </c>
      <c r="F341" s="13" t="s">
        <v>97</v>
      </c>
      <c r="G341" s="4">
        <v>3.7158261E7</v>
      </c>
      <c r="H341" s="4" t="s">
        <v>906</v>
      </c>
      <c r="I341" s="4"/>
      <c r="J341" s="4" t="s">
        <v>2111</v>
      </c>
      <c r="K341" s="4" t="s">
        <v>3013</v>
      </c>
      <c r="L341" s="15" t="str">
        <f t="shared" si="1"/>
        <v>ok</v>
      </c>
    </row>
    <row r="342" ht="60.0" customHeight="1">
      <c r="A342" s="13" t="s">
        <v>244</v>
      </c>
      <c r="B342" s="13">
        <v>7.0</v>
      </c>
      <c r="C342" s="13" t="s">
        <v>2547</v>
      </c>
      <c r="D342" s="13" t="s">
        <v>246</v>
      </c>
      <c r="E342" s="13" t="s">
        <v>247</v>
      </c>
      <c r="F342" s="13" t="s">
        <v>97</v>
      </c>
      <c r="G342" s="4">
        <v>3.7210512E7</v>
      </c>
      <c r="H342" s="4" t="s">
        <v>98</v>
      </c>
      <c r="I342" s="4" t="s">
        <v>97</v>
      </c>
      <c r="J342" s="4"/>
      <c r="K342" s="4" t="s">
        <v>3014</v>
      </c>
      <c r="L342" s="15" t="str">
        <f t="shared" si="1"/>
        <v>ok</v>
      </c>
    </row>
    <row r="343" ht="60.0" customHeight="1">
      <c r="A343" s="13" t="s">
        <v>1107</v>
      </c>
      <c r="B343" s="13">
        <v>7.0</v>
      </c>
      <c r="C343" s="13" t="s">
        <v>2547</v>
      </c>
      <c r="D343" s="13" t="s">
        <v>1109</v>
      </c>
      <c r="E343" s="13" t="s">
        <v>1110</v>
      </c>
      <c r="F343" s="13" t="s">
        <v>368</v>
      </c>
      <c r="G343" s="4">
        <v>3.7226326E7</v>
      </c>
      <c r="H343" s="4" t="s">
        <v>906</v>
      </c>
      <c r="I343" s="4"/>
      <c r="J343" s="4" t="s">
        <v>1023</v>
      </c>
      <c r="K343" s="4" t="s">
        <v>3015</v>
      </c>
      <c r="L343" s="15" t="str">
        <f t="shared" si="1"/>
        <v>ok</v>
      </c>
    </row>
    <row r="344" ht="60.0" customHeight="1">
      <c r="A344" s="13" t="s">
        <v>1653</v>
      </c>
      <c r="B344" s="13">
        <v>7.0</v>
      </c>
      <c r="C344" s="13" t="s">
        <v>2547</v>
      </c>
      <c r="D344" s="13" t="s">
        <v>1655</v>
      </c>
      <c r="E344" s="13" t="s">
        <v>1656</v>
      </c>
      <c r="F344" s="13" t="s">
        <v>368</v>
      </c>
      <c r="G344" s="4">
        <v>3.7287743E7</v>
      </c>
      <c r="H344" s="4" t="s">
        <v>906</v>
      </c>
      <c r="I344" s="4"/>
      <c r="J344" s="4" t="s">
        <v>1023</v>
      </c>
      <c r="K344" s="4" t="s">
        <v>3016</v>
      </c>
      <c r="L344" s="15" t="str">
        <f t="shared" si="1"/>
        <v>ok</v>
      </c>
    </row>
    <row r="345" ht="60.0" customHeight="1">
      <c r="A345" s="13" t="s">
        <v>1994</v>
      </c>
      <c r="B345" s="13">
        <v>7.0</v>
      </c>
      <c r="C345" s="13" t="s">
        <v>2547</v>
      </c>
      <c r="D345" s="13" t="s">
        <v>1996</v>
      </c>
      <c r="E345" s="13" t="s">
        <v>1997</v>
      </c>
      <c r="F345" s="13" t="s">
        <v>97</v>
      </c>
      <c r="G345" s="4">
        <v>3.7303261E7</v>
      </c>
      <c r="H345" s="4" t="s">
        <v>98</v>
      </c>
      <c r="I345" s="4" t="s">
        <v>97</v>
      </c>
      <c r="J345" s="4"/>
      <c r="K345" s="4" t="s">
        <v>3017</v>
      </c>
      <c r="L345" s="15" t="str">
        <f t="shared" si="1"/>
        <v>ok</v>
      </c>
    </row>
    <row r="346" ht="60.0" customHeight="1">
      <c r="A346" s="13" t="s">
        <v>1608</v>
      </c>
      <c r="B346" s="13">
        <v>7.0</v>
      </c>
      <c r="C346" s="13" t="s">
        <v>2469</v>
      </c>
      <c r="D346" s="13" t="s">
        <v>1610</v>
      </c>
      <c r="E346" s="13" t="s">
        <v>1611</v>
      </c>
      <c r="F346" s="13" t="s">
        <v>126</v>
      </c>
      <c r="G346" s="4">
        <v>3.7326856E7</v>
      </c>
      <c r="H346" s="4" t="s">
        <v>906</v>
      </c>
      <c r="I346" s="4" t="s">
        <v>1522</v>
      </c>
      <c r="J346" s="4"/>
      <c r="K346" s="4" t="s">
        <v>3018</v>
      </c>
      <c r="L346" s="15" t="str">
        <f t="shared" si="1"/>
        <v>ok</v>
      </c>
    </row>
    <row r="347" ht="60.0" customHeight="1">
      <c r="A347" s="13" t="s">
        <v>1657</v>
      </c>
      <c r="B347" s="13">
        <v>7.0</v>
      </c>
      <c r="C347" s="13" t="s">
        <v>2547</v>
      </c>
      <c r="D347" s="13" t="s">
        <v>1659</v>
      </c>
      <c r="E347" s="13" t="s">
        <v>1660</v>
      </c>
      <c r="F347" s="13" t="s">
        <v>97</v>
      </c>
      <c r="G347" s="4">
        <v>3.7418285E7</v>
      </c>
      <c r="H347" s="4" t="s">
        <v>906</v>
      </c>
      <c r="I347" s="4"/>
      <c r="J347" s="4" t="s">
        <v>1522</v>
      </c>
      <c r="K347" s="4" t="s">
        <v>3019</v>
      </c>
      <c r="L347" s="15" t="str">
        <f t="shared" si="1"/>
        <v>ok</v>
      </c>
    </row>
    <row r="348" ht="60.0" customHeight="1">
      <c r="A348" s="13" t="s">
        <v>1112</v>
      </c>
      <c r="B348" s="13">
        <v>7.0</v>
      </c>
      <c r="C348" s="13" t="s">
        <v>2547</v>
      </c>
      <c r="D348" s="13" t="s">
        <v>1114</v>
      </c>
      <c r="E348" s="13" t="s">
        <v>1115</v>
      </c>
      <c r="F348" s="13" t="s">
        <v>97</v>
      </c>
      <c r="G348" s="4">
        <v>3.747166E7</v>
      </c>
      <c r="H348" s="4" t="s">
        <v>906</v>
      </c>
      <c r="I348" s="4"/>
      <c r="J348" s="4" t="s">
        <v>1023</v>
      </c>
      <c r="K348" s="4" t="s">
        <v>3020</v>
      </c>
      <c r="L348" s="15" t="str">
        <f t="shared" si="1"/>
        <v>ok</v>
      </c>
    </row>
    <row r="349" ht="60.0" customHeight="1">
      <c r="A349" s="13" t="s">
        <v>1612</v>
      </c>
      <c r="B349" s="13">
        <v>7.0</v>
      </c>
      <c r="C349" s="13" t="s">
        <v>2469</v>
      </c>
      <c r="D349" s="13" t="s">
        <v>1614</v>
      </c>
      <c r="E349" s="13" t="s">
        <v>1615</v>
      </c>
      <c r="F349" s="13" t="s">
        <v>368</v>
      </c>
      <c r="G349" s="4">
        <v>3.7487855E7</v>
      </c>
      <c r="H349" s="4" t="s">
        <v>906</v>
      </c>
      <c r="I349" s="4"/>
      <c r="J349" s="4" t="s">
        <v>1023</v>
      </c>
      <c r="K349" s="4" t="s">
        <v>3021</v>
      </c>
      <c r="L349" s="15" t="str">
        <f t="shared" si="1"/>
        <v>ok</v>
      </c>
    </row>
    <row r="350" ht="60.0" customHeight="1">
      <c r="A350" s="13" t="s">
        <v>737</v>
      </c>
      <c r="B350" s="13">
        <v>7.0</v>
      </c>
      <c r="C350" s="13" t="s">
        <v>2547</v>
      </c>
      <c r="D350" s="13" t="s">
        <v>738</v>
      </c>
      <c r="E350" s="13" t="s">
        <v>739</v>
      </c>
      <c r="F350" s="13" t="s">
        <v>97</v>
      </c>
      <c r="G350" s="4">
        <v>3.755116E7</v>
      </c>
      <c r="H350" s="4" t="s">
        <v>694</v>
      </c>
      <c r="I350" s="4"/>
      <c r="J350" s="4"/>
      <c r="K350" s="4" t="s">
        <v>3022</v>
      </c>
      <c r="L350" s="15" t="str">
        <f t="shared" si="1"/>
        <v>ok</v>
      </c>
    </row>
    <row r="351" ht="60.0" customHeight="1">
      <c r="A351" s="13" t="s">
        <v>1117</v>
      </c>
      <c r="B351" s="13">
        <v>7.0</v>
      </c>
      <c r="C351" s="13" t="s">
        <v>2547</v>
      </c>
      <c r="D351" s="13" t="s">
        <v>1119</v>
      </c>
      <c r="E351" s="13" t="s">
        <v>1120</v>
      </c>
      <c r="F351" s="13" t="s">
        <v>368</v>
      </c>
      <c r="G351" s="4">
        <v>3.760612E7</v>
      </c>
      <c r="H351" s="4" t="s">
        <v>98</v>
      </c>
      <c r="I351" s="4" t="s">
        <v>368</v>
      </c>
      <c r="J351" s="4"/>
      <c r="K351" s="4" t="s">
        <v>3023</v>
      </c>
      <c r="L351" s="15" t="str">
        <f t="shared" si="1"/>
        <v>ok</v>
      </c>
    </row>
    <row r="352" ht="60.0" customHeight="1">
      <c r="A352" s="13" t="s">
        <v>720</v>
      </c>
      <c r="B352" s="13">
        <v>7.0</v>
      </c>
      <c r="C352" s="13" t="s">
        <v>2469</v>
      </c>
      <c r="D352" s="13" t="s">
        <v>722</v>
      </c>
      <c r="E352" s="13" t="s">
        <v>723</v>
      </c>
      <c r="F352" s="13" t="s">
        <v>97</v>
      </c>
      <c r="G352" s="4">
        <v>3.7619598E7</v>
      </c>
      <c r="H352" s="4" t="s">
        <v>694</v>
      </c>
      <c r="I352" s="4"/>
      <c r="J352" s="4"/>
      <c r="K352" s="4" t="s">
        <v>3024</v>
      </c>
      <c r="L352" s="15" t="str">
        <f t="shared" si="1"/>
        <v>ok</v>
      </c>
    </row>
    <row r="353" ht="60.0" customHeight="1">
      <c r="A353" s="13" t="s">
        <v>1122</v>
      </c>
      <c r="B353" s="13">
        <v>7.0</v>
      </c>
      <c r="C353" s="13" t="s">
        <v>2547</v>
      </c>
      <c r="D353" s="13" t="s">
        <v>1123</v>
      </c>
      <c r="E353" s="13" t="s">
        <v>1124</v>
      </c>
      <c r="F353" s="13" t="s">
        <v>368</v>
      </c>
      <c r="G353" s="4">
        <v>3.7689607E7</v>
      </c>
      <c r="H353" s="4" t="s">
        <v>906</v>
      </c>
      <c r="I353" s="4"/>
      <c r="J353" s="4" t="s">
        <v>1023</v>
      </c>
      <c r="K353" s="4" t="s">
        <v>3025</v>
      </c>
      <c r="L353" s="15" t="str">
        <f t="shared" si="1"/>
        <v>ok</v>
      </c>
    </row>
    <row r="354" ht="60.0" customHeight="1">
      <c r="A354" s="13" t="s">
        <v>249</v>
      </c>
      <c r="B354" s="13">
        <v>7.0</v>
      </c>
      <c r="C354" s="13" t="s">
        <v>2547</v>
      </c>
      <c r="D354" s="13" t="s">
        <v>251</v>
      </c>
      <c r="E354" s="13" t="s">
        <v>252</v>
      </c>
      <c r="F354" s="13" t="s">
        <v>97</v>
      </c>
      <c r="G354" s="4">
        <v>3.7698299E7</v>
      </c>
      <c r="H354" s="4" t="s">
        <v>98</v>
      </c>
      <c r="I354" s="4" t="s">
        <v>97</v>
      </c>
      <c r="J354" s="4"/>
      <c r="K354" s="4" t="s">
        <v>3026</v>
      </c>
      <c r="L354" s="15" t="str">
        <f t="shared" si="1"/>
        <v>ok</v>
      </c>
    </row>
    <row r="355" ht="60.0" customHeight="1">
      <c r="A355" s="13" t="s">
        <v>1661</v>
      </c>
      <c r="B355" s="13">
        <v>7.0</v>
      </c>
      <c r="C355" s="13" t="s">
        <v>2547</v>
      </c>
      <c r="D355" s="13" t="s">
        <v>1663</v>
      </c>
      <c r="E355" s="13" t="s">
        <v>1664</v>
      </c>
      <c r="F355" s="13" t="s">
        <v>126</v>
      </c>
      <c r="G355" s="4">
        <v>3.7726736E7</v>
      </c>
      <c r="H355" s="4" t="s">
        <v>906</v>
      </c>
      <c r="I355" s="4"/>
      <c r="J355" s="4" t="s">
        <v>1522</v>
      </c>
      <c r="K355" s="4" t="s">
        <v>3027</v>
      </c>
      <c r="L355" s="15" t="str">
        <f t="shared" si="1"/>
        <v>ok</v>
      </c>
    </row>
    <row r="356" ht="60.0" customHeight="1">
      <c r="A356" s="13" t="s">
        <v>1923</v>
      </c>
      <c r="B356" s="13">
        <v>7.0</v>
      </c>
      <c r="C356" s="13" t="s">
        <v>2481</v>
      </c>
      <c r="D356" s="13" t="s">
        <v>1925</v>
      </c>
      <c r="E356" s="13" t="s">
        <v>1926</v>
      </c>
      <c r="F356" s="13" t="s">
        <v>97</v>
      </c>
      <c r="G356" s="4">
        <v>3.7727523E7</v>
      </c>
      <c r="H356" s="4" t="s">
        <v>694</v>
      </c>
      <c r="I356" s="4"/>
      <c r="J356" s="4"/>
      <c r="K356" s="4" t="s">
        <v>3028</v>
      </c>
      <c r="L356" s="15" t="str">
        <f t="shared" si="1"/>
        <v>ok</v>
      </c>
    </row>
    <row r="357" ht="60.0" customHeight="1">
      <c r="A357" s="13" t="s">
        <v>1126</v>
      </c>
      <c r="B357" s="13">
        <v>8.0</v>
      </c>
      <c r="C357" s="13" t="s">
        <v>2547</v>
      </c>
      <c r="D357" s="13" t="s">
        <v>1128</v>
      </c>
      <c r="E357" s="13" t="s">
        <v>1129</v>
      </c>
      <c r="F357" s="13" t="s">
        <v>368</v>
      </c>
      <c r="G357" s="4">
        <v>3.7806662E7</v>
      </c>
      <c r="H357" s="4" t="s">
        <v>906</v>
      </c>
      <c r="I357" s="4"/>
      <c r="J357" s="4" t="s">
        <v>1023</v>
      </c>
      <c r="K357" s="4" t="s">
        <v>3029</v>
      </c>
      <c r="L357" s="15" t="str">
        <f t="shared" si="1"/>
        <v>ok</v>
      </c>
    </row>
    <row r="358" ht="60.0" customHeight="1">
      <c r="A358" s="13" t="s">
        <v>253</v>
      </c>
      <c r="B358" s="13">
        <v>8.0</v>
      </c>
      <c r="C358" s="13" t="s">
        <v>2547</v>
      </c>
      <c r="D358" s="13" t="s">
        <v>255</v>
      </c>
      <c r="E358" s="13" t="s">
        <v>256</v>
      </c>
      <c r="F358" s="13" t="s">
        <v>97</v>
      </c>
      <c r="G358" s="4">
        <v>3.7821084E7</v>
      </c>
      <c r="H358" s="4" t="s">
        <v>906</v>
      </c>
      <c r="I358" s="4"/>
      <c r="J358" s="4" t="s">
        <v>2144</v>
      </c>
      <c r="K358" s="4" t="s">
        <v>3030</v>
      </c>
      <c r="L358" s="15" t="str">
        <f t="shared" si="1"/>
        <v>ok</v>
      </c>
    </row>
    <row r="359" ht="60.0" customHeight="1">
      <c r="A359" s="13" t="s">
        <v>190</v>
      </c>
      <c r="B359" s="13">
        <v>8.0</v>
      </c>
      <c r="C359" s="13" t="s">
        <v>2469</v>
      </c>
      <c r="D359" s="13" t="s">
        <v>192</v>
      </c>
      <c r="E359" s="13" t="s">
        <v>193</v>
      </c>
      <c r="F359" s="13" t="s">
        <v>126</v>
      </c>
      <c r="G359" s="4">
        <v>3.7822198E7</v>
      </c>
      <c r="H359" s="4" t="s">
        <v>98</v>
      </c>
      <c r="I359" s="4" t="s">
        <v>97</v>
      </c>
      <c r="J359" s="4"/>
      <c r="K359" s="4" t="s">
        <v>3031</v>
      </c>
      <c r="L359" s="15" t="str">
        <f t="shared" si="1"/>
        <v>ok</v>
      </c>
    </row>
    <row r="360" ht="60.0" customHeight="1">
      <c r="A360" s="13" t="s">
        <v>2091</v>
      </c>
      <c r="B360" s="13">
        <v>8.0</v>
      </c>
      <c r="C360" s="13" t="s">
        <v>2547</v>
      </c>
      <c r="D360" s="13" t="s">
        <v>2093</v>
      </c>
      <c r="E360" s="13" t="s">
        <v>2094</v>
      </c>
      <c r="F360" s="13" t="s">
        <v>97</v>
      </c>
      <c r="G360" s="4">
        <v>3.7831225E7</v>
      </c>
      <c r="H360" s="4" t="s">
        <v>906</v>
      </c>
      <c r="I360" s="4"/>
      <c r="J360" s="4" t="s">
        <v>2083</v>
      </c>
      <c r="K360" s="4" t="s">
        <v>3032</v>
      </c>
      <c r="L360" s="15" t="str">
        <f t="shared" si="1"/>
        <v>ok</v>
      </c>
    </row>
    <row r="361" ht="60.0" customHeight="1">
      <c r="A361" s="13" t="s">
        <v>1970</v>
      </c>
      <c r="B361" s="13">
        <v>8.0</v>
      </c>
      <c r="C361" s="13" t="s">
        <v>2469</v>
      </c>
      <c r="D361" s="13" t="s">
        <v>1972</v>
      </c>
      <c r="E361" s="13" t="s">
        <v>1973</v>
      </c>
      <c r="F361" s="13" t="s">
        <v>97</v>
      </c>
      <c r="G361" s="4">
        <v>3.7937891E7</v>
      </c>
      <c r="H361" s="4" t="s">
        <v>906</v>
      </c>
      <c r="I361" s="4"/>
      <c r="J361" s="4" t="s">
        <v>1953</v>
      </c>
      <c r="K361" s="4" t="s">
        <v>3033</v>
      </c>
      <c r="L361" s="15" t="str">
        <f t="shared" si="1"/>
        <v>ok</v>
      </c>
    </row>
    <row r="362" ht="60.0" customHeight="1">
      <c r="A362" s="13" t="s">
        <v>2140</v>
      </c>
      <c r="B362" s="13">
        <v>8.0</v>
      </c>
      <c r="C362" s="13" t="s">
        <v>2469</v>
      </c>
      <c r="D362" s="13" t="s">
        <v>2142</v>
      </c>
      <c r="E362" s="13" t="s">
        <v>2143</v>
      </c>
      <c r="F362" s="13" t="s">
        <v>368</v>
      </c>
      <c r="G362" s="4">
        <v>3.7986093E7</v>
      </c>
      <c r="H362" s="4" t="s">
        <v>906</v>
      </c>
      <c r="I362" s="4"/>
      <c r="J362" s="4" t="s">
        <v>1023</v>
      </c>
      <c r="K362" s="4" t="s">
        <v>3034</v>
      </c>
      <c r="L362" s="15" t="str">
        <f t="shared" si="1"/>
        <v>ok</v>
      </c>
    </row>
    <row r="363" ht="60.0" customHeight="1">
      <c r="A363" s="13" t="s">
        <v>1130</v>
      </c>
      <c r="B363" s="13">
        <v>8.0</v>
      </c>
      <c r="C363" s="13" t="s">
        <v>2547</v>
      </c>
      <c r="D363" s="13" t="s">
        <v>1132</v>
      </c>
      <c r="E363" s="13" t="s">
        <v>1133</v>
      </c>
      <c r="F363" s="13" t="s">
        <v>368</v>
      </c>
      <c r="G363" s="4">
        <v>3.8008506E7</v>
      </c>
      <c r="H363" s="4" t="s">
        <v>906</v>
      </c>
      <c r="I363" s="4"/>
      <c r="J363" s="4" t="s">
        <v>2111</v>
      </c>
      <c r="K363" s="4" t="s">
        <v>3035</v>
      </c>
      <c r="L363" s="15" t="str">
        <f t="shared" si="1"/>
        <v>ok</v>
      </c>
    </row>
    <row r="364" ht="60.0" customHeight="1">
      <c r="A364" s="13" t="s">
        <v>1975</v>
      </c>
      <c r="B364" s="13">
        <v>8.0</v>
      </c>
      <c r="C364" s="13" t="s">
        <v>2469</v>
      </c>
      <c r="D364" s="13" t="s">
        <v>1977</v>
      </c>
      <c r="E364" s="13" t="s">
        <v>1978</v>
      </c>
      <c r="F364" s="13" t="s">
        <v>97</v>
      </c>
      <c r="G364" s="4">
        <v>3.8038141E7</v>
      </c>
      <c r="H364" s="4" t="s">
        <v>906</v>
      </c>
      <c r="I364" s="4"/>
      <c r="J364" s="4" t="s">
        <v>1953</v>
      </c>
      <c r="K364" s="4" t="s">
        <v>3036</v>
      </c>
      <c r="L364" s="15" t="str">
        <f t="shared" si="1"/>
        <v>ok</v>
      </c>
    </row>
    <row r="365" ht="60.0" customHeight="1">
      <c r="A365" s="13" t="s">
        <v>258</v>
      </c>
      <c r="B365" s="13">
        <v>8.0</v>
      </c>
      <c r="C365" s="13" t="s">
        <v>2547</v>
      </c>
      <c r="D365" s="13" t="s">
        <v>259</v>
      </c>
      <c r="E365" s="13" t="s">
        <v>260</v>
      </c>
      <c r="F365" s="13" t="s">
        <v>97</v>
      </c>
      <c r="G365" s="4">
        <v>3.8047023E7</v>
      </c>
      <c r="H365" s="4" t="s">
        <v>98</v>
      </c>
      <c r="I365" s="4" t="s">
        <v>97</v>
      </c>
      <c r="J365" s="4"/>
      <c r="K365" s="4" t="s">
        <v>3037</v>
      </c>
      <c r="L365" s="15" t="str">
        <f t="shared" si="1"/>
        <v>ok</v>
      </c>
    </row>
    <row r="366" ht="60.0" customHeight="1">
      <c r="A366" s="13" t="s">
        <v>1980</v>
      </c>
      <c r="B366" s="13">
        <v>8.0</v>
      </c>
      <c r="C366" s="13" t="s">
        <v>2469</v>
      </c>
      <c r="D366" s="13" t="s">
        <v>1982</v>
      </c>
      <c r="E366" s="13" t="s">
        <v>1983</v>
      </c>
      <c r="F366" s="13" t="s">
        <v>97</v>
      </c>
      <c r="G366" s="4">
        <v>3.8062644E7</v>
      </c>
      <c r="H366" s="4" t="s">
        <v>906</v>
      </c>
      <c r="I366" s="4"/>
      <c r="J366" s="4" t="s">
        <v>1953</v>
      </c>
      <c r="K366" s="4" t="s">
        <v>3038</v>
      </c>
      <c r="L366" s="15" t="str">
        <f t="shared" si="1"/>
        <v>ok</v>
      </c>
    </row>
    <row r="367" ht="60.0" customHeight="1">
      <c r="A367" s="13" t="s">
        <v>195</v>
      </c>
      <c r="B367" s="13">
        <v>8.0</v>
      </c>
      <c r="C367" s="13" t="s">
        <v>2469</v>
      </c>
      <c r="D367" s="13" t="s">
        <v>197</v>
      </c>
      <c r="E367" s="13" t="s">
        <v>198</v>
      </c>
      <c r="F367" s="13" t="s">
        <v>97</v>
      </c>
      <c r="G367" s="4">
        <v>3.807152E7</v>
      </c>
      <c r="H367" s="4" t="s">
        <v>98</v>
      </c>
      <c r="I367" s="4" t="s">
        <v>97</v>
      </c>
      <c r="J367" s="4"/>
      <c r="K367" s="4" t="s">
        <v>3039</v>
      </c>
      <c r="L367" s="15" t="str">
        <f t="shared" si="1"/>
        <v>ok</v>
      </c>
    </row>
    <row r="368" ht="60.0" customHeight="1">
      <c r="A368" s="13" t="s">
        <v>261</v>
      </c>
      <c r="B368" s="13">
        <v>8.0</v>
      </c>
      <c r="C368" s="13" t="s">
        <v>2547</v>
      </c>
      <c r="D368" s="13" t="s">
        <v>263</v>
      </c>
      <c r="E368" s="13" t="s">
        <v>264</v>
      </c>
      <c r="F368" s="13" t="s">
        <v>97</v>
      </c>
      <c r="G368" s="4">
        <v>3.8075989E7</v>
      </c>
      <c r="H368" s="4" t="s">
        <v>98</v>
      </c>
      <c r="I368" s="4" t="s">
        <v>97</v>
      </c>
      <c r="J368" s="4"/>
      <c r="K368" s="4" t="s">
        <v>3040</v>
      </c>
      <c r="L368" s="15" t="str">
        <f t="shared" si="1"/>
        <v>ok</v>
      </c>
    </row>
    <row r="369" ht="60.0" customHeight="1">
      <c r="A369" s="13" t="s">
        <v>266</v>
      </c>
      <c r="B369" s="13">
        <v>8.0</v>
      </c>
      <c r="C369" s="13" t="s">
        <v>2547</v>
      </c>
      <c r="D369" s="13" t="s">
        <v>268</v>
      </c>
      <c r="E369" s="13" t="s">
        <v>269</v>
      </c>
      <c r="F369" s="13" t="s">
        <v>97</v>
      </c>
      <c r="G369" s="4">
        <v>3.808868E7</v>
      </c>
      <c r="H369" s="4" t="s">
        <v>98</v>
      </c>
      <c r="I369" s="4" t="s">
        <v>97</v>
      </c>
      <c r="J369" s="4"/>
      <c r="K369" s="4" t="s">
        <v>3041</v>
      </c>
      <c r="L369" s="15" t="str">
        <f t="shared" si="1"/>
        <v>ok</v>
      </c>
    </row>
    <row r="370" ht="60.0" customHeight="1">
      <c r="A370" s="13" t="s">
        <v>1074</v>
      </c>
      <c r="B370" s="13">
        <v>8.0</v>
      </c>
      <c r="C370" s="13" t="s">
        <v>2469</v>
      </c>
      <c r="D370" s="13" t="s">
        <v>1076</v>
      </c>
      <c r="E370" s="13" t="s">
        <v>1077</v>
      </c>
      <c r="F370" s="13" t="s">
        <v>368</v>
      </c>
      <c r="G370" s="4">
        <v>3.8112514E7</v>
      </c>
      <c r="H370" s="4" t="s">
        <v>906</v>
      </c>
      <c r="I370" s="4"/>
      <c r="J370" s="4" t="s">
        <v>1023</v>
      </c>
      <c r="K370" s="4" t="s">
        <v>3042</v>
      </c>
      <c r="L370" s="15" t="str">
        <f t="shared" si="1"/>
        <v>ok</v>
      </c>
    </row>
    <row r="371" ht="60.0" customHeight="1">
      <c r="A371" s="13" t="s">
        <v>725</v>
      </c>
      <c r="B371" s="13">
        <v>8.0</v>
      </c>
      <c r="C371" s="13" t="s">
        <v>2469</v>
      </c>
      <c r="D371" s="13" t="s">
        <v>727</v>
      </c>
      <c r="E371" s="13" t="s">
        <v>728</v>
      </c>
      <c r="F371" s="13" t="s">
        <v>97</v>
      </c>
      <c r="G371" s="4">
        <v>3.8284966E7</v>
      </c>
      <c r="H371" s="4" t="s">
        <v>694</v>
      </c>
      <c r="I371" s="4"/>
      <c r="J371" s="4"/>
      <c r="K371" s="4" t="s">
        <v>3043</v>
      </c>
      <c r="L371" s="15" t="str">
        <f t="shared" si="1"/>
        <v>ok</v>
      </c>
    </row>
    <row r="372" ht="60.0" customHeight="1">
      <c r="A372" s="13" t="s">
        <v>1665</v>
      </c>
      <c r="B372" s="13">
        <v>8.0</v>
      </c>
      <c r="C372" s="13" t="s">
        <v>2547</v>
      </c>
      <c r="D372" s="13" t="s">
        <v>1667</v>
      </c>
      <c r="E372" s="13" t="s">
        <v>1668</v>
      </c>
      <c r="F372" s="13" t="s">
        <v>368</v>
      </c>
      <c r="G372" s="4">
        <v>3.8296637E7</v>
      </c>
      <c r="H372" s="4" t="s">
        <v>906</v>
      </c>
      <c r="I372" s="4"/>
      <c r="J372" s="4" t="s">
        <v>1522</v>
      </c>
      <c r="K372" s="4" t="s">
        <v>3044</v>
      </c>
      <c r="L372" s="15" t="str">
        <f t="shared" si="1"/>
        <v>ok</v>
      </c>
    </row>
    <row r="373" ht="60.0" customHeight="1">
      <c r="A373" s="13" t="s">
        <v>200</v>
      </c>
      <c r="B373" s="13">
        <v>8.0</v>
      </c>
      <c r="C373" s="13" t="s">
        <v>2469</v>
      </c>
      <c r="D373" s="13" t="s">
        <v>202</v>
      </c>
      <c r="E373" s="13" t="s">
        <v>203</v>
      </c>
      <c r="F373" s="13" t="s">
        <v>97</v>
      </c>
      <c r="G373" s="4">
        <v>3.8340889E7</v>
      </c>
      <c r="H373" s="4" t="s">
        <v>98</v>
      </c>
      <c r="I373" s="4" t="s">
        <v>97</v>
      </c>
      <c r="J373" s="4"/>
      <c r="K373" s="4" t="s">
        <v>3045</v>
      </c>
      <c r="L373" s="15" t="str">
        <f t="shared" si="1"/>
        <v>ok</v>
      </c>
    </row>
    <row r="374" ht="60.0" customHeight="1">
      <c r="A374" s="13" t="s">
        <v>909</v>
      </c>
      <c r="B374" s="13">
        <v>8.0</v>
      </c>
      <c r="C374" s="13" t="s">
        <v>2469</v>
      </c>
      <c r="D374" s="13" t="s">
        <v>911</v>
      </c>
      <c r="E374" s="13" t="s">
        <v>912</v>
      </c>
      <c r="F374" s="13" t="s">
        <v>97</v>
      </c>
      <c r="G374" s="4">
        <v>3.8418651E7</v>
      </c>
      <c r="H374" s="4" t="s">
        <v>906</v>
      </c>
      <c r="I374" s="4"/>
      <c r="J374" s="4" t="s">
        <v>907</v>
      </c>
      <c r="K374" s="4" t="s">
        <v>3046</v>
      </c>
      <c r="L374" s="15" t="str">
        <f t="shared" si="1"/>
        <v>ok</v>
      </c>
    </row>
    <row r="375" ht="60.0" customHeight="1">
      <c r="A375" s="13" t="s">
        <v>1617</v>
      </c>
      <c r="B375" s="13">
        <v>8.0</v>
      </c>
      <c r="C375" s="13" t="s">
        <v>2469</v>
      </c>
      <c r="D375" s="13" t="s">
        <v>1619</v>
      </c>
      <c r="E375" s="13" t="s">
        <v>1620</v>
      </c>
      <c r="F375" s="13" t="s">
        <v>368</v>
      </c>
      <c r="G375" s="4">
        <v>3.8570366E7</v>
      </c>
      <c r="H375" s="4" t="s">
        <v>906</v>
      </c>
      <c r="I375" s="4"/>
      <c r="J375" s="4" t="s">
        <v>1522</v>
      </c>
      <c r="K375" s="4" t="s">
        <v>3047</v>
      </c>
      <c r="L375" s="15" t="str">
        <f t="shared" si="1"/>
        <v>ok</v>
      </c>
    </row>
    <row r="376" ht="60.0" customHeight="1">
      <c r="A376" s="13" t="s">
        <v>1621</v>
      </c>
      <c r="B376" s="13">
        <v>8.0</v>
      </c>
      <c r="C376" s="13" t="s">
        <v>2469</v>
      </c>
      <c r="D376" s="13" t="s">
        <v>1623</v>
      </c>
      <c r="E376" s="13" t="s">
        <v>1624</v>
      </c>
      <c r="F376" s="13" t="s">
        <v>368</v>
      </c>
      <c r="G376" s="4">
        <v>3.8632851E7</v>
      </c>
      <c r="H376" s="4" t="s">
        <v>906</v>
      </c>
      <c r="I376" s="4"/>
      <c r="J376" s="4" t="s">
        <v>1522</v>
      </c>
      <c r="K376" s="4" t="s">
        <v>3048</v>
      </c>
      <c r="L376" s="15" t="str">
        <f t="shared" si="1"/>
        <v>ok</v>
      </c>
    </row>
    <row r="377" ht="60.0" customHeight="1">
      <c r="A377" s="13" t="s">
        <v>1625</v>
      </c>
      <c r="B377" s="13">
        <v>8.0</v>
      </c>
      <c r="C377" s="13" t="s">
        <v>2469</v>
      </c>
      <c r="D377" s="13" t="s">
        <v>1626</v>
      </c>
      <c r="E377" s="13" t="s">
        <v>1627</v>
      </c>
      <c r="F377" s="13" t="s">
        <v>368</v>
      </c>
      <c r="G377" s="4">
        <v>3.8649697E7</v>
      </c>
      <c r="H377" s="4" t="s">
        <v>906</v>
      </c>
      <c r="I377" s="4"/>
      <c r="J377" s="4" t="s">
        <v>2111</v>
      </c>
      <c r="K377" s="4" t="s">
        <v>3049</v>
      </c>
      <c r="L377" s="15" t="str">
        <f t="shared" si="1"/>
        <v>ok</v>
      </c>
    </row>
    <row r="378" ht="60.0" customHeight="1">
      <c r="A378" s="13" t="s">
        <v>205</v>
      </c>
      <c r="B378" s="13">
        <v>8.0</v>
      </c>
      <c r="C378" s="13" t="s">
        <v>2469</v>
      </c>
      <c r="D378" s="13" t="s">
        <v>207</v>
      </c>
      <c r="E378" s="13" t="s">
        <v>208</v>
      </c>
      <c r="F378" s="13" t="s">
        <v>97</v>
      </c>
      <c r="G378" s="4">
        <v>3.8884184E7</v>
      </c>
      <c r="H378" s="4" t="s">
        <v>98</v>
      </c>
      <c r="I378" s="4" t="s">
        <v>97</v>
      </c>
      <c r="J378" s="4"/>
      <c r="K378" s="4" t="s">
        <v>3050</v>
      </c>
      <c r="L378" s="15" t="str">
        <f t="shared" si="1"/>
        <v>ok</v>
      </c>
    </row>
    <row r="379" ht="60.0" customHeight="1">
      <c r="A379" s="13" t="s">
        <v>1910</v>
      </c>
      <c r="B379" s="13">
        <v>8.0</v>
      </c>
      <c r="C379" s="13" t="s">
        <v>2469</v>
      </c>
      <c r="D379" s="13" t="s">
        <v>1912</v>
      </c>
      <c r="E379" s="13" t="s">
        <v>1913</v>
      </c>
      <c r="F379" s="13" t="s">
        <v>97</v>
      </c>
      <c r="G379" s="4">
        <v>3.8884762E7</v>
      </c>
      <c r="H379" s="4" t="s">
        <v>906</v>
      </c>
      <c r="I379" s="4"/>
      <c r="J379" s="4" t="s">
        <v>1522</v>
      </c>
      <c r="K379" s="4" t="s">
        <v>3051</v>
      </c>
      <c r="L379" s="15" t="str">
        <f t="shared" si="1"/>
        <v>ok</v>
      </c>
    </row>
    <row r="380" ht="60.0" customHeight="1">
      <c r="A380" s="13" t="s">
        <v>1984</v>
      </c>
      <c r="B380" s="13">
        <v>8.0</v>
      </c>
      <c r="C380" s="13" t="s">
        <v>2469</v>
      </c>
      <c r="D380" s="13" t="s">
        <v>1986</v>
      </c>
      <c r="E380" s="13" t="s">
        <v>1987</v>
      </c>
      <c r="F380" s="13" t="s">
        <v>97</v>
      </c>
      <c r="G380" s="4">
        <v>3.8955626E7</v>
      </c>
      <c r="H380" s="4" t="s">
        <v>98</v>
      </c>
      <c r="I380" s="4" t="s">
        <v>97</v>
      </c>
      <c r="J380" s="4"/>
      <c r="K380" s="4" t="s">
        <v>3052</v>
      </c>
      <c r="L380" s="15" t="str">
        <f t="shared" si="1"/>
        <v>ok</v>
      </c>
    </row>
    <row r="381" ht="60.0" customHeight="1">
      <c r="A381" s="13" t="s">
        <v>1078</v>
      </c>
      <c r="B381" s="13">
        <v>8.0</v>
      </c>
      <c r="C381" s="13" t="s">
        <v>2469</v>
      </c>
      <c r="D381" s="13" t="s">
        <v>1080</v>
      </c>
      <c r="E381" s="13" t="s">
        <v>1081</v>
      </c>
      <c r="F381" s="13" t="s">
        <v>368</v>
      </c>
      <c r="G381" s="4">
        <v>3.9040373E7</v>
      </c>
      <c r="H381" s="4" t="s">
        <v>906</v>
      </c>
      <c r="I381" s="4"/>
      <c r="J381" s="4" t="s">
        <v>1023</v>
      </c>
      <c r="K381" s="4" t="s">
        <v>3053</v>
      </c>
      <c r="L381" s="15" t="str">
        <f t="shared" si="1"/>
        <v>ok</v>
      </c>
    </row>
    <row r="382" ht="60.0" customHeight="1">
      <c r="A382" s="13" t="s">
        <v>1628</v>
      </c>
      <c r="B382" s="13">
        <v>8.0</v>
      </c>
      <c r="C382" s="13" t="s">
        <v>2469</v>
      </c>
      <c r="D382" s="13" t="s">
        <v>1630</v>
      </c>
      <c r="E382" s="13" t="s">
        <v>1631</v>
      </c>
      <c r="F382" s="13" t="s">
        <v>368</v>
      </c>
      <c r="G382" s="4">
        <v>3.9062246E7</v>
      </c>
      <c r="H382" s="4" t="s">
        <v>906</v>
      </c>
      <c r="I382" s="4"/>
      <c r="J382" s="4" t="s">
        <v>1522</v>
      </c>
      <c r="K382" s="4" t="s">
        <v>3054</v>
      </c>
      <c r="L382" s="15" t="str">
        <f t="shared" si="1"/>
        <v>ok</v>
      </c>
    </row>
    <row r="383" ht="60.0" customHeight="1">
      <c r="A383" s="13" t="s">
        <v>1083</v>
      </c>
      <c r="B383" s="13">
        <v>8.0</v>
      </c>
      <c r="C383" s="13" t="s">
        <v>2469</v>
      </c>
      <c r="D383" s="13" t="s">
        <v>1085</v>
      </c>
      <c r="E383" s="13" t="s">
        <v>1086</v>
      </c>
      <c r="F383" s="13" t="s">
        <v>368</v>
      </c>
      <c r="G383" s="4">
        <v>3.9242988E7</v>
      </c>
      <c r="H383" s="4" t="s">
        <v>906</v>
      </c>
      <c r="I383" s="4"/>
      <c r="J383" s="4" t="s">
        <v>1023</v>
      </c>
      <c r="K383" s="4" t="s">
        <v>3055</v>
      </c>
      <c r="L383" s="15" t="str">
        <f t="shared" si="1"/>
        <v>ok</v>
      </c>
    </row>
    <row r="384" ht="60.0" customHeight="1">
      <c r="A384" s="13" t="s">
        <v>732</v>
      </c>
      <c r="B384" s="13">
        <v>8.0</v>
      </c>
      <c r="C384" s="13" t="s">
        <v>2469</v>
      </c>
      <c r="D384" s="13" t="s">
        <v>734</v>
      </c>
      <c r="E384" s="13" t="s">
        <v>735</v>
      </c>
      <c r="F384" s="13" t="s">
        <v>97</v>
      </c>
      <c r="G384" s="4">
        <v>3.925732E7</v>
      </c>
      <c r="H384" s="4" t="s">
        <v>694</v>
      </c>
      <c r="I384" s="4"/>
      <c r="J384" s="4"/>
      <c r="K384" s="4" t="s">
        <v>3056</v>
      </c>
      <c r="L384" s="15" t="str">
        <f t="shared" si="1"/>
        <v>ok</v>
      </c>
    </row>
    <row r="385" ht="60.0" customHeight="1">
      <c r="A385" s="13" t="s">
        <v>209</v>
      </c>
      <c r="B385" s="13">
        <v>8.0</v>
      </c>
      <c r="C385" s="13" t="s">
        <v>2469</v>
      </c>
      <c r="D385" s="13" t="s">
        <v>211</v>
      </c>
      <c r="E385" s="13" t="s">
        <v>212</v>
      </c>
      <c r="F385" s="13" t="s">
        <v>97</v>
      </c>
      <c r="G385" s="4">
        <v>3.9296445E7</v>
      </c>
      <c r="H385" s="4" t="s">
        <v>906</v>
      </c>
      <c r="I385" s="4"/>
      <c r="J385" s="4" t="s">
        <v>2111</v>
      </c>
      <c r="K385" s="4" t="s">
        <v>3057</v>
      </c>
      <c r="L385" s="15" t="str">
        <f t="shared" si="1"/>
        <v>ok</v>
      </c>
    </row>
    <row r="386" ht="60.0" customHeight="1">
      <c r="A386" s="13" t="s">
        <v>1561</v>
      </c>
      <c r="B386" s="13">
        <v>8.0</v>
      </c>
      <c r="C386" s="13" t="s">
        <v>2505</v>
      </c>
      <c r="D386" s="13" t="s">
        <v>1563</v>
      </c>
      <c r="E386" s="13" t="s">
        <v>1564</v>
      </c>
      <c r="F386" s="13" t="s">
        <v>368</v>
      </c>
      <c r="G386" s="4">
        <v>3.960364E7</v>
      </c>
      <c r="H386" s="4" t="s">
        <v>906</v>
      </c>
      <c r="I386" s="4"/>
      <c r="J386" s="4" t="s">
        <v>1522</v>
      </c>
      <c r="K386" s="4" t="s">
        <v>3058</v>
      </c>
      <c r="L386" s="15" t="str">
        <f t="shared" si="1"/>
        <v>ok</v>
      </c>
    </row>
    <row r="387" ht="60.0" customHeight="1">
      <c r="A387" s="13" t="s">
        <v>1632</v>
      </c>
      <c r="B387" s="13">
        <v>8.0</v>
      </c>
      <c r="C387" s="13" t="s">
        <v>2469</v>
      </c>
      <c r="D387" s="13" t="s">
        <v>1634</v>
      </c>
      <c r="E387" s="13" t="s">
        <v>1635</v>
      </c>
      <c r="F387" s="13" t="s">
        <v>368</v>
      </c>
      <c r="G387" s="4">
        <v>3.9630766E7</v>
      </c>
      <c r="H387" s="4" t="s">
        <v>906</v>
      </c>
      <c r="I387" s="4"/>
      <c r="J387" s="4" t="s">
        <v>1522</v>
      </c>
      <c r="K387" s="4" t="s">
        <v>3059</v>
      </c>
      <c r="L387" s="15" t="str">
        <f t="shared" si="1"/>
        <v>ok</v>
      </c>
    </row>
    <row r="388" ht="60.0" customHeight="1">
      <c r="A388" s="13" t="s">
        <v>1034</v>
      </c>
      <c r="B388" s="13">
        <v>8.0</v>
      </c>
      <c r="C388" s="13" t="s">
        <v>2505</v>
      </c>
      <c r="D388" s="13" t="s">
        <v>1036</v>
      </c>
      <c r="E388" s="13" t="s">
        <v>1037</v>
      </c>
      <c r="F388" s="13" t="s">
        <v>368</v>
      </c>
      <c r="G388" s="4">
        <v>3.964451E7</v>
      </c>
      <c r="H388" s="4" t="s">
        <v>906</v>
      </c>
      <c r="I388" s="4"/>
      <c r="J388" s="4" t="s">
        <v>1023</v>
      </c>
      <c r="K388" s="4" t="s">
        <v>3060</v>
      </c>
      <c r="L388" s="15" t="str">
        <f t="shared" si="1"/>
        <v>ok</v>
      </c>
    </row>
    <row r="389" ht="60.0" customHeight="1">
      <c r="A389" s="13" t="s">
        <v>1087</v>
      </c>
      <c r="B389" s="13">
        <v>8.0</v>
      </c>
      <c r="C389" s="13" t="s">
        <v>2469</v>
      </c>
      <c r="D389" s="13" t="s">
        <v>1089</v>
      </c>
      <c r="E389" s="13" t="s">
        <v>1090</v>
      </c>
      <c r="F389" s="13" t="s">
        <v>368</v>
      </c>
      <c r="G389" s="4">
        <v>3.9766857E7</v>
      </c>
      <c r="H389" s="4" t="s">
        <v>906</v>
      </c>
      <c r="I389" s="4"/>
      <c r="J389" s="4" t="s">
        <v>1023</v>
      </c>
      <c r="K389" s="4" t="s">
        <v>3061</v>
      </c>
      <c r="L389" s="15" t="str">
        <f t="shared" si="1"/>
        <v>ok</v>
      </c>
    </row>
    <row r="390" ht="60.0" customHeight="1">
      <c r="A390" s="13" t="s">
        <v>1636</v>
      </c>
      <c r="B390" s="13">
        <v>8.0</v>
      </c>
      <c r="C390" s="13" t="s">
        <v>2469</v>
      </c>
      <c r="D390" s="13" t="s">
        <v>1638</v>
      </c>
      <c r="E390" s="13" t="s">
        <v>1639</v>
      </c>
      <c r="F390" s="13" t="s">
        <v>126</v>
      </c>
      <c r="G390" s="4">
        <v>3.9767216E7</v>
      </c>
      <c r="H390" s="4" t="s">
        <v>906</v>
      </c>
      <c r="I390" s="4"/>
      <c r="J390" s="4" t="s">
        <v>1522</v>
      </c>
      <c r="K390" s="4" t="s">
        <v>3062</v>
      </c>
      <c r="L390" s="15" t="str">
        <f t="shared" si="1"/>
        <v>ok</v>
      </c>
    </row>
    <row r="391" ht="60.0" customHeight="1">
      <c r="A391" s="13" t="s">
        <v>1092</v>
      </c>
      <c r="B391" s="13">
        <v>8.0</v>
      </c>
      <c r="C391" s="13" t="s">
        <v>2469</v>
      </c>
      <c r="D391" s="13" t="s">
        <v>1094</v>
      </c>
      <c r="E391" s="13" t="s">
        <v>1095</v>
      </c>
      <c r="F391" s="13" t="s">
        <v>368</v>
      </c>
      <c r="G391" s="4">
        <v>3.9770268E7</v>
      </c>
      <c r="H391" s="4" t="s">
        <v>906</v>
      </c>
      <c r="I391" s="4"/>
      <c r="J391" s="4" t="s">
        <v>1023</v>
      </c>
      <c r="K391" s="4" t="s">
        <v>3063</v>
      </c>
      <c r="L391" s="15" t="str">
        <f t="shared" si="1"/>
        <v>ok</v>
      </c>
    </row>
    <row r="392" ht="60.0" customHeight="1">
      <c r="A392" s="13" t="s">
        <v>150</v>
      </c>
      <c r="B392" s="13">
        <v>8.0</v>
      </c>
      <c r="C392" s="13" t="s">
        <v>2505</v>
      </c>
      <c r="D392" s="13" t="s">
        <v>152</v>
      </c>
      <c r="E392" s="13" t="s">
        <v>153</v>
      </c>
      <c r="F392" s="13" t="s">
        <v>126</v>
      </c>
      <c r="G392" s="4">
        <v>3.982165E7</v>
      </c>
      <c r="H392" s="4" t="s">
        <v>98</v>
      </c>
      <c r="I392" s="4" t="s">
        <v>126</v>
      </c>
      <c r="J392" s="4"/>
      <c r="K392" s="4" t="s">
        <v>3064</v>
      </c>
      <c r="L392" s="15" t="str">
        <f t="shared" si="1"/>
        <v>ok</v>
      </c>
    </row>
    <row r="393" ht="60.0" customHeight="1">
      <c r="A393" s="13" t="s">
        <v>155</v>
      </c>
      <c r="B393" s="13">
        <v>8.0</v>
      </c>
      <c r="C393" s="13" t="s">
        <v>2505</v>
      </c>
      <c r="D393" s="13" t="s">
        <v>156</v>
      </c>
      <c r="E393" s="13" t="s">
        <v>157</v>
      </c>
      <c r="F393" s="13" t="s">
        <v>97</v>
      </c>
      <c r="G393" s="4">
        <v>3.9854275E7</v>
      </c>
      <c r="H393" s="4" t="s">
        <v>98</v>
      </c>
      <c r="I393" s="4" t="s">
        <v>97</v>
      </c>
      <c r="J393" s="4"/>
      <c r="K393" s="4" t="s">
        <v>3065</v>
      </c>
      <c r="L393" s="15" t="str">
        <f t="shared" si="1"/>
        <v>ok</v>
      </c>
    </row>
    <row r="394" ht="60.0" customHeight="1">
      <c r="A394" s="13" t="s">
        <v>1097</v>
      </c>
      <c r="B394" s="13">
        <v>8.0</v>
      </c>
      <c r="C394" s="13" t="s">
        <v>2469</v>
      </c>
      <c r="D394" s="13" t="s">
        <v>1099</v>
      </c>
      <c r="E394" s="13" t="s">
        <v>1100</v>
      </c>
      <c r="F394" s="13" t="s">
        <v>368</v>
      </c>
      <c r="G394" s="4">
        <v>3.9872004E7</v>
      </c>
      <c r="H394" s="4" t="s">
        <v>906</v>
      </c>
      <c r="I394" s="4"/>
      <c r="J394" s="4" t="s">
        <v>1023</v>
      </c>
      <c r="K394" s="4" t="s">
        <v>3066</v>
      </c>
      <c r="L394" s="15" t="str">
        <f t="shared" si="1"/>
        <v>ok</v>
      </c>
    </row>
    <row r="395" ht="60.0" customHeight="1">
      <c r="A395" s="13" t="s">
        <v>1038</v>
      </c>
      <c r="B395" s="13">
        <v>8.0</v>
      </c>
      <c r="C395" s="13" t="s">
        <v>2505</v>
      </c>
      <c r="D395" s="13" t="s">
        <v>1040</v>
      </c>
      <c r="E395" s="13" t="s">
        <v>1041</v>
      </c>
      <c r="F395" s="13" t="s">
        <v>368</v>
      </c>
      <c r="G395" s="4">
        <v>3.9920731E7</v>
      </c>
      <c r="H395" s="4" t="s">
        <v>906</v>
      </c>
      <c r="I395" s="4"/>
      <c r="J395" s="4" t="s">
        <v>1023</v>
      </c>
      <c r="K395" s="4" t="s">
        <v>3067</v>
      </c>
      <c r="L395" s="15" t="str">
        <f t="shared" si="1"/>
        <v>ok</v>
      </c>
    </row>
    <row r="396" ht="60.0" customHeight="1">
      <c r="A396" s="13" t="s">
        <v>159</v>
      </c>
      <c r="B396" s="13">
        <v>8.0</v>
      </c>
      <c r="C396" s="13" t="s">
        <v>2505</v>
      </c>
      <c r="D396" s="13" t="s">
        <v>161</v>
      </c>
      <c r="E396" s="13" t="s">
        <v>162</v>
      </c>
      <c r="F396" s="13" t="s">
        <v>97</v>
      </c>
      <c r="G396" s="4">
        <v>3.9937286E7</v>
      </c>
      <c r="H396" s="4" t="s">
        <v>906</v>
      </c>
      <c r="I396" s="4"/>
      <c r="J396" s="4" t="s">
        <v>2111</v>
      </c>
      <c r="K396" s="4" t="s">
        <v>3068</v>
      </c>
      <c r="L396" s="15" t="str">
        <f t="shared" si="1"/>
        <v>ok</v>
      </c>
    </row>
    <row r="397" ht="60.0" customHeight="1">
      <c r="A397" s="13" t="s">
        <v>1566</v>
      </c>
      <c r="B397" s="13">
        <v>8.0</v>
      </c>
      <c r="C397" s="13" t="s">
        <v>2505</v>
      </c>
      <c r="D397" s="13" t="s">
        <v>1568</v>
      </c>
      <c r="E397" s="13" t="s">
        <v>1569</v>
      </c>
      <c r="F397" s="13" t="s">
        <v>368</v>
      </c>
      <c r="G397" s="4">
        <v>3.9947583E7</v>
      </c>
      <c r="H397" s="4" t="s">
        <v>906</v>
      </c>
      <c r="I397" s="4"/>
      <c r="J397" s="4" t="s">
        <v>1522</v>
      </c>
      <c r="K397" s="4" t="s">
        <v>3069</v>
      </c>
      <c r="L397" s="15" t="str">
        <f t="shared" si="1"/>
        <v>ok</v>
      </c>
    </row>
    <row r="398" ht="60.0" customHeight="1">
      <c r="A398" s="13" t="s">
        <v>1043</v>
      </c>
      <c r="B398" s="13">
        <v>8.0</v>
      </c>
      <c r="C398" s="13" t="s">
        <v>2505</v>
      </c>
      <c r="D398" s="13" t="s">
        <v>1045</v>
      </c>
      <c r="E398" s="13" t="s">
        <v>1046</v>
      </c>
      <c r="F398" s="13" t="s">
        <v>368</v>
      </c>
      <c r="G398" s="4">
        <v>3.9960922E7</v>
      </c>
      <c r="H398" s="4" t="s">
        <v>906</v>
      </c>
      <c r="I398" s="4"/>
      <c r="J398" s="4" t="s">
        <v>1023</v>
      </c>
      <c r="K398" s="4" t="s">
        <v>3070</v>
      </c>
      <c r="L398" s="15" t="str">
        <f t="shared" si="1"/>
        <v>ok</v>
      </c>
    </row>
    <row r="399" ht="60.0" customHeight="1">
      <c r="A399" s="13" t="s">
        <v>696</v>
      </c>
      <c r="B399" s="13">
        <v>8.0</v>
      </c>
      <c r="C399" s="13" t="s">
        <v>2505</v>
      </c>
      <c r="D399" s="13" t="s">
        <v>697</v>
      </c>
      <c r="E399" s="13" t="s">
        <v>698</v>
      </c>
      <c r="F399" s="13" t="s">
        <v>97</v>
      </c>
      <c r="G399" s="4">
        <v>3.9961659E7</v>
      </c>
      <c r="H399" s="4" t="s">
        <v>694</v>
      </c>
      <c r="I399" s="4"/>
      <c r="J399" s="4"/>
      <c r="K399" s="4" t="s">
        <v>3071</v>
      </c>
      <c r="L399" s="15" t="str">
        <f t="shared" si="1"/>
        <v>ok</v>
      </c>
    </row>
    <row r="400" ht="60.0" customHeight="1">
      <c r="A400" s="13" t="s">
        <v>164</v>
      </c>
      <c r="B400" s="13">
        <v>8.0</v>
      </c>
      <c r="C400" s="13" t="s">
        <v>2505</v>
      </c>
      <c r="D400" s="13" t="s">
        <v>166</v>
      </c>
      <c r="E400" s="13" t="s">
        <v>167</v>
      </c>
      <c r="F400" s="13" t="s">
        <v>97</v>
      </c>
      <c r="G400" s="4">
        <v>4.0010013E7</v>
      </c>
      <c r="H400" s="4" t="s">
        <v>906</v>
      </c>
      <c r="I400" s="4"/>
      <c r="J400" s="4" t="s">
        <v>2111</v>
      </c>
      <c r="K400" s="4" t="s">
        <v>3072</v>
      </c>
      <c r="L400" s="15" t="str">
        <f t="shared" si="1"/>
        <v>ok</v>
      </c>
    </row>
    <row r="401" ht="60.0" customHeight="1">
      <c r="A401" s="13" t="s">
        <v>214</v>
      </c>
      <c r="B401" s="13">
        <v>8.0</v>
      </c>
      <c r="C401" s="13" t="s">
        <v>2469</v>
      </c>
      <c r="D401" s="13" t="s">
        <v>216</v>
      </c>
      <c r="E401" s="13" t="s">
        <v>217</v>
      </c>
      <c r="F401" s="13" t="s">
        <v>97</v>
      </c>
      <c r="G401" s="4">
        <v>4.0016985E7</v>
      </c>
      <c r="H401" s="4" t="s">
        <v>98</v>
      </c>
      <c r="I401" s="4" t="s">
        <v>97</v>
      </c>
      <c r="J401" s="4"/>
      <c r="K401" s="4" t="s">
        <v>3073</v>
      </c>
      <c r="L401" s="15" t="str">
        <f t="shared" si="1"/>
        <v>ok</v>
      </c>
    </row>
    <row r="402" ht="60.0" customHeight="1">
      <c r="A402" s="13" t="s">
        <v>1048</v>
      </c>
      <c r="B402" s="13">
        <v>8.0</v>
      </c>
      <c r="C402" s="13" t="s">
        <v>2505</v>
      </c>
      <c r="D402" s="13" t="s">
        <v>1050</v>
      </c>
      <c r="E402" s="13" t="s">
        <v>1051</v>
      </c>
      <c r="F402" s="13" t="s">
        <v>126</v>
      </c>
      <c r="G402" s="4">
        <v>4.015011E7</v>
      </c>
      <c r="H402" s="4" t="s">
        <v>906</v>
      </c>
      <c r="I402" s="4"/>
      <c r="J402" s="4" t="s">
        <v>1522</v>
      </c>
      <c r="K402" s="4" t="s">
        <v>3074</v>
      </c>
      <c r="L402" s="15" t="str">
        <f t="shared" si="1"/>
        <v>ok</v>
      </c>
    </row>
    <row r="403" ht="60.0" customHeight="1">
      <c r="A403" s="13" t="s">
        <v>1571</v>
      </c>
      <c r="B403" s="13">
        <v>8.0</v>
      </c>
      <c r="C403" s="13" t="s">
        <v>2505</v>
      </c>
      <c r="D403" s="13" t="s">
        <v>1573</v>
      </c>
      <c r="E403" s="13" t="s">
        <v>1574</v>
      </c>
      <c r="F403" s="13" t="s">
        <v>368</v>
      </c>
      <c r="G403" s="4">
        <v>4.0283396E7</v>
      </c>
      <c r="H403" s="4" t="s">
        <v>906</v>
      </c>
      <c r="I403" s="4"/>
      <c r="J403" s="4" t="s">
        <v>1522</v>
      </c>
      <c r="K403" s="4" t="s">
        <v>3075</v>
      </c>
      <c r="L403" s="15" t="str">
        <f t="shared" si="1"/>
        <v>ok</v>
      </c>
    </row>
    <row r="404" ht="60.0" customHeight="1">
      <c r="A404" s="13" t="s">
        <v>1576</v>
      </c>
      <c r="B404" s="13">
        <v>8.0</v>
      </c>
      <c r="C404" s="13" t="s">
        <v>2505</v>
      </c>
      <c r="D404" s="13" t="s">
        <v>1578</v>
      </c>
      <c r="E404" s="13" t="s">
        <v>1579</v>
      </c>
      <c r="F404" s="13" t="s">
        <v>368</v>
      </c>
      <c r="G404" s="4">
        <v>4.0389136E7</v>
      </c>
      <c r="H404" s="4" t="s">
        <v>906</v>
      </c>
      <c r="I404" s="4"/>
      <c r="J404" s="4" t="s">
        <v>1522</v>
      </c>
      <c r="K404" s="4" t="s">
        <v>3076</v>
      </c>
      <c r="L404" s="15" t="str">
        <f t="shared" si="1"/>
        <v>ok</v>
      </c>
    </row>
    <row r="405" ht="60.0" customHeight="1">
      <c r="A405" s="13" t="s">
        <v>1901</v>
      </c>
      <c r="B405" s="13">
        <v>8.0</v>
      </c>
      <c r="C405" s="13" t="s">
        <v>2505</v>
      </c>
      <c r="D405" s="13" t="s">
        <v>1903</v>
      </c>
      <c r="E405" s="13" t="s">
        <v>1904</v>
      </c>
      <c r="F405" s="13" t="s">
        <v>97</v>
      </c>
      <c r="G405" s="4">
        <v>4.0404742E7</v>
      </c>
      <c r="H405" s="4" t="s">
        <v>906</v>
      </c>
      <c r="I405" s="4"/>
      <c r="J405" s="4" t="s">
        <v>1522</v>
      </c>
      <c r="K405" s="4" t="s">
        <v>3077</v>
      </c>
      <c r="L405" s="15" t="str">
        <f t="shared" si="1"/>
        <v>ok</v>
      </c>
    </row>
    <row r="406" ht="60.0" customHeight="1">
      <c r="A406" s="13" t="s">
        <v>1053</v>
      </c>
      <c r="B406" s="13">
        <v>8.0</v>
      </c>
      <c r="C406" s="13" t="s">
        <v>2505</v>
      </c>
      <c r="D406" s="13" t="s">
        <v>1055</v>
      </c>
      <c r="E406" s="13" t="s">
        <v>1056</v>
      </c>
      <c r="F406" s="13" t="s">
        <v>368</v>
      </c>
      <c r="G406" s="4">
        <v>4.0491497E7</v>
      </c>
      <c r="H406" s="4" t="s">
        <v>906</v>
      </c>
      <c r="I406" s="4"/>
      <c r="J406" s="4" t="s">
        <v>1023</v>
      </c>
      <c r="K406" s="4" t="s">
        <v>3078</v>
      </c>
      <c r="L406" s="15" t="str">
        <f t="shared" si="1"/>
        <v>ok</v>
      </c>
    </row>
    <row r="407" ht="60.0" customHeight="1">
      <c r="A407" s="13" t="s">
        <v>169</v>
      </c>
      <c r="B407" s="13">
        <v>9.0</v>
      </c>
      <c r="C407" s="13" t="s">
        <v>2505</v>
      </c>
      <c r="D407" s="13" t="s">
        <v>171</v>
      </c>
      <c r="E407" s="13" t="s">
        <v>172</v>
      </c>
      <c r="F407" s="13" t="s">
        <v>97</v>
      </c>
      <c r="G407" s="4">
        <v>4.0537699E7</v>
      </c>
      <c r="H407" s="4" t="s">
        <v>906</v>
      </c>
      <c r="I407" s="4"/>
      <c r="J407" s="4" t="s">
        <v>2111</v>
      </c>
      <c r="K407" s="4" t="s">
        <v>3079</v>
      </c>
      <c r="L407" s="15" t="str">
        <f t="shared" si="1"/>
        <v>ok</v>
      </c>
    </row>
    <row r="408" ht="60.0" customHeight="1">
      <c r="A408" s="13" t="s">
        <v>174</v>
      </c>
      <c r="B408" s="13">
        <v>9.0</v>
      </c>
      <c r="C408" s="13" t="s">
        <v>2505</v>
      </c>
      <c r="D408" s="13" t="s">
        <v>176</v>
      </c>
      <c r="E408" s="13" t="s">
        <v>177</v>
      </c>
      <c r="F408" s="13" t="s">
        <v>97</v>
      </c>
      <c r="G408" s="4">
        <v>4.0599664E7</v>
      </c>
      <c r="H408" s="4" t="s">
        <v>98</v>
      </c>
      <c r="I408" s="4" t="s">
        <v>97</v>
      </c>
      <c r="J408" s="4"/>
      <c r="K408" s="4" t="s">
        <v>3080</v>
      </c>
      <c r="L408" s="15" t="str">
        <f t="shared" si="1"/>
        <v>ok</v>
      </c>
    </row>
    <row r="409" ht="60.0" customHeight="1">
      <c r="A409" s="13" t="s">
        <v>1581</v>
      </c>
      <c r="B409" s="13">
        <v>9.0</v>
      </c>
      <c r="C409" s="13" t="s">
        <v>2505</v>
      </c>
      <c r="D409" s="13" t="s">
        <v>1583</v>
      </c>
      <c r="E409" s="13" t="s">
        <v>1584</v>
      </c>
      <c r="F409" s="13" t="s">
        <v>368</v>
      </c>
      <c r="G409" s="4">
        <v>4.0610927E7</v>
      </c>
      <c r="H409" s="4" t="s">
        <v>906</v>
      </c>
      <c r="I409" s="4"/>
      <c r="J409" s="4" t="s">
        <v>1522</v>
      </c>
      <c r="K409" s="4" t="s">
        <v>3081</v>
      </c>
      <c r="L409" s="15" t="str">
        <f t="shared" si="1"/>
        <v>ok</v>
      </c>
    </row>
    <row r="410" ht="60.0" customHeight="1">
      <c r="A410" s="13" t="s">
        <v>1057</v>
      </c>
      <c r="B410" s="13">
        <v>9.0</v>
      </c>
      <c r="C410" s="13" t="s">
        <v>2505</v>
      </c>
      <c r="D410" s="13" t="s">
        <v>1059</v>
      </c>
      <c r="E410" s="13" t="s">
        <v>1060</v>
      </c>
      <c r="F410" s="13" t="s">
        <v>368</v>
      </c>
      <c r="G410" s="4">
        <v>4.061558E7</v>
      </c>
      <c r="H410" s="4" t="s">
        <v>906</v>
      </c>
      <c r="I410" s="4"/>
      <c r="J410" s="4" t="s">
        <v>1023</v>
      </c>
      <c r="K410" s="4" t="s">
        <v>3082</v>
      </c>
      <c r="L410" s="15" t="str">
        <f t="shared" si="1"/>
        <v>ok</v>
      </c>
    </row>
    <row r="411" ht="60.0" customHeight="1">
      <c r="A411" s="13" t="s">
        <v>1585</v>
      </c>
      <c r="B411" s="13">
        <v>9.0</v>
      </c>
      <c r="C411" s="13" t="s">
        <v>2505</v>
      </c>
      <c r="D411" s="13" t="s">
        <v>1587</v>
      </c>
      <c r="E411" s="13" t="s">
        <v>1588</v>
      </c>
      <c r="F411" s="13" t="s">
        <v>368</v>
      </c>
      <c r="G411" s="4">
        <v>4.0652784E7</v>
      </c>
      <c r="H411" s="4" t="s">
        <v>906</v>
      </c>
      <c r="I411" s="4"/>
      <c r="J411" s="4" t="s">
        <v>1023</v>
      </c>
      <c r="K411" s="4" t="s">
        <v>3083</v>
      </c>
      <c r="L411" s="15" t="str">
        <f t="shared" si="1"/>
        <v>ok</v>
      </c>
    </row>
    <row r="412" ht="60.0" customHeight="1">
      <c r="A412" s="13" t="s">
        <v>701</v>
      </c>
      <c r="B412" s="13">
        <v>9.0</v>
      </c>
      <c r="C412" s="13" t="s">
        <v>2505</v>
      </c>
      <c r="D412" s="13" t="s">
        <v>703</v>
      </c>
      <c r="E412" s="13" t="s">
        <v>704</v>
      </c>
      <c r="F412" s="13" t="s">
        <v>97</v>
      </c>
      <c r="G412" s="4">
        <v>4.0685149E7</v>
      </c>
      <c r="H412" s="4" t="s">
        <v>694</v>
      </c>
      <c r="I412" s="4"/>
      <c r="J412" s="4"/>
      <c r="K412" s="4" t="s">
        <v>3084</v>
      </c>
      <c r="L412" s="15" t="str">
        <f t="shared" si="1"/>
        <v>ok</v>
      </c>
    </row>
    <row r="413" ht="60.0" customHeight="1">
      <c r="A413" s="13" t="s">
        <v>1589</v>
      </c>
      <c r="B413" s="13">
        <v>9.0</v>
      </c>
      <c r="C413" s="13" t="s">
        <v>2505</v>
      </c>
      <c r="D413" s="13" t="s">
        <v>1590</v>
      </c>
      <c r="E413" s="13" t="s">
        <v>1591</v>
      </c>
      <c r="F413" s="13" t="s">
        <v>368</v>
      </c>
      <c r="G413" s="4">
        <v>4.0762718E7</v>
      </c>
      <c r="H413" s="4" t="s">
        <v>906</v>
      </c>
      <c r="I413" s="4"/>
      <c r="J413" s="4" t="s">
        <v>1522</v>
      </c>
      <c r="K413" s="4" t="s">
        <v>3085</v>
      </c>
      <c r="L413" s="15" t="str">
        <f t="shared" si="1"/>
        <v>ok</v>
      </c>
    </row>
    <row r="414" ht="60.0" customHeight="1">
      <c r="A414" s="13" t="s">
        <v>91</v>
      </c>
      <c r="B414" s="13">
        <v>9.0</v>
      </c>
      <c r="C414" s="13" t="s">
        <v>2635</v>
      </c>
      <c r="D414" s="13" t="s">
        <v>93</v>
      </c>
      <c r="E414" s="13" t="s">
        <v>94</v>
      </c>
      <c r="F414" s="13" t="s">
        <v>97</v>
      </c>
      <c r="G414" s="4">
        <v>4.0831321E7</v>
      </c>
      <c r="H414" s="4" t="s">
        <v>98</v>
      </c>
      <c r="I414" s="4" t="s">
        <v>97</v>
      </c>
      <c r="J414" s="4"/>
      <c r="K414" s="4" t="s">
        <v>3086</v>
      </c>
      <c r="L414" s="15" t="str">
        <f t="shared" si="1"/>
        <v>ok</v>
      </c>
    </row>
    <row r="415" ht="60.0" customHeight="1">
      <c r="A415" s="13" t="s">
        <v>2106</v>
      </c>
      <c r="B415" s="13">
        <v>9.0</v>
      </c>
      <c r="C415" s="13" t="s">
        <v>2505</v>
      </c>
      <c r="D415" s="13" t="s">
        <v>2108</v>
      </c>
      <c r="E415" s="13" t="s">
        <v>2109</v>
      </c>
      <c r="F415" s="13" t="s">
        <v>97</v>
      </c>
      <c r="G415" s="4">
        <v>4.0883236E7</v>
      </c>
      <c r="H415" s="4" t="s">
        <v>906</v>
      </c>
      <c r="I415" s="4"/>
      <c r="J415" s="4" t="s">
        <v>2144</v>
      </c>
      <c r="K415" s="4" t="s">
        <v>3087</v>
      </c>
      <c r="L415" s="15" t="str">
        <f t="shared" si="1"/>
        <v>ok</v>
      </c>
    </row>
    <row r="416" ht="60.0" customHeight="1">
      <c r="A416" s="13" t="s">
        <v>1061</v>
      </c>
      <c r="B416" s="13">
        <v>9.0</v>
      </c>
      <c r="C416" s="13" t="s">
        <v>2505</v>
      </c>
      <c r="D416" s="13" t="s">
        <v>1063</v>
      </c>
      <c r="E416" s="13" t="s">
        <v>1064</v>
      </c>
      <c r="F416" s="13" t="s">
        <v>368</v>
      </c>
      <c r="G416" s="4">
        <v>4.0894389E7</v>
      </c>
      <c r="H416" s="4" t="s">
        <v>906</v>
      </c>
      <c r="I416" s="4"/>
      <c r="J416" s="4" t="s">
        <v>1023</v>
      </c>
      <c r="K416" s="4" t="s">
        <v>3088</v>
      </c>
      <c r="L416" s="15" t="str">
        <f t="shared" si="1"/>
        <v>ok</v>
      </c>
    </row>
    <row r="417" ht="60.0" customHeight="1">
      <c r="A417" s="13" t="s">
        <v>179</v>
      </c>
      <c r="B417" s="13">
        <v>9.0</v>
      </c>
      <c r="C417" s="13" t="s">
        <v>2505</v>
      </c>
      <c r="D417" s="13" t="s">
        <v>181</v>
      </c>
      <c r="E417" s="13" t="s">
        <v>182</v>
      </c>
      <c r="F417" s="13" t="s">
        <v>97</v>
      </c>
      <c r="G417" s="4">
        <v>4.0920381E7</v>
      </c>
      <c r="H417" s="4" t="s">
        <v>98</v>
      </c>
      <c r="I417" s="4" t="s">
        <v>97</v>
      </c>
      <c r="J417" s="4"/>
      <c r="K417" s="4" t="s">
        <v>3089</v>
      </c>
      <c r="L417" s="15" t="str">
        <f t="shared" si="1"/>
        <v>ok</v>
      </c>
    </row>
    <row r="418" ht="60.0" customHeight="1">
      <c r="A418" s="13" t="s">
        <v>691</v>
      </c>
      <c r="B418" s="13">
        <v>9.0</v>
      </c>
      <c r="C418" s="13" t="s">
        <v>2635</v>
      </c>
      <c r="D418" s="13" t="s">
        <v>692</v>
      </c>
      <c r="E418" s="13" t="s">
        <v>693</v>
      </c>
      <c r="F418" s="13" t="s">
        <v>97</v>
      </c>
      <c r="G418" s="4">
        <v>4.0968138E7</v>
      </c>
      <c r="H418" s="4" t="s">
        <v>694</v>
      </c>
      <c r="I418" s="4"/>
      <c r="J418" s="4"/>
      <c r="K418" s="4" t="s">
        <v>3090</v>
      </c>
      <c r="L418" s="15" t="str">
        <f t="shared" si="1"/>
        <v>ok</v>
      </c>
    </row>
    <row r="419" ht="60.0" customHeight="1">
      <c r="A419" s="13" t="s">
        <v>902</v>
      </c>
      <c r="B419" s="13">
        <v>9.0</v>
      </c>
      <c r="C419" s="13" t="s">
        <v>2635</v>
      </c>
      <c r="D419" s="13" t="s">
        <v>904</v>
      </c>
      <c r="E419" s="13" t="s">
        <v>905</v>
      </c>
      <c r="F419" s="13" t="s">
        <v>97</v>
      </c>
      <c r="G419" s="4">
        <v>4.0974038E7</v>
      </c>
      <c r="H419" s="4" t="s">
        <v>906</v>
      </c>
      <c r="I419" s="4"/>
      <c r="J419" s="4" t="s">
        <v>907</v>
      </c>
      <c r="K419" s="4" t="s">
        <v>3091</v>
      </c>
      <c r="L419" s="15" t="str">
        <f t="shared" si="1"/>
        <v>ok</v>
      </c>
    </row>
    <row r="420" ht="60.0" customHeight="1">
      <c r="A420" s="13" t="s">
        <v>1593</v>
      </c>
      <c r="B420" s="13">
        <v>9.0</v>
      </c>
      <c r="C420" s="13" t="s">
        <v>2505</v>
      </c>
      <c r="D420" s="13" t="s">
        <v>1595</v>
      </c>
      <c r="E420" s="13" t="s">
        <v>1596</v>
      </c>
      <c r="F420" s="13" t="s">
        <v>368</v>
      </c>
      <c r="G420" s="4">
        <v>4.102023E7</v>
      </c>
      <c r="H420" s="4" t="s">
        <v>906</v>
      </c>
      <c r="I420" s="4"/>
      <c r="J420" s="4" t="s">
        <v>1522</v>
      </c>
      <c r="K420" s="4" t="s">
        <v>3092</v>
      </c>
      <c r="L420" s="15" t="str">
        <f t="shared" si="1"/>
        <v>ok</v>
      </c>
    </row>
    <row r="421" ht="60.0" customHeight="1">
      <c r="A421" s="13" t="s">
        <v>2113</v>
      </c>
      <c r="B421" s="13">
        <v>9.0</v>
      </c>
      <c r="C421" s="13" t="s">
        <v>2505</v>
      </c>
      <c r="D421" s="13" t="s">
        <v>2115</v>
      </c>
      <c r="E421" s="13" t="s">
        <v>2116</v>
      </c>
      <c r="F421" s="13" t="s">
        <v>97</v>
      </c>
      <c r="G421" s="4">
        <v>4.1031975E7</v>
      </c>
      <c r="H421" s="4" t="s">
        <v>906</v>
      </c>
      <c r="I421" s="4"/>
      <c r="J421" s="4" t="s">
        <v>2144</v>
      </c>
      <c r="K421" s="4" t="s">
        <v>3093</v>
      </c>
      <c r="L421" s="15" t="str">
        <f t="shared" si="1"/>
        <v>ok</v>
      </c>
    </row>
    <row r="422" ht="60.0" customHeight="1">
      <c r="A422" s="13" t="s">
        <v>1066</v>
      </c>
      <c r="B422" s="13">
        <v>9.0</v>
      </c>
      <c r="C422" s="13" t="s">
        <v>2505</v>
      </c>
      <c r="D422" s="13" t="s">
        <v>1068</v>
      </c>
      <c r="E422" s="13" t="s">
        <v>1069</v>
      </c>
      <c r="F422" s="13" t="s">
        <v>368</v>
      </c>
      <c r="G422" s="4">
        <v>4.1060971E7</v>
      </c>
      <c r="H422" s="4" t="s">
        <v>906</v>
      </c>
      <c r="I422" s="4"/>
      <c r="J422" s="4" t="s">
        <v>1023</v>
      </c>
      <c r="K422" s="4" t="s">
        <v>3094</v>
      </c>
      <c r="L422" s="15" t="str">
        <f t="shared" si="1"/>
        <v>ok</v>
      </c>
    </row>
    <row r="423" ht="60.0" customHeight="1">
      <c r="A423" s="13" t="s">
        <v>1598</v>
      </c>
      <c r="B423" s="13">
        <v>9.0</v>
      </c>
      <c r="C423" s="13" t="s">
        <v>2505</v>
      </c>
      <c r="D423" s="13" t="s">
        <v>1600</v>
      </c>
      <c r="E423" s="13" t="s">
        <v>1601</v>
      </c>
      <c r="F423" s="13" t="s">
        <v>368</v>
      </c>
      <c r="G423" s="4">
        <v>4.1133498E7</v>
      </c>
      <c r="H423" s="4" t="s">
        <v>906</v>
      </c>
      <c r="I423" s="4"/>
      <c r="J423" s="4" t="s">
        <v>1522</v>
      </c>
      <c r="K423" s="4" t="s">
        <v>3095</v>
      </c>
      <c r="L423" s="15" t="str">
        <f t="shared" si="1"/>
        <v>ok</v>
      </c>
    </row>
    <row r="424" ht="60.0" customHeight="1">
      <c r="A424" s="13" t="s">
        <v>1070</v>
      </c>
      <c r="B424" s="13">
        <v>9.0</v>
      </c>
      <c r="C424" s="13" t="s">
        <v>2505</v>
      </c>
      <c r="D424" s="13" t="s">
        <v>1072</v>
      </c>
      <c r="E424" s="13" t="s">
        <v>1073</v>
      </c>
      <c r="F424" s="13" t="s">
        <v>368</v>
      </c>
      <c r="G424" s="4">
        <v>4.1191637E7</v>
      </c>
      <c r="H424" s="4" t="s">
        <v>906</v>
      </c>
      <c r="I424" s="4"/>
      <c r="J424" s="4" t="s">
        <v>1023</v>
      </c>
      <c r="K424" s="4" t="s">
        <v>3096</v>
      </c>
      <c r="L424" s="15" t="str">
        <f t="shared" si="1"/>
        <v>ok</v>
      </c>
    </row>
    <row r="425" ht="60.0" customHeight="1">
      <c r="A425" s="13" t="s">
        <v>1517</v>
      </c>
      <c r="B425" s="13">
        <v>9.0</v>
      </c>
      <c r="C425" s="13" t="s">
        <v>2635</v>
      </c>
      <c r="D425" s="13" t="s">
        <v>1519</v>
      </c>
      <c r="E425" s="13" t="s">
        <v>1520</v>
      </c>
      <c r="F425" s="13" t="s">
        <v>126</v>
      </c>
      <c r="G425" s="4">
        <v>4.1212742E7</v>
      </c>
      <c r="H425" s="4" t="s">
        <v>906</v>
      </c>
      <c r="I425" s="4"/>
      <c r="J425" s="4" t="s">
        <v>1522</v>
      </c>
      <c r="K425" s="4" t="s">
        <v>3097</v>
      </c>
      <c r="L425" s="15" t="str">
        <f t="shared" si="1"/>
        <v>ok</v>
      </c>
    </row>
    <row r="426" ht="60.0" customHeight="1">
      <c r="A426" s="13" t="s">
        <v>1965</v>
      </c>
      <c r="B426" s="13">
        <v>9.0</v>
      </c>
      <c r="C426" s="13" t="s">
        <v>2505</v>
      </c>
      <c r="D426" s="13" t="s">
        <v>1967</v>
      </c>
      <c r="E426" s="13" t="s">
        <v>1968</v>
      </c>
      <c r="F426" s="13" t="s">
        <v>97</v>
      </c>
      <c r="G426" s="4">
        <v>4.1257854E7</v>
      </c>
      <c r="H426" s="4" t="s">
        <v>906</v>
      </c>
      <c r="I426" s="4"/>
      <c r="J426" s="4" t="s">
        <v>1953</v>
      </c>
      <c r="K426" s="4" t="s">
        <v>3098</v>
      </c>
      <c r="L426" s="15" t="str">
        <f t="shared" si="1"/>
        <v>ok</v>
      </c>
    </row>
    <row r="427" ht="60.0" customHeight="1">
      <c r="A427" s="13" t="s">
        <v>707</v>
      </c>
      <c r="B427" s="13">
        <v>9.0</v>
      </c>
      <c r="C427" s="13" t="s">
        <v>2505</v>
      </c>
      <c r="D427" s="13" t="s">
        <v>709</v>
      </c>
      <c r="E427" s="13" t="s">
        <v>710</v>
      </c>
      <c r="F427" s="13" t="s">
        <v>97</v>
      </c>
      <c r="G427" s="4">
        <v>4.1319979E7</v>
      </c>
      <c r="H427" s="4" t="s">
        <v>694</v>
      </c>
      <c r="I427" s="4"/>
      <c r="J427" s="4"/>
      <c r="K427" s="4" t="s">
        <v>3099</v>
      </c>
      <c r="L427" s="15" t="str">
        <f t="shared" si="1"/>
        <v>ok</v>
      </c>
    </row>
    <row r="428" ht="60.0" customHeight="1">
      <c r="A428" s="13" t="s">
        <v>714</v>
      </c>
      <c r="B428" s="13">
        <v>9.0</v>
      </c>
      <c r="C428" s="13" t="s">
        <v>2505</v>
      </c>
      <c r="D428" s="13" t="s">
        <v>716</v>
      </c>
      <c r="E428" s="13" t="s">
        <v>717</v>
      </c>
      <c r="F428" s="13" t="s">
        <v>126</v>
      </c>
      <c r="G428" s="4">
        <v>4.1321028E7</v>
      </c>
      <c r="H428" s="4" t="s">
        <v>694</v>
      </c>
      <c r="I428" s="4"/>
      <c r="J428" s="4"/>
      <c r="K428" s="4" t="s">
        <v>3100</v>
      </c>
      <c r="L428" s="15" t="str">
        <f t="shared" si="1"/>
        <v>ok</v>
      </c>
    </row>
    <row r="429" ht="60.0" customHeight="1">
      <c r="A429" s="13" t="s">
        <v>1905</v>
      </c>
      <c r="B429" s="13">
        <v>9.0</v>
      </c>
      <c r="C429" s="13" t="s">
        <v>2505</v>
      </c>
      <c r="D429" s="13" t="s">
        <v>1907</v>
      </c>
      <c r="E429" s="13" t="s">
        <v>1908</v>
      </c>
      <c r="F429" s="13" t="s">
        <v>97</v>
      </c>
      <c r="G429" s="4">
        <v>4.1355336E7</v>
      </c>
      <c r="H429" s="4" t="s">
        <v>694</v>
      </c>
      <c r="I429" s="4"/>
      <c r="J429" s="4"/>
      <c r="K429" s="4" t="s">
        <v>3101</v>
      </c>
      <c r="L429" s="15" t="str">
        <f t="shared" si="1"/>
        <v>ok</v>
      </c>
    </row>
    <row r="430" ht="60.0" customHeight="1">
      <c r="A430" s="13" t="s">
        <v>186</v>
      </c>
      <c r="B430" s="13">
        <v>9.0</v>
      </c>
      <c r="C430" s="13" t="s">
        <v>2505</v>
      </c>
      <c r="D430" s="13" t="s">
        <v>188</v>
      </c>
      <c r="E430" s="13" t="s">
        <v>189</v>
      </c>
      <c r="F430" s="13" t="s">
        <v>97</v>
      </c>
      <c r="G430" s="4">
        <v>4.142065E7</v>
      </c>
      <c r="H430" s="4" t="s">
        <v>98</v>
      </c>
      <c r="I430" s="4" t="s">
        <v>97</v>
      </c>
      <c r="J430" s="4"/>
      <c r="K430" s="4" t="s">
        <v>3102</v>
      </c>
      <c r="L430" s="15" t="str">
        <f t="shared" si="1"/>
        <v>ok</v>
      </c>
    </row>
    <row r="431" ht="60.0" customHeight="1">
      <c r="A431" s="13" t="s">
        <v>99</v>
      </c>
      <c r="B431" s="13">
        <v>9.0</v>
      </c>
      <c r="C431" s="13" t="s">
        <v>2635</v>
      </c>
      <c r="D431" s="13" t="s">
        <v>101</v>
      </c>
      <c r="E431" s="13" t="s">
        <v>102</v>
      </c>
      <c r="F431" s="13" t="s">
        <v>97</v>
      </c>
      <c r="G431" s="4">
        <v>4.1485045E7</v>
      </c>
      <c r="H431" s="4" t="s">
        <v>98</v>
      </c>
      <c r="I431" s="4" t="s">
        <v>97</v>
      </c>
      <c r="J431" s="4"/>
      <c r="K431" s="4" t="s">
        <v>3103</v>
      </c>
      <c r="L431" s="15" t="str">
        <f t="shared" si="1"/>
        <v>ok</v>
      </c>
    </row>
    <row r="432" ht="60.0" customHeight="1">
      <c r="A432" s="13" t="s">
        <v>1603</v>
      </c>
      <c r="B432" s="13">
        <v>9.0</v>
      </c>
      <c r="C432" s="13" t="s">
        <v>2505</v>
      </c>
      <c r="D432" s="13" t="s">
        <v>1605</v>
      </c>
      <c r="E432" s="13" t="s">
        <v>1606</v>
      </c>
      <c r="F432" s="13" t="s">
        <v>97</v>
      </c>
      <c r="G432" s="4">
        <v>4.1496816E7</v>
      </c>
      <c r="H432" s="4" t="s">
        <v>906</v>
      </c>
      <c r="I432" s="4"/>
      <c r="J432" s="4" t="s">
        <v>1522</v>
      </c>
      <c r="K432" s="4" t="s">
        <v>3104</v>
      </c>
      <c r="L432" s="15" t="str">
        <f t="shared" si="1"/>
        <v>ok</v>
      </c>
    </row>
    <row r="433" ht="60.0" customHeight="1">
      <c r="A433" s="13" t="s">
        <v>1524</v>
      </c>
      <c r="B433" s="13">
        <v>9.0</v>
      </c>
      <c r="C433" s="13" t="s">
        <v>2635</v>
      </c>
      <c r="D433" s="13" t="s">
        <v>1526</v>
      </c>
      <c r="E433" s="13" t="s">
        <v>1527</v>
      </c>
      <c r="F433" s="13" t="s">
        <v>368</v>
      </c>
      <c r="G433" s="4">
        <v>4.1725333E7</v>
      </c>
      <c r="H433" s="4" t="s">
        <v>906</v>
      </c>
      <c r="I433" s="4"/>
      <c r="J433" s="4" t="s">
        <v>1023</v>
      </c>
      <c r="K433" s="4" t="s">
        <v>3105</v>
      </c>
      <c r="L433" s="15" t="str">
        <f t="shared" si="1"/>
        <v>ok</v>
      </c>
    </row>
    <row r="434" ht="60.0" customHeight="1">
      <c r="A434" s="13" t="s">
        <v>2078</v>
      </c>
      <c r="B434" s="13">
        <v>9.0</v>
      </c>
      <c r="C434" s="13" t="s">
        <v>2635</v>
      </c>
      <c r="D434" s="13" t="s">
        <v>2080</v>
      </c>
      <c r="E434" s="13" t="s">
        <v>2081</v>
      </c>
      <c r="F434" s="13" t="s">
        <v>97</v>
      </c>
      <c r="G434" s="4">
        <v>4.1728082E7</v>
      </c>
      <c r="H434" s="4" t="s">
        <v>906</v>
      </c>
      <c r="I434" s="4"/>
      <c r="J434" s="4" t="s">
        <v>2083</v>
      </c>
      <c r="K434" s="4" t="s">
        <v>3106</v>
      </c>
      <c r="L434" s="15" t="str">
        <f t="shared" si="1"/>
        <v>ok</v>
      </c>
    </row>
    <row r="435" ht="60.0" customHeight="1">
      <c r="A435" s="13" t="s">
        <v>104</v>
      </c>
      <c r="B435" s="13">
        <v>9.0</v>
      </c>
      <c r="C435" s="13" t="s">
        <v>2635</v>
      </c>
      <c r="D435" s="13" t="s">
        <v>106</v>
      </c>
      <c r="E435" s="13" t="s">
        <v>107</v>
      </c>
      <c r="F435" s="13" t="s">
        <v>97</v>
      </c>
      <c r="G435" s="4">
        <v>4.1749627E7</v>
      </c>
      <c r="H435" s="4" t="s">
        <v>98</v>
      </c>
      <c r="I435" s="4" t="s">
        <v>97</v>
      </c>
      <c r="J435" s="4"/>
      <c r="K435" s="4" t="s">
        <v>3107</v>
      </c>
      <c r="L435" s="15" t="str">
        <f t="shared" si="1"/>
        <v>ok</v>
      </c>
    </row>
    <row r="436" ht="60.0" customHeight="1">
      <c r="A436" s="13" t="s">
        <v>1528</v>
      </c>
      <c r="B436" s="13">
        <v>9.0</v>
      </c>
      <c r="C436" s="13" t="s">
        <v>2635</v>
      </c>
      <c r="D436" s="13" t="s">
        <v>1530</v>
      </c>
      <c r="E436" s="13" t="s">
        <v>1531</v>
      </c>
      <c r="F436" s="13" t="s">
        <v>368</v>
      </c>
      <c r="G436" s="4">
        <v>4.1835691E7</v>
      </c>
      <c r="H436" s="4" t="s">
        <v>906</v>
      </c>
      <c r="I436" s="4"/>
      <c r="J436" s="4" t="s">
        <v>1023</v>
      </c>
      <c r="K436" s="4" t="s">
        <v>3108</v>
      </c>
      <c r="L436" s="15" t="str">
        <f t="shared" si="1"/>
        <v>ok</v>
      </c>
    </row>
    <row r="437" ht="60.0" customHeight="1">
      <c r="A437" s="13" t="s">
        <v>109</v>
      </c>
      <c r="B437" s="13">
        <v>9.0</v>
      </c>
      <c r="C437" s="13" t="s">
        <v>2635</v>
      </c>
      <c r="D437" s="13" t="s">
        <v>111</v>
      </c>
      <c r="E437" s="13" t="s">
        <v>112</v>
      </c>
      <c r="F437" s="13" t="s">
        <v>97</v>
      </c>
      <c r="G437" s="4">
        <v>4.1840151E7</v>
      </c>
      <c r="H437" s="4" t="s">
        <v>906</v>
      </c>
      <c r="I437" s="4"/>
      <c r="J437" s="4" t="s">
        <v>2111</v>
      </c>
      <c r="K437" s="4" t="s">
        <v>3109</v>
      </c>
      <c r="L437" s="15" t="str">
        <f t="shared" si="1"/>
        <v>ok</v>
      </c>
    </row>
    <row r="438" ht="60.0" customHeight="1">
      <c r="A438" s="13" t="s">
        <v>1533</v>
      </c>
      <c r="B438" s="13">
        <v>9.0</v>
      </c>
      <c r="C438" s="13" t="s">
        <v>2635</v>
      </c>
      <c r="D438" s="13" t="s">
        <v>1535</v>
      </c>
      <c r="E438" s="13" t="s">
        <v>1536</v>
      </c>
      <c r="F438" s="13" t="s">
        <v>368</v>
      </c>
      <c r="G438" s="4">
        <v>4.1841538E7</v>
      </c>
      <c r="H438" s="4" t="s">
        <v>906</v>
      </c>
      <c r="I438" s="4"/>
      <c r="J438" s="4" t="s">
        <v>1522</v>
      </c>
      <c r="K438" s="4" t="s">
        <v>3110</v>
      </c>
      <c r="L438" s="15" t="str">
        <f t="shared" si="1"/>
        <v>ok</v>
      </c>
    </row>
    <row r="439" ht="60.0" customHeight="1">
      <c r="A439" s="13" t="s">
        <v>1018</v>
      </c>
      <c r="B439" s="13">
        <v>9.0</v>
      </c>
      <c r="C439" s="13" t="s">
        <v>2635</v>
      </c>
      <c r="D439" s="13" t="s">
        <v>1020</v>
      </c>
      <c r="E439" s="13" t="s">
        <v>1021</v>
      </c>
      <c r="F439" s="13" t="s">
        <v>368</v>
      </c>
      <c r="G439" s="4">
        <v>4.1883941E7</v>
      </c>
      <c r="H439" s="4" t="s">
        <v>906</v>
      </c>
      <c r="I439" s="4"/>
      <c r="J439" s="4" t="s">
        <v>1023</v>
      </c>
      <c r="K439" s="4" t="s">
        <v>3111</v>
      </c>
      <c r="L439" s="15" t="str">
        <f t="shared" si="1"/>
        <v>ok</v>
      </c>
    </row>
    <row r="440" ht="60.0" customHeight="1">
      <c r="A440" s="13" t="s">
        <v>1895</v>
      </c>
      <c r="B440" s="13">
        <v>9.0</v>
      </c>
      <c r="C440" s="13" t="s">
        <v>2635</v>
      </c>
      <c r="D440" s="13" t="s">
        <v>1897</v>
      </c>
      <c r="E440" s="13" t="s">
        <v>1898</v>
      </c>
      <c r="F440" s="13" t="s">
        <v>97</v>
      </c>
      <c r="G440" s="4">
        <v>4.1975697E7</v>
      </c>
      <c r="H440" s="4" t="s">
        <v>694</v>
      </c>
      <c r="I440" s="4"/>
      <c r="J440" s="4"/>
      <c r="K440" s="4" t="s">
        <v>3112</v>
      </c>
      <c r="L440" s="15" t="str">
        <f t="shared" si="1"/>
        <v>ok</v>
      </c>
    </row>
    <row r="441" ht="60.0" customHeight="1">
      <c r="A441" s="13" t="s">
        <v>1949</v>
      </c>
      <c r="B441" s="13">
        <v>9.0</v>
      </c>
      <c r="C441" s="13" t="s">
        <v>2635</v>
      </c>
      <c r="D441" s="13" t="s">
        <v>1951</v>
      </c>
      <c r="E441" s="13" t="s">
        <v>1952</v>
      </c>
      <c r="F441" s="13" t="s">
        <v>368</v>
      </c>
      <c r="G441" s="4">
        <v>4.1994687E7</v>
      </c>
      <c r="H441" s="4" t="s">
        <v>906</v>
      </c>
      <c r="I441" s="4"/>
      <c r="J441" s="4" t="s">
        <v>2144</v>
      </c>
      <c r="K441" s="4" t="s">
        <v>3113</v>
      </c>
      <c r="L441" s="15" t="str">
        <f t="shared" si="1"/>
        <v>ok</v>
      </c>
    </row>
    <row r="442" ht="60.0" customHeight="1">
      <c r="A442" s="13" t="s">
        <v>1955</v>
      </c>
      <c r="B442" s="13">
        <v>9.0</v>
      </c>
      <c r="C442" s="13" t="s">
        <v>2635</v>
      </c>
      <c r="D442" s="13" t="s">
        <v>1957</v>
      </c>
      <c r="E442" s="13" t="s">
        <v>1958</v>
      </c>
      <c r="F442" s="13" t="s">
        <v>97</v>
      </c>
      <c r="G442" s="4">
        <v>4.2056489E7</v>
      </c>
      <c r="H442" s="4" t="s">
        <v>694</v>
      </c>
      <c r="I442" s="4"/>
      <c r="J442" s="4"/>
      <c r="K442" s="4" t="s">
        <v>3114</v>
      </c>
      <c r="L442" s="15" t="str">
        <f t="shared" si="1"/>
        <v>ok</v>
      </c>
    </row>
    <row r="443" ht="60.0" customHeight="1">
      <c r="A443" s="13" t="s">
        <v>1538</v>
      </c>
      <c r="B443" s="13">
        <v>9.0</v>
      </c>
      <c r="C443" s="13" t="s">
        <v>2635</v>
      </c>
      <c r="D443" s="13" t="s">
        <v>1540</v>
      </c>
      <c r="E443" s="13" t="s">
        <v>1541</v>
      </c>
      <c r="F443" s="13" t="s">
        <v>368</v>
      </c>
      <c r="G443" s="4">
        <v>4.2101568E7</v>
      </c>
      <c r="H443" s="4" t="s">
        <v>906</v>
      </c>
      <c r="I443" s="4"/>
      <c r="J443" s="4" t="s">
        <v>1023</v>
      </c>
      <c r="K443" s="4" t="s">
        <v>3115</v>
      </c>
      <c r="L443" s="15" t="str">
        <f t="shared" si="1"/>
        <v>ok</v>
      </c>
    </row>
    <row r="444" ht="60.0" customHeight="1">
      <c r="A444" s="13" t="s">
        <v>1543</v>
      </c>
      <c r="B444" s="13">
        <v>9.0</v>
      </c>
      <c r="C444" s="13" t="s">
        <v>2635</v>
      </c>
      <c r="D444" s="13" t="s">
        <v>1545</v>
      </c>
      <c r="E444" s="13" t="s">
        <v>1546</v>
      </c>
      <c r="F444" s="13" t="s">
        <v>368</v>
      </c>
      <c r="G444" s="4">
        <v>4.214326E7</v>
      </c>
      <c r="H444" s="4" t="s">
        <v>906</v>
      </c>
      <c r="I444" s="4"/>
      <c r="J444" s="4" t="s">
        <v>1522</v>
      </c>
      <c r="K444" s="4" t="s">
        <v>3116</v>
      </c>
      <c r="L444" s="15" t="str">
        <f t="shared" si="1"/>
        <v>ok</v>
      </c>
    </row>
    <row r="445" ht="60.0" customHeight="1">
      <c r="A445" s="13" t="s">
        <v>1548</v>
      </c>
      <c r="B445" s="13">
        <v>9.0</v>
      </c>
      <c r="C445" s="13" t="s">
        <v>2635</v>
      </c>
      <c r="D445" s="13" t="s">
        <v>1550</v>
      </c>
      <c r="E445" s="13" t="s">
        <v>1551</v>
      </c>
      <c r="F445" s="13" t="s">
        <v>368</v>
      </c>
      <c r="G445" s="4">
        <v>4.2181563E7</v>
      </c>
      <c r="H445" s="4" t="s">
        <v>906</v>
      </c>
      <c r="I445" s="4"/>
      <c r="J445" s="4" t="s">
        <v>1522</v>
      </c>
      <c r="K445" s="4" t="s">
        <v>3117</v>
      </c>
      <c r="L445" s="15" t="str">
        <f t="shared" si="1"/>
        <v>ok</v>
      </c>
    </row>
    <row r="446" ht="60.0" customHeight="1">
      <c r="A446" s="13" t="s">
        <v>115</v>
      </c>
      <c r="B446" s="13">
        <v>9.0</v>
      </c>
      <c r="C446" s="13" t="s">
        <v>2635</v>
      </c>
      <c r="D446" s="13" t="s">
        <v>117</v>
      </c>
      <c r="E446" s="13" t="s">
        <v>118</v>
      </c>
      <c r="F446" s="13" t="s">
        <v>97</v>
      </c>
      <c r="G446" s="4">
        <v>4.2302673E7</v>
      </c>
      <c r="H446" s="4" t="s">
        <v>98</v>
      </c>
      <c r="I446" s="4" t="s">
        <v>97</v>
      </c>
      <c r="J446" s="4"/>
      <c r="K446" s="4" t="s">
        <v>3118</v>
      </c>
      <c r="L446" s="15" t="str">
        <f t="shared" si="1"/>
        <v>ok</v>
      </c>
    </row>
    <row r="447" ht="60.0" customHeight="1">
      <c r="A447" s="13" t="s">
        <v>120</v>
      </c>
      <c r="B447" s="13">
        <v>9.0</v>
      </c>
      <c r="C447" s="13" t="s">
        <v>2635</v>
      </c>
      <c r="D447" s="13" t="s">
        <v>122</v>
      </c>
      <c r="E447" s="13" t="s">
        <v>123</v>
      </c>
      <c r="F447" s="13" t="s">
        <v>126</v>
      </c>
      <c r="G447" s="4">
        <v>4.2437037E7</v>
      </c>
      <c r="H447" s="4" t="s">
        <v>98</v>
      </c>
      <c r="I447" s="4" t="s">
        <v>97</v>
      </c>
      <c r="J447" s="4"/>
      <c r="K447" s="4" t="s">
        <v>3119</v>
      </c>
      <c r="L447" s="15" t="str">
        <f t="shared" si="1"/>
        <v>ok</v>
      </c>
    </row>
    <row r="448" ht="60.0" customHeight="1">
      <c r="A448" s="13" t="s">
        <v>1553</v>
      </c>
      <c r="B448" s="13">
        <v>9.0</v>
      </c>
      <c r="C448" s="13" t="s">
        <v>2635</v>
      </c>
      <c r="D448" s="13" t="s">
        <v>1555</v>
      </c>
      <c r="E448" s="13" t="s">
        <v>1556</v>
      </c>
      <c r="F448" s="13" t="s">
        <v>368</v>
      </c>
      <c r="G448" s="4">
        <v>4.2443849E7</v>
      </c>
      <c r="H448" s="4" t="s">
        <v>906</v>
      </c>
      <c r="I448" s="4"/>
      <c r="J448" s="4" t="s">
        <v>1522</v>
      </c>
      <c r="K448" s="4" t="s">
        <v>3120</v>
      </c>
      <c r="L448" s="15" t="str">
        <f t="shared" si="1"/>
        <v>ok</v>
      </c>
    </row>
    <row r="449" ht="60.0" customHeight="1">
      <c r="A449" s="13" t="s">
        <v>1557</v>
      </c>
      <c r="B449" s="13">
        <v>9.0</v>
      </c>
      <c r="C449" s="13" t="s">
        <v>2635</v>
      </c>
      <c r="D449" s="13" t="s">
        <v>1559</v>
      </c>
      <c r="E449" s="13" t="s">
        <v>1560</v>
      </c>
      <c r="F449" s="13" t="s">
        <v>368</v>
      </c>
      <c r="G449" s="4">
        <v>4.2566411E7</v>
      </c>
      <c r="H449" s="4" t="s">
        <v>906</v>
      </c>
      <c r="I449" s="4"/>
      <c r="J449" s="4" t="s">
        <v>1023</v>
      </c>
      <c r="K449" s="4" t="s">
        <v>3121</v>
      </c>
      <c r="L449" s="15" t="str">
        <f t="shared" si="1"/>
        <v>ok</v>
      </c>
    </row>
    <row r="450" ht="60.0" customHeight="1">
      <c r="A450" s="13" t="s">
        <v>128</v>
      </c>
      <c r="B450" s="13">
        <v>9.0</v>
      </c>
      <c r="C450" s="13" t="s">
        <v>2635</v>
      </c>
      <c r="D450" s="13" t="s">
        <v>130</v>
      </c>
      <c r="E450" s="13" t="s">
        <v>131</v>
      </c>
      <c r="F450" s="13" t="s">
        <v>97</v>
      </c>
      <c r="G450" s="4">
        <v>4.2599515E7</v>
      </c>
      <c r="H450" s="4" t="s">
        <v>98</v>
      </c>
      <c r="I450" s="4" t="s">
        <v>97</v>
      </c>
      <c r="J450" s="4"/>
      <c r="K450" s="4" t="s">
        <v>3122</v>
      </c>
      <c r="L450" s="15" t="str">
        <f t="shared" si="1"/>
        <v>ok</v>
      </c>
    </row>
    <row r="451" ht="60.0" customHeight="1">
      <c r="A451" s="13" t="s">
        <v>1960</v>
      </c>
      <c r="B451" s="13">
        <v>9.0</v>
      </c>
      <c r="C451" s="13" t="s">
        <v>2635</v>
      </c>
      <c r="D451" s="13" t="s">
        <v>1962</v>
      </c>
      <c r="E451" s="13" t="s">
        <v>1963</v>
      </c>
      <c r="F451" s="13" t="s">
        <v>97</v>
      </c>
      <c r="G451" s="4">
        <v>4.2605489E7</v>
      </c>
      <c r="H451" s="4" t="s">
        <v>98</v>
      </c>
      <c r="I451" s="4" t="s">
        <v>97</v>
      </c>
      <c r="J451" s="4"/>
      <c r="K451" s="4" t="s">
        <v>3123</v>
      </c>
      <c r="L451" s="15" t="str">
        <f t="shared" si="1"/>
        <v>ok</v>
      </c>
    </row>
    <row r="452" ht="60.0" customHeight="1">
      <c r="A452" s="13" t="s">
        <v>1025</v>
      </c>
      <c r="B452" s="13">
        <v>9.0</v>
      </c>
      <c r="C452" s="13" t="s">
        <v>2635</v>
      </c>
      <c r="D452" s="13" t="s">
        <v>1027</v>
      </c>
      <c r="E452" s="13" t="s">
        <v>1028</v>
      </c>
      <c r="F452" s="13" t="s">
        <v>368</v>
      </c>
      <c r="G452" s="4">
        <v>4.2630859E7</v>
      </c>
      <c r="H452" s="4" t="s">
        <v>906</v>
      </c>
      <c r="I452" s="4"/>
      <c r="J452" s="4" t="s">
        <v>1023</v>
      </c>
      <c r="K452" s="4" t="s">
        <v>3124</v>
      </c>
      <c r="L452" s="15" t="str">
        <f t="shared" si="1"/>
        <v>ok</v>
      </c>
    </row>
    <row r="453" ht="60.0" customHeight="1">
      <c r="A453" s="13" t="s">
        <v>133</v>
      </c>
      <c r="B453" s="13">
        <v>9.0</v>
      </c>
      <c r="C453" s="13" t="s">
        <v>2635</v>
      </c>
      <c r="D453" s="13" t="s">
        <v>135</v>
      </c>
      <c r="E453" s="13" t="s">
        <v>136</v>
      </c>
      <c r="F453" s="13" t="s">
        <v>97</v>
      </c>
      <c r="G453" s="4">
        <v>4.2634104E7</v>
      </c>
      <c r="H453" s="4" t="s">
        <v>906</v>
      </c>
      <c r="I453" s="4"/>
      <c r="J453" s="4" t="s">
        <v>1522</v>
      </c>
      <c r="K453" s="4" t="s">
        <v>3125</v>
      </c>
      <c r="L453" s="15" t="str">
        <f t="shared" si="1"/>
        <v>ok</v>
      </c>
    </row>
    <row r="454" ht="60.0" customHeight="1">
      <c r="A454" s="13" t="s">
        <v>1030</v>
      </c>
      <c r="B454" s="13">
        <v>9.0</v>
      </c>
      <c r="C454" s="13" t="s">
        <v>2635</v>
      </c>
      <c r="D454" s="13" t="s">
        <v>1032</v>
      </c>
      <c r="E454" s="13" t="s">
        <v>1033</v>
      </c>
      <c r="F454" s="13" t="s">
        <v>368</v>
      </c>
      <c r="G454" s="4">
        <v>4.2742533E7</v>
      </c>
      <c r="H454" s="4" t="s">
        <v>906</v>
      </c>
      <c r="I454" s="4"/>
      <c r="J454" s="4" t="s">
        <v>1023</v>
      </c>
      <c r="K454" s="4" t="s">
        <v>3126</v>
      </c>
      <c r="L454" s="15" t="str">
        <f t="shared" si="1"/>
        <v>ok</v>
      </c>
    </row>
    <row r="455" ht="60.0" customHeight="1">
      <c r="A455" s="13" t="s">
        <v>139</v>
      </c>
      <c r="B455" s="13">
        <v>9.0</v>
      </c>
      <c r="C455" s="13" t="s">
        <v>2635</v>
      </c>
      <c r="D455" s="13" t="s">
        <v>141</v>
      </c>
      <c r="E455" s="13" t="s">
        <v>142</v>
      </c>
      <c r="F455" s="13" t="s">
        <v>97</v>
      </c>
      <c r="G455" s="4">
        <v>4.2746679E7</v>
      </c>
      <c r="H455" s="4" t="s">
        <v>98</v>
      </c>
      <c r="I455" s="4" t="s">
        <v>97</v>
      </c>
      <c r="J455" s="4"/>
      <c r="K455" s="4" t="s">
        <v>3127</v>
      </c>
      <c r="L455" s="15" t="str">
        <f t="shared" si="1"/>
        <v>ok</v>
      </c>
    </row>
    <row r="456" ht="60.0" customHeight="1">
      <c r="A456" s="13" t="s">
        <v>146</v>
      </c>
      <c r="B456" s="13">
        <v>9.0</v>
      </c>
      <c r="C456" s="13" t="s">
        <v>2635</v>
      </c>
      <c r="D456" s="13" t="s">
        <v>148</v>
      </c>
      <c r="E456" s="13" t="s">
        <v>149</v>
      </c>
      <c r="F456" s="13" t="s">
        <v>97</v>
      </c>
      <c r="G456" s="4">
        <v>4.2764676E7</v>
      </c>
      <c r="H456" s="4" t="s">
        <v>98</v>
      </c>
      <c r="I456" s="4" t="s">
        <v>97</v>
      </c>
      <c r="J456" s="4"/>
      <c r="K456" s="4" t="s">
        <v>3128</v>
      </c>
      <c r="L456" s="15" t="str">
        <f t="shared" si="1"/>
        <v>ok</v>
      </c>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6:$L$456"/>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0.0"/>
    <col customWidth="1" min="2" max="2" width="4.71"/>
    <col customWidth="1" min="3" max="3" width="5.71"/>
    <col customWidth="1" min="4" max="4" width="31.71"/>
    <col customWidth="1" min="5" max="5" width="80.14"/>
    <col customWidth="1" min="6" max="6" width="7.86"/>
    <col customWidth="1" min="7" max="8" width="10.0"/>
    <col customWidth="1" min="9" max="9" width="12.0"/>
    <col customWidth="1" min="10" max="10" width="14.0"/>
    <col customWidth="1" min="11" max="13" width="10.0"/>
    <col customWidth="1" min="14" max="14" width="35.0"/>
    <col customWidth="1" min="15" max="15" width="12.0"/>
    <col customWidth="1" min="16" max="17" width="10.0"/>
  </cols>
  <sheetData>
    <row r="1" ht="45.75" customHeight="1">
      <c r="A1" s="6" t="s">
        <v>76</v>
      </c>
      <c r="B1" s="6" t="s">
        <v>3129</v>
      </c>
      <c r="C1" s="6" t="s">
        <v>77</v>
      </c>
      <c r="D1" s="6" t="s">
        <v>79</v>
      </c>
      <c r="E1" s="6" t="s">
        <v>80</v>
      </c>
      <c r="F1" s="6" t="s">
        <v>3130</v>
      </c>
      <c r="G1" s="6" t="s">
        <v>3131</v>
      </c>
      <c r="H1" s="6" t="s">
        <v>3132</v>
      </c>
      <c r="I1" s="6" t="s">
        <v>3133</v>
      </c>
      <c r="J1" s="6" t="s">
        <v>3134</v>
      </c>
      <c r="K1" s="6" t="s">
        <v>3135</v>
      </c>
      <c r="L1" s="6" t="s">
        <v>3136</v>
      </c>
      <c r="M1" s="6" t="s">
        <v>3137</v>
      </c>
      <c r="N1" s="6" t="s">
        <v>3138</v>
      </c>
      <c r="O1" s="6" t="s">
        <v>3139</v>
      </c>
      <c r="P1" s="6" t="s">
        <v>3140</v>
      </c>
      <c r="Q1" s="6" t="s">
        <v>3141</v>
      </c>
    </row>
    <row r="2" ht="15.75" customHeight="1">
      <c r="A2" s="2" t="s">
        <v>2074</v>
      </c>
      <c r="B2" s="19" t="str">
        <f t="array" ref="B2">INDEX(Triagem!$N$2:$N451 , MATCH(A2,Triagem!$A$2:$A451,0))</f>
        <v>abrir</v>
      </c>
      <c r="C2" s="20">
        <f t="array" ref="C2">INDEX(Triagem!$B$2:$B451 , MATCH(A2,Triagem!$A$2:$A451,0))</f>
        <v>2000</v>
      </c>
      <c r="D2" s="2" t="s">
        <v>2076</v>
      </c>
      <c r="E2" s="2" t="s">
        <v>2077</v>
      </c>
      <c r="F2" s="2" t="str">
        <f t="array" ref="F2">IFERROR(INDEX(Triagem!$I$2:$I$451,MATCH($A2,Triagem!$A$2:$A$451,0))&amp;"","")</f>
        <v>Excluir</v>
      </c>
      <c r="G2" s="2" t="str">
        <f t="array" ref="G2">IFERROR(INDEX('Revisão_Gemini'!$H$7:$H$456,MATCH($A2,'Revisão_Gemini'!$A$7:$A$456,0))&amp;"","")</f>
        <v>Excluir</v>
      </c>
      <c r="H2" s="2" t="str">
        <f t="array" ref="H2">IFERROR(INDEX('Revisão_ChatGPT'!$H$7:$H$456,MATCH($A2,'Revisão_ChatGPT'!$A$7:$A$456,0))&amp;"","")</f>
        <v>Apoio</v>
      </c>
      <c r="I2" s="2" t="str">
        <f t="shared" ref="I2:I451" si="1">IF(OR(G2="",H2=""),"aguardando",IF(AND(F2=G2,F2=H2),"3/3",IF(OR(F2=G2,F2=H2,G2=H2),"2/3","divergente")))</f>
        <v>2/3</v>
      </c>
      <c r="J2" s="21" t="s">
        <v>906</v>
      </c>
      <c r="K2" s="21"/>
      <c r="L2" s="21"/>
      <c r="M2" s="22" t="b">
        <f t="shared" ref="M2:M451" si="2">IF(C2 &lt; 2024, FALSE() , TRUE())</f>
        <v>0</v>
      </c>
      <c r="N2" s="21"/>
      <c r="O2" s="2" t="str">
        <f t="shared" ref="O2:O451" si="3">IF(M2=FALSE(),"Fora do recorte anual + "&amp;(IF(J2&lt;&gt;"",J2,IF(I2="3/3",F2,"PENDENTE"))), IF(J2&lt;&gt;"",J2,IF(I2="3/3",F2,"PENDENTE")))</f>
        <v>Fora do recorte anual + Excluir</v>
      </c>
      <c r="P2" s="2" t="str">
        <f t="array" ref="P2">IF(O2&lt;&gt;"Incluir","",IF(K2&lt;&gt;"",K2,IF(IFERROR(INDEX(Triagem!$J$2:$J$451,MATCH($A2,Triagem!$A$2:$A$451,0))&amp;"","")&lt;&gt;"",IFERROR(INDEX(Triagem!$J$2:$J$451,MATCH($A2,Triagem!$A$2:$A$451,0))&amp;"",""),IF(IFERROR(INDEX('Revisão_Gemini'!$I$7:$I$456,MATCH($A2,'Revisão_Gemini'!$A$7:$A$456,0))&amp;"","")&lt;&gt;"",IFERROR(INDEX('Revisão_Gemini'!$I$7:$I$456,MATCH($A2,'Revisão_Gemini'!$A$7:$A$456,0))&amp;"",""),IFERROR(INDEX('Revisão_ChatGPT'!$I$7:$I$456,MATCH($A2,'Revisão_ChatGPT'!$A$7:$A$456,0))&amp;"","")))))</f>
        <v/>
      </c>
      <c r="Q2" s="2" t="str">
        <f t="array" ref="Q2">IF(O2&lt;&gt;"Excluir","",IF(L2&lt;&gt;"",L2,IF(F2="Excluir",IFERROR(INDEX(Triagem!$K$2:$K$451,MATCH($A2,Triagem!$A$2:$A$451,0))&amp;"",""),IF(G2="Excluir",IFERROR(INDEX('Revisão_Gemini'!$J$7:$J$456,MATCH($A2,'Revisão_Gemini'!$A$7:$A$456,0))&amp;"",""),IFERROR(INDEX('Revisão_ChatGPT'!$J$7:$J$456,MATCH($A2,'Revisão_ChatGPT'!$A$7:$A$456,0))&amp;"","")))))</f>
        <v/>
      </c>
    </row>
    <row r="3" ht="15.75" customHeight="1">
      <c r="A3" s="2" t="s">
        <v>1013</v>
      </c>
      <c r="B3" s="19" t="str">
        <f t="array" ref="B3">INDEX(Triagem!$N$2:$N451 , MATCH(A3,Triagem!$A$2:$A451,0))</f>
        <v>abrir</v>
      </c>
      <c r="C3" s="20">
        <f t="array" ref="C3">INDEX(Triagem!$B$2:$B451 , MATCH(A3,Triagem!$A$2:$A451,0))</f>
        <v>2000</v>
      </c>
      <c r="D3" s="2" t="s">
        <v>1015</v>
      </c>
      <c r="E3" s="2" t="s">
        <v>1016</v>
      </c>
      <c r="F3" s="2" t="str">
        <f t="array" ref="F3">IFERROR(INDEX(Triagem!$I$2:$I$451,MATCH($A3,Triagem!$A$2:$A$451,0))&amp;"","")</f>
        <v>Excluir</v>
      </c>
      <c r="G3" s="2" t="str">
        <f t="array" ref="G3">IFERROR(INDEX('Revisão_Gemini'!$H$7:$H$456,MATCH($A3,'Revisão_Gemini'!$A$7:$A$456,0))&amp;"","")</f>
        <v>Excluir</v>
      </c>
      <c r="H3" s="2" t="str">
        <f t="array" ref="H3">IFERROR(INDEX('Revisão_ChatGPT'!$H$7:$H$456,MATCH($A3,'Revisão_ChatGPT'!$A$7:$A$456,0))&amp;"","")</f>
        <v>Excluir</v>
      </c>
      <c r="I3" s="2" t="str">
        <f t="shared" si="1"/>
        <v>3/3</v>
      </c>
      <c r="J3" s="21" t="s">
        <v>906</v>
      </c>
      <c r="K3" s="21"/>
      <c r="L3" s="21"/>
      <c r="M3" s="22" t="b">
        <f t="shared" si="2"/>
        <v>0</v>
      </c>
      <c r="N3" s="21"/>
      <c r="O3" s="2" t="str">
        <f t="shared" si="3"/>
        <v>Fora do recorte anual + Excluir</v>
      </c>
      <c r="P3" s="2" t="str">
        <f t="array" ref="P3">IF(O3&lt;&gt;"Incluir","",IF(K3&lt;&gt;"",K3,IF(IFERROR(INDEX(Triagem!$J$2:$J$451,MATCH($A3,Triagem!$A$2:$A$451,0))&amp;"","")&lt;&gt;"",IFERROR(INDEX(Triagem!$J$2:$J$451,MATCH($A3,Triagem!$A$2:$A$451,0))&amp;"",""),IF(IFERROR(INDEX('Revisão_Gemini'!$I$7:$I$456,MATCH($A3,'Revisão_Gemini'!$A$7:$A$456,0))&amp;"","")&lt;&gt;"",IFERROR(INDEX('Revisão_Gemini'!$I$7:$I$456,MATCH($A3,'Revisão_Gemini'!$A$7:$A$456,0))&amp;"",""),IFERROR(INDEX('Revisão_ChatGPT'!$I$7:$I$456,MATCH($A3,'Revisão_ChatGPT'!$A$7:$A$456,0))&amp;"","")))))</f>
        <v/>
      </c>
      <c r="Q3" s="2" t="str">
        <f t="array" ref="Q3">IF(O3&lt;&gt;"Excluir","",IF(L3&lt;&gt;"",L3,IF(F3="Excluir",IFERROR(INDEX(Triagem!$K$2:$K$451,MATCH($A3,Triagem!$A$2:$A$451,0))&amp;"",""),IF(G3="Excluir",IFERROR(INDEX('Revisão_Gemini'!$J$7:$J$456,MATCH($A3,'Revisão_Gemini'!$A$7:$A$456,0))&amp;"",""),IFERROR(INDEX('Revisão_ChatGPT'!$J$7:$J$456,MATCH($A3,'Revisão_ChatGPT'!$A$7:$A$456,0))&amp;"","")))))</f>
        <v/>
      </c>
    </row>
    <row r="4" ht="15.75" customHeight="1">
      <c r="A4" s="2" t="s">
        <v>1508</v>
      </c>
      <c r="B4" s="19" t="str">
        <f t="array" ref="B4">INDEX(Triagem!$N$2:$N451 , MATCH(A4,Triagem!$A$2:$A451,0))</f>
        <v>abrir</v>
      </c>
      <c r="C4" s="20">
        <f t="array" ref="C4">INDEX(Triagem!$B$2:$B451 , MATCH(A4,Triagem!$A$2:$A451,0))</f>
        <v>2000</v>
      </c>
      <c r="D4" s="2" t="s">
        <v>1510</v>
      </c>
      <c r="E4" s="2" t="s">
        <v>1511</v>
      </c>
      <c r="F4" s="2" t="str">
        <f t="array" ref="F4">IFERROR(INDEX(Triagem!$I$2:$I$451,MATCH($A4,Triagem!$A$2:$A$451,0))&amp;"","")</f>
        <v>Excluir</v>
      </c>
      <c r="G4" s="2" t="str">
        <f t="array" ref="G4">IFERROR(INDEX('Revisão_Gemini'!$H$7:$H$456,MATCH($A4,'Revisão_Gemini'!$A$7:$A$456,0))&amp;"","")</f>
        <v>Excluir</v>
      </c>
      <c r="H4" s="2" t="str">
        <f t="array" ref="H4">IFERROR(INDEX('Revisão_ChatGPT'!$H$7:$H$456,MATCH($A4,'Revisão_ChatGPT'!$A$7:$A$456,0))&amp;"","")</f>
        <v>Excluir</v>
      </c>
      <c r="I4" s="2" t="str">
        <f t="shared" si="1"/>
        <v>3/3</v>
      </c>
      <c r="J4" s="21" t="s">
        <v>906</v>
      </c>
      <c r="K4" s="21"/>
      <c r="L4" s="21"/>
      <c r="M4" s="22" t="b">
        <f t="shared" si="2"/>
        <v>0</v>
      </c>
      <c r="N4" s="21"/>
      <c r="O4" s="2" t="str">
        <f t="shared" si="3"/>
        <v>Fora do recorte anual + Excluir</v>
      </c>
      <c r="P4" s="2" t="str">
        <f t="array" ref="P4">IF(O4&lt;&gt;"Incluir","",IF(K4&lt;&gt;"",K4,IF(IFERROR(INDEX(Triagem!$J$2:$J$451,MATCH($A4,Triagem!$A$2:$A$451,0))&amp;"","")&lt;&gt;"",IFERROR(INDEX(Triagem!$J$2:$J$451,MATCH($A4,Triagem!$A$2:$A$451,0))&amp;"",""),IF(IFERROR(INDEX('Revisão_Gemini'!$I$7:$I$456,MATCH($A4,'Revisão_Gemini'!$A$7:$A$456,0))&amp;"","")&lt;&gt;"",IFERROR(INDEX('Revisão_Gemini'!$I$7:$I$456,MATCH($A4,'Revisão_Gemini'!$A$7:$A$456,0))&amp;"",""),IFERROR(INDEX('Revisão_ChatGPT'!$I$7:$I$456,MATCH($A4,'Revisão_ChatGPT'!$A$7:$A$456,0))&amp;"","")))))</f>
        <v/>
      </c>
      <c r="Q4" s="2" t="str">
        <f t="array" ref="Q4">IF(O4&lt;&gt;"Excluir","",IF(L4&lt;&gt;"",L4,IF(F4="Excluir",IFERROR(INDEX(Triagem!$K$2:$K$451,MATCH($A4,Triagem!$A$2:$A$451,0))&amp;"",""),IF(G4="Excluir",IFERROR(INDEX('Revisão_Gemini'!$J$7:$J$456,MATCH($A4,'Revisão_Gemini'!$A$7:$A$456,0))&amp;"",""),IFERROR(INDEX('Revisão_ChatGPT'!$J$7:$J$456,MATCH($A4,'Revisão_ChatGPT'!$A$7:$A$456,0))&amp;"","")))))</f>
        <v/>
      </c>
    </row>
    <row r="5" ht="15.75" customHeight="1">
      <c r="A5" s="2" t="s">
        <v>1513</v>
      </c>
      <c r="B5" s="19" t="str">
        <f t="array" ref="B5">INDEX(Triagem!$N$2:$N451 , MATCH(A5,Triagem!$A$2:$A451,0))</f>
        <v>abrir</v>
      </c>
      <c r="C5" s="20">
        <f t="array" ref="C5">INDEX(Triagem!$B$2:$B451 , MATCH(A5,Triagem!$A$2:$A451,0))</f>
        <v>2000</v>
      </c>
      <c r="D5" s="2" t="s">
        <v>1515</v>
      </c>
      <c r="E5" s="2" t="s">
        <v>1516</v>
      </c>
      <c r="F5" s="2" t="str">
        <f t="array" ref="F5">IFERROR(INDEX(Triagem!$I$2:$I$451,MATCH($A5,Triagem!$A$2:$A$451,0))&amp;"","")</f>
        <v>Excluir</v>
      </c>
      <c r="G5" s="2" t="str">
        <f t="array" ref="G5">IFERROR(INDEX('Revisão_Gemini'!$H$7:$H$456,MATCH($A5,'Revisão_Gemini'!$A$7:$A$456,0))&amp;"","")</f>
        <v>Excluir</v>
      </c>
      <c r="H5" s="2" t="str">
        <f t="array" ref="H5">IFERROR(INDEX('Revisão_ChatGPT'!$H$7:$H$456,MATCH($A5,'Revisão_ChatGPT'!$A$7:$A$456,0))&amp;"","")</f>
        <v>Excluir</v>
      </c>
      <c r="I5" s="2" t="str">
        <f t="shared" si="1"/>
        <v>3/3</v>
      </c>
      <c r="J5" s="21" t="s">
        <v>906</v>
      </c>
      <c r="K5" s="21"/>
      <c r="L5" s="21"/>
      <c r="M5" s="22" t="b">
        <f t="shared" si="2"/>
        <v>0</v>
      </c>
      <c r="N5" s="21" t="s">
        <v>3142</v>
      </c>
      <c r="O5" s="2" t="str">
        <f t="shared" si="3"/>
        <v>Fora do recorte anual + Excluir</v>
      </c>
      <c r="P5" s="2" t="str">
        <f t="array" ref="P5">IF(O5&lt;&gt;"Incluir","",IF(K5&lt;&gt;"",K5,IF(IFERROR(INDEX(Triagem!$J$2:$J$451,MATCH($A5,Triagem!$A$2:$A$451,0))&amp;"","")&lt;&gt;"",IFERROR(INDEX(Triagem!$J$2:$J$451,MATCH($A5,Triagem!$A$2:$A$451,0))&amp;"",""),IF(IFERROR(INDEX('Revisão_Gemini'!$I$7:$I$456,MATCH($A5,'Revisão_Gemini'!$A$7:$A$456,0))&amp;"","")&lt;&gt;"",IFERROR(INDEX('Revisão_Gemini'!$I$7:$I$456,MATCH($A5,'Revisão_Gemini'!$A$7:$A$456,0))&amp;"",""),IFERROR(INDEX('Revisão_ChatGPT'!$I$7:$I$456,MATCH($A5,'Revisão_ChatGPT'!$A$7:$A$456,0))&amp;"","")))))</f>
        <v/>
      </c>
      <c r="Q5" s="2" t="str">
        <f t="array" ref="Q5">IF(O5&lt;&gt;"Excluir","",IF(L5&lt;&gt;"",L5,IF(F5="Excluir",IFERROR(INDEX(Triagem!$K$2:$K$451,MATCH($A5,Triagem!$A$2:$A$451,0))&amp;"",""),IF(G5="Excluir",IFERROR(INDEX('Revisão_Gemini'!$J$7:$J$456,MATCH($A5,'Revisão_Gemini'!$A$7:$A$456,0))&amp;"",""),IFERROR(INDEX('Revisão_ChatGPT'!$J$7:$J$456,MATCH($A5,'Revisão_ChatGPT'!$A$7:$A$456,0))&amp;"","")))))</f>
        <v/>
      </c>
    </row>
    <row r="6" ht="15.75" customHeight="1">
      <c r="A6" s="2" t="s">
        <v>1890</v>
      </c>
      <c r="B6" s="19" t="str">
        <f t="array" ref="B6">INDEX(Triagem!$N$2:$N451 , MATCH(A6,Triagem!$A$2:$A451,0))</f>
        <v>abrir</v>
      </c>
      <c r="C6" s="20">
        <f t="array" ref="C6">INDEX(Triagem!$B$2:$B451 , MATCH(A6,Triagem!$A$2:$A451,0))</f>
        <v>2000</v>
      </c>
      <c r="D6" s="2" t="s">
        <v>1892</v>
      </c>
      <c r="E6" s="2" t="s">
        <v>1893</v>
      </c>
      <c r="F6" s="2" t="str">
        <f t="array" ref="F6">IFERROR(INDEX(Triagem!$I$2:$I$451,MATCH($A6,Triagem!$A$2:$A$451,0))&amp;"","")</f>
        <v>Excluir</v>
      </c>
      <c r="G6" s="2" t="str">
        <f t="array" ref="G6">IFERROR(INDEX('Revisão_Gemini'!$H$7:$H$456,MATCH($A6,'Revisão_Gemini'!$A$7:$A$456,0))&amp;"","")</f>
        <v>Excluir</v>
      </c>
      <c r="H6" s="2" t="str">
        <f t="array" ref="H6">IFERROR(INDEX('Revisão_ChatGPT'!$H$7:$H$456,MATCH($A6,'Revisão_ChatGPT'!$A$7:$A$456,0))&amp;"","")</f>
        <v>Excluir</v>
      </c>
      <c r="I6" s="2" t="str">
        <f t="shared" si="1"/>
        <v>3/3</v>
      </c>
      <c r="J6" s="21" t="s">
        <v>906</v>
      </c>
      <c r="K6" s="21"/>
      <c r="L6" s="21"/>
      <c r="M6" s="22" t="b">
        <f t="shared" si="2"/>
        <v>0</v>
      </c>
      <c r="N6" s="21" t="s">
        <v>3143</v>
      </c>
      <c r="O6" s="2" t="str">
        <f t="shared" si="3"/>
        <v>Fora do recorte anual + Excluir</v>
      </c>
      <c r="P6" s="2" t="str">
        <f t="array" ref="P6">IF(O6&lt;&gt;"Incluir","",IF(K6&lt;&gt;"",K6,IF(IFERROR(INDEX(Triagem!$J$2:$J$451,MATCH($A6,Triagem!$A$2:$A$451,0))&amp;"","")&lt;&gt;"",IFERROR(INDEX(Triagem!$J$2:$J$451,MATCH($A6,Triagem!$A$2:$A$451,0))&amp;"",""),IF(IFERROR(INDEX('Revisão_Gemini'!$I$7:$I$456,MATCH($A6,'Revisão_Gemini'!$A$7:$A$456,0))&amp;"","")&lt;&gt;"",IFERROR(INDEX('Revisão_Gemini'!$I$7:$I$456,MATCH($A6,'Revisão_Gemini'!$A$7:$A$456,0))&amp;"",""),IFERROR(INDEX('Revisão_ChatGPT'!$I$7:$I$456,MATCH($A6,'Revisão_ChatGPT'!$A$7:$A$456,0))&amp;"","")))))</f>
        <v/>
      </c>
      <c r="Q6" s="2" t="str">
        <f t="array" ref="Q6">IF(O6&lt;&gt;"Excluir","",IF(L6&lt;&gt;"",L6,IF(F6="Excluir",IFERROR(INDEX(Triagem!$K$2:$K$451,MATCH($A6,Triagem!$A$2:$A$451,0))&amp;"",""),IF(G6="Excluir",IFERROR(INDEX('Revisão_Gemini'!$J$7:$J$456,MATCH($A6,'Revisão_Gemini'!$A$7:$A$456,0))&amp;"",""),IFERROR(INDEX('Revisão_ChatGPT'!$J$7:$J$456,MATCH($A6,'Revisão_ChatGPT'!$A$7:$A$456,0))&amp;"","")))))</f>
        <v/>
      </c>
    </row>
    <row r="7" ht="15.75" customHeight="1">
      <c r="A7" s="2" t="s">
        <v>2070</v>
      </c>
      <c r="B7" s="19" t="str">
        <f t="array" ref="B7">INDEX(Triagem!$N$2:$N451 , MATCH(A7,Triagem!$A$2:$A451,0))</f>
        <v>abrir</v>
      </c>
      <c r="C7" s="20">
        <f t="array" ref="C7">INDEX(Triagem!$B$2:$B451 , MATCH(A7,Triagem!$A$2:$A451,0))</f>
        <v>2001</v>
      </c>
      <c r="D7" s="2" t="s">
        <v>2072</v>
      </c>
      <c r="E7" s="2" t="s">
        <v>2073</v>
      </c>
      <c r="F7" s="2" t="str">
        <f t="array" ref="F7">IFERROR(INDEX(Triagem!$I$2:$I$451,MATCH($A7,Triagem!$A$2:$A$451,0))&amp;"","")</f>
        <v>Excluir</v>
      </c>
      <c r="G7" s="2" t="str">
        <f t="array" ref="G7">IFERROR(INDEX('Revisão_Gemini'!$H$7:$H$456,MATCH($A7,'Revisão_Gemini'!$A$7:$A$456,0))&amp;"","")</f>
        <v>Excluir</v>
      </c>
      <c r="H7" s="2" t="str">
        <f t="array" ref="H7">IFERROR(INDEX('Revisão_ChatGPT'!$H$7:$H$456,MATCH($A7,'Revisão_ChatGPT'!$A$7:$A$456,0))&amp;"","")</f>
        <v>Apoio</v>
      </c>
      <c r="I7" s="2" t="str">
        <f t="shared" si="1"/>
        <v>2/3</v>
      </c>
      <c r="J7" s="21" t="s">
        <v>906</v>
      </c>
      <c r="K7" s="21"/>
      <c r="L7" s="21"/>
      <c r="M7" s="22" t="b">
        <f t="shared" si="2"/>
        <v>0</v>
      </c>
      <c r="N7" s="21"/>
      <c r="O7" s="2" t="str">
        <f t="shared" si="3"/>
        <v>Fora do recorte anual + Excluir</v>
      </c>
      <c r="P7" s="2" t="str">
        <f t="array" ref="P7">IF(O7&lt;&gt;"Incluir","",IF(K7&lt;&gt;"",K7,IF(IFERROR(INDEX(Triagem!$J$2:$J$451,MATCH($A7,Triagem!$A$2:$A$451,0))&amp;"","")&lt;&gt;"",IFERROR(INDEX(Triagem!$J$2:$J$451,MATCH($A7,Triagem!$A$2:$A$451,0))&amp;"",""),IF(IFERROR(INDEX('Revisão_Gemini'!$I$7:$I$456,MATCH($A7,'Revisão_Gemini'!$A$7:$A$456,0))&amp;"","")&lt;&gt;"",IFERROR(INDEX('Revisão_Gemini'!$I$7:$I$456,MATCH($A7,'Revisão_Gemini'!$A$7:$A$456,0))&amp;"",""),IFERROR(INDEX('Revisão_ChatGPT'!$I$7:$I$456,MATCH($A7,'Revisão_ChatGPT'!$A$7:$A$456,0))&amp;"","")))))</f>
        <v/>
      </c>
      <c r="Q7" s="2" t="str">
        <f t="array" ref="Q7">IF(O7&lt;&gt;"Excluir","",IF(L7&lt;&gt;"",L7,IF(F7="Excluir",IFERROR(INDEX(Triagem!$K$2:$K$451,MATCH($A7,Triagem!$A$2:$A$451,0))&amp;"",""),IF(G7="Excluir",IFERROR(INDEX('Revisão_Gemini'!$J$7:$J$456,MATCH($A7,'Revisão_Gemini'!$A$7:$A$456,0))&amp;"",""),IFERROR(INDEX('Revisão_ChatGPT'!$J$7:$J$456,MATCH($A7,'Revisão_ChatGPT'!$A$7:$A$456,0))&amp;"","")))))</f>
        <v/>
      </c>
    </row>
    <row r="8" ht="15.75" customHeight="1">
      <c r="A8" s="2" t="s">
        <v>1879</v>
      </c>
      <c r="B8" s="19" t="str">
        <f t="array" ref="B8">INDEX(Triagem!$N$2:$N451 , MATCH(A8,Triagem!$A$2:$A451,0))</f>
        <v>abrir</v>
      </c>
      <c r="C8" s="20">
        <f t="array" ref="C8">INDEX(Triagem!$B$2:$B451 , MATCH(A8,Triagem!$A$2:$A451,0))</f>
        <v>2001</v>
      </c>
      <c r="D8" s="2" t="s">
        <v>1881</v>
      </c>
      <c r="E8" s="2" t="s">
        <v>1882</v>
      </c>
      <c r="F8" s="2" t="str">
        <f t="array" ref="F8">IFERROR(INDEX(Triagem!$I$2:$I$451,MATCH($A8,Triagem!$A$2:$A$451,0))&amp;"","")</f>
        <v>Excluir</v>
      </c>
      <c r="G8" s="2" t="str">
        <f t="array" ref="G8">IFERROR(INDEX('Revisão_Gemini'!$H$7:$H$456,MATCH($A8,'Revisão_Gemini'!$A$7:$A$456,0))&amp;"","")</f>
        <v>Excluir</v>
      </c>
      <c r="H8" s="2" t="str">
        <f t="array" ref="H8">IFERROR(INDEX('Revisão_ChatGPT'!$H$7:$H$456,MATCH($A8,'Revisão_ChatGPT'!$A$7:$A$456,0))&amp;"","")</f>
        <v>Excluir</v>
      </c>
      <c r="I8" s="2" t="str">
        <f t="shared" si="1"/>
        <v>3/3</v>
      </c>
      <c r="J8" s="21" t="s">
        <v>906</v>
      </c>
      <c r="K8" s="21"/>
      <c r="L8" s="21"/>
      <c r="M8" s="22" t="b">
        <f t="shared" si="2"/>
        <v>0</v>
      </c>
      <c r="N8" s="21" t="s">
        <v>3144</v>
      </c>
      <c r="O8" s="2" t="str">
        <f t="shared" si="3"/>
        <v>Fora do recorte anual + Excluir</v>
      </c>
      <c r="P8" s="2" t="str">
        <f t="array" ref="P8">IF(O8&lt;&gt;"Incluir","",IF(K8&lt;&gt;"",K8,IF(IFERROR(INDEX(Triagem!$J$2:$J$451,MATCH($A8,Triagem!$A$2:$A$451,0))&amp;"","")&lt;&gt;"",IFERROR(INDEX(Triagem!$J$2:$J$451,MATCH($A8,Triagem!$A$2:$A$451,0))&amp;"",""),IF(IFERROR(INDEX('Revisão_Gemini'!$I$7:$I$456,MATCH($A8,'Revisão_Gemini'!$A$7:$A$456,0))&amp;"","")&lt;&gt;"",IFERROR(INDEX('Revisão_Gemini'!$I$7:$I$456,MATCH($A8,'Revisão_Gemini'!$A$7:$A$456,0))&amp;"",""),IFERROR(INDEX('Revisão_ChatGPT'!$I$7:$I$456,MATCH($A8,'Revisão_ChatGPT'!$A$7:$A$456,0))&amp;"","")))))</f>
        <v/>
      </c>
      <c r="Q8" s="2" t="str">
        <f t="array" ref="Q8">IF(O8&lt;&gt;"Excluir","",IF(L8&lt;&gt;"",L8,IF(F8="Excluir",IFERROR(INDEX(Triagem!$K$2:$K$451,MATCH($A8,Triagem!$A$2:$A$451,0))&amp;"",""),IF(G8="Excluir",IFERROR(INDEX('Revisão_Gemini'!$J$7:$J$456,MATCH($A8,'Revisão_Gemini'!$A$7:$A$456,0))&amp;"",""),IFERROR(INDEX('Revisão_ChatGPT'!$J$7:$J$456,MATCH($A8,'Revisão_ChatGPT'!$A$7:$A$456,0))&amp;"","")))))</f>
        <v/>
      </c>
    </row>
    <row r="9" ht="15.75" customHeight="1">
      <c r="A9" s="2" t="s">
        <v>1490</v>
      </c>
      <c r="B9" s="19" t="str">
        <f t="array" ref="B9">INDEX(Triagem!$N$2:$N451 , MATCH(A9,Triagem!$A$2:$A451,0))</f>
        <v>abrir</v>
      </c>
      <c r="C9" s="20">
        <f t="array" ref="C9">INDEX(Triagem!$B$2:$B451 , MATCH(A9,Triagem!$A$2:$A451,0))</f>
        <v>2001</v>
      </c>
      <c r="D9" s="2" t="s">
        <v>1492</v>
      </c>
      <c r="E9" s="2" t="s">
        <v>1493</v>
      </c>
      <c r="F9" s="2" t="str">
        <f t="array" ref="F9">IFERROR(INDEX(Triagem!$I$2:$I$451,MATCH($A9,Triagem!$A$2:$A$451,0))&amp;"","")</f>
        <v>Excluir</v>
      </c>
      <c r="G9" s="2" t="str">
        <f t="array" ref="G9">IFERROR(INDEX('Revisão_Gemini'!$H$7:$H$456,MATCH($A9,'Revisão_Gemini'!$A$7:$A$456,0))&amp;"","")</f>
        <v>Excluir</v>
      </c>
      <c r="H9" s="2" t="str">
        <f t="array" ref="H9">IFERROR(INDEX('Revisão_ChatGPT'!$H$7:$H$456,MATCH($A9,'Revisão_ChatGPT'!$A$7:$A$456,0))&amp;"","")</f>
        <v>Excluir</v>
      </c>
      <c r="I9" s="2" t="str">
        <f t="shared" si="1"/>
        <v>3/3</v>
      </c>
      <c r="J9" s="21" t="s">
        <v>906</v>
      </c>
      <c r="K9" s="21"/>
      <c r="L9" s="21"/>
      <c r="M9" s="22" t="b">
        <f t="shared" si="2"/>
        <v>0</v>
      </c>
      <c r="N9" s="21" t="s">
        <v>3145</v>
      </c>
      <c r="O9" s="2" t="str">
        <f t="shared" si="3"/>
        <v>Fora do recorte anual + Excluir</v>
      </c>
      <c r="P9" s="2" t="str">
        <f t="array" ref="P9">IF(O9&lt;&gt;"Incluir","",IF(K9&lt;&gt;"",K9,IF(IFERROR(INDEX(Triagem!$J$2:$J$451,MATCH($A9,Triagem!$A$2:$A$451,0))&amp;"","")&lt;&gt;"",IFERROR(INDEX(Triagem!$J$2:$J$451,MATCH($A9,Triagem!$A$2:$A$451,0))&amp;"",""),IF(IFERROR(INDEX('Revisão_Gemini'!$I$7:$I$456,MATCH($A9,'Revisão_Gemini'!$A$7:$A$456,0))&amp;"","")&lt;&gt;"",IFERROR(INDEX('Revisão_Gemini'!$I$7:$I$456,MATCH($A9,'Revisão_Gemini'!$A$7:$A$456,0))&amp;"",""),IFERROR(INDEX('Revisão_ChatGPT'!$I$7:$I$456,MATCH($A9,'Revisão_ChatGPT'!$A$7:$A$456,0))&amp;"","")))))</f>
        <v/>
      </c>
      <c r="Q9" s="2" t="str">
        <f t="array" ref="Q9">IF(O9&lt;&gt;"Excluir","",IF(L9&lt;&gt;"",L9,IF(F9="Excluir",IFERROR(INDEX(Triagem!$K$2:$K$451,MATCH($A9,Triagem!$A$2:$A$451,0))&amp;"",""),IF(G9="Excluir",IFERROR(INDEX('Revisão_Gemini'!$J$7:$J$456,MATCH($A9,'Revisão_Gemini'!$A$7:$A$456,0))&amp;"",""),IFERROR(INDEX('Revisão_ChatGPT'!$J$7:$J$456,MATCH($A9,'Revisão_ChatGPT'!$A$7:$A$456,0))&amp;"","")))))</f>
        <v/>
      </c>
    </row>
    <row r="10" ht="15.75" customHeight="1">
      <c r="A10" s="2" t="s">
        <v>1495</v>
      </c>
      <c r="B10" s="19" t="str">
        <f t="array" ref="B10">INDEX(Triagem!$N$2:$N451 , MATCH(A10,Triagem!$A$2:$A451,0))</f>
        <v>abrir</v>
      </c>
      <c r="C10" s="20">
        <f t="array" ref="C10">INDEX(Triagem!$B$2:$B451 , MATCH(A10,Triagem!$A$2:$A451,0))</f>
        <v>2001</v>
      </c>
      <c r="D10" s="2" t="s">
        <v>1497</v>
      </c>
      <c r="E10" s="2" t="s">
        <v>1498</v>
      </c>
      <c r="F10" s="2" t="str">
        <f t="array" ref="F10">IFERROR(INDEX(Triagem!$I$2:$I$451,MATCH($A10,Triagem!$A$2:$A$451,0))&amp;"","")</f>
        <v>Excluir</v>
      </c>
      <c r="G10" s="2" t="str">
        <f t="array" ref="G10">IFERROR(INDEX('Revisão_Gemini'!$H$7:$H$456,MATCH($A10,'Revisão_Gemini'!$A$7:$A$456,0))&amp;"","")</f>
        <v>Excluir</v>
      </c>
      <c r="H10" s="2" t="str">
        <f t="array" ref="H10">IFERROR(INDEX('Revisão_ChatGPT'!$H$7:$H$456,MATCH($A10,'Revisão_ChatGPT'!$A$7:$A$456,0))&amp;"","")</f>
        <v>Excluir</v>
      </c>
      <c r="I10" s="2" t="str">
        <f t="shared" si="1"/>
        <v>3/3</v>
      </c>
      <c r="J10" s="21"/>
      <c r="K10" s="21"/>
      <c r="L10" s="21"/>
      <c r="M10" s="22" t="b">
        <f t="shared" si="2"/>
        <v>0</v>
      </c>
      <c r="N10" s="21"/>
      <c r="O10" s="2" t="str">
        <f t="shared" si="3"/>
        <v>Fora do recorte anual + Excluir</v>
      </c>
      <c r="P10" s="2" t="str">
        <f t="array" ref="P10">IF(O10&lt;&gt;"Incluir","",IF(K10&lt;&gt;"",K10,IF(IFERROR(INDEX(Triagem!$J$2:$J$451,MATCH($A10,Triagem!$A$2:$A$451,0))&amp;"","")&lt;&gt;"",IFERROR(INDEX(Triagem!$J$2:$J$451,MATCH($A10,Triagem!$A$2:$A$451,0))&amp;"",""),IF(IFERROR(INDEX('Revisão_Gemini'!$I$7:$I$456,MATCH($A10,'Revisão_Gemini'!$A$7:$A$456,0))&amp;"","")&lt;&gt;"",IFERROR(INDEX('Revisão_Gemini'!$I$7:$I$456,MATCH($A10,'Revisão_Gemini'!$A$7:$A$456,0))&amp;"",""),IFERROR(INDEX('Revisão_ChatGPT'!$I$7:$I$456,MATCH($A10,'Revisão_ChatGPT'!$A$7:$A$456,0))&amp;"","")))))</f>
        <v/>
      </c>
      <c r="Q10" s="2" t="str">
        <f t="array" ref="Q10">IF(O10&lt;&gt;"Excluir","",IF(L10&lt;&gt;"",L10,IF(F10="Excluir",IFERROR(INDEX(Triagem!$K$2:$K$451,MATCH($A10,Triagem!$A$2:$A$451,0))&amp;"",""),IF(G10="Excluir",IFERROR(INDEX('Revisão_Gemini'!$J$7:$J$456,MATCH($A10,'Revisão_Gemini'!$A$7:$A$456,0))&amp;"",""),IFERROR(INDEX('Revisão_ChatGPT'!$J$7:$J$456,MATCH($A10,'Revisão_ChatGPT'!$A$7:$A$456,0))&amp;"","")))))</f>
        <v/>
      </c>
    </row>
    <row r="11" ht="15.75" customHeight="1">
      <c r="A11" s="2" t="s">
        <v>1499</v>
      </c>
      <c r="B11" s="19" t="str">
        <f t="array" ref="B11">INDEX(Triagem!$N$2:$N451 , MATCH(A11,Triagem!$A$2:$A451,0))</f>
        <v>abrir</v>
      </c>
      <c r="C11" s="20">
        <f t="array" ref="C11">INDEX(Triagem!$B$2:$B451 , MATCH(A11,Triagem!$A$2:$A451,0))</f>
        <v>2001</v>
      </c>
      <c r="D11" s="2" t="s">
        <v>1501</v>
      </c>
      <c r="E11" s="2" t="s">
        <v>1502</v>
      </c>
      <c r="F11" s="2" t="str">
        <f t="array" ref="F11">IFERROR(INDEX(Triagem!$I$2:$I$451,MATCH($A11,Triagem!$A$2:$A$451,0))&amp;"","")</f>
        <v>Excluir</v>
      </c>
      <c r="G11" s="2" t="str">
        <f t="array" ref="G11">IFERROR(INDEX('Revisão_Gemini'!$H$7:$H$456,MATCH($A11,'Revisão_Gemini'!$A$7:$A$456,0))&amp;"","")</f>
        <v>Excluir</v>
      </c>
      <c r="H11" s="2" t="str">
        <f t="array" ref="H11">IFERROR(INDEX('Revisão_ChatGPT'!$H$7:$H$456,MATCH($A11,'Revisão_ChatGPT'!$A$7:$A$456,0))&amp;"","")</f>
        <v>Excluir</v>
      </c>
      <c r="I11" s="2" t="str">
        <f t="shared" si="1"/>
        <v>3/3</v>
      </c>
      <c r="J11" s="21"/>
      <c r="K11" s="21"/>
      <c r="L11" s="21"/>
      <c r="M11" s="22" t="b">
        <f t="shared" si="2"/>
        <v>0</v>
      </c>
      <c r="N11" s="21" t="s">
        <v>3146</v>
      </c>
      <c r="O11" s="2" t="str">
        <f t="shared" si="3"/>
        <v>Fora do recorte anual + Excluir</v>
      </c>
      <c r="P11" s="2" t="str">
        <f t="array" ref="P11">IF(O11&lt;&gt;"Incluir","",IF(K11&lt;&gt;"",K11,IF(IFERROR(INDEX(Triagem!$J$2:$J$451,MATCH($A11,Triagem!$A$2:$A$451,0))&amp;"","")&lt;&gt;"",IFERROR(INDEX(Triagem!$J$2:$J$451,MATCH($A11,Triagem!$A$2:$A$451,0))&amp;"",""),IF(IFERROR(INDEX('Revisão_Gemini'!$I$7:$I$456,MATCH($A11,'Revisão_Gemini'!$A$7:$A$456,0))&amp;"","")&lt;&gt;"",IFERROR(INDEX('Revisão_Gemini'!$I$7:$I$456,MATCH($A11,'Revisão_Gemini'!$A$7:$A$456,0))&amp;"",""),IFERROR(INDEX('Revisão_ChatGPT'!$I$7:$I$456,MATCH($A11,'Revisão_ChatGPT'!$A$7:$A$456,0))&amp;"","")))))</f>
        <v/>
      </c>
      <c r="Q11" s="2" t="str">
        <f t="array" ref="Q11">IF(O11&lt;&gt;"Excluir","",IF(L11&lt;&gt;"",L11,IF(F11="Excluir",IFERROR(INDEX(Triagem!$K$2:$K$451,MATCH($A11,Triagem!$A$2:$A$451,0))&amp;"",""),IF(G11="Excluir",IFERROR(INDEX('Revisão_Gemini'!$J$7:$J$456,MATCH($A11,'Revisão_Gemini'!$A$7:$A$456,0))&amp;"",""),IFERROR(INDEX('Revisão_ChatGPT'!$J$7:$J$456,MATCH($A11,'Revisão_ChatGPT'!$A$7:$A$456,0))&amp;"","")))))</f>
        <v/>
      </c>
    </row>
    <row r="12" ht="15.75" customHeight="1">
      <c r="A12" s="2" t="s">
        <v>1883</v>
      </c>
      <c r="B12" s="19" t="str">
        <f t="array" ref="B12">INDEX(Triagem!$N$2:$N451 , MATCH(A12,Triagem!$A$2:$A451,0))</f>
        <v>abrir</v>
      </c>
      <c r="C12" s="20">
        <f t="array" ref="C12">INDEX(Triagem!$B$2:$B451 , MATCH(A12,Triagem!$A$2:$A451,0))</f>
        <v>2001</v>
      </c>
      <c r="D12" s="2" t="s">
        <v>1885</v>
      </c>
      <c r="E12" s="2" t="s">
        <v>1886</v>
      </c>
      <c r="F12" s="2" t="str">
        <f t="array" ref="F12">IFERROR(INDEX(Triagem!$I$2:$I$451,MATCH($A12,Triagem!$A$2:$A$451,0))&amp;"","")</f>
        <v>Excluir</v>
      </c>
      <c r="G12" s="2" t="str">
        <f t="array" ref="G12">IFERROR(INDEX('Revisão_Gemini'!$H$7:$H$456,MATCH($A12,'Revisão_Gemini'!$A$7:$A$456,0))&amp;"","")</f>
        <v>Excluir</v>
      </c>
      <c r="H12" s="2" t="str">
        <f t="array" ref="H12">IFERROR(INDEX('Revisão_ChatGPT'!$H$7:$H$456,MATCH($A12,'Revisão_ChatGPT'!$A$7:$A$456,0))&amp;"","")</f>
        <v>Excluir</v>
      </c>
      <c r="I12" s="2" t="str">
        <f t="shared" si="1"/>
        <v>3/3</v>
      </c>
      <c r="J12" s="21"/>
      <c r="K12" s="21"/>
      <c r="L12" s="21"/>
      <c r="M12" s="22" t="b">
        <f t="shared" si="2"/>
        <v>0</v>
      </c>
      <c r="N12" s="21" t="s">
        <v>3147</v>
      </c>
      <c r="O12" s="2" t="str">
        <f t="shared" si="3"/>
        <v>Fora do recorte anual + Excluir</v>
      </c>
      <c r="P12" s="2" t="str">
        <f t="array" ref="P12">IF(O12&lt;&gt;"Incluir","",IF(K12&lt;&gt;"",K12,IF(IFERROR(INDEX(Triagem!$J$2:$J$451,MATCH($A12,Triagem!$A$2:$A$451,0))&amp;"","")&lt;&gt;"",IFERROR(INDEX(Triagem!$J$2:$J$451,MATCH($A12,Triagem!$A$2:$A$451,0))&amp;"",""),IF(IFERROR(INDEX('Revisão_Gemini'!$I$7:$I$456,MATCH($A12,'Revisão_Gemini'!$A$7:$A$456,0))&amp;"","")&lt;&gt;"",IFERROR(INDEX('Revisão_Gemini'!$I$7:$I$456,MATCH($A12,'Revisão_Gemini'!$A$7:$A$456,0))&amp;"",""),IFERROR(INDEX('Revisão_ChatGPT'!$I$7:$I$456,MATCH($A12,'Revisão_ChatGPT'!$A$7:$A$456,0))&amp;"","")))))</f>
        <v/>
      </c>
      <c r="Q12" s="2" t="str">
        <f t="array" ref="Q12">IF(O12&lt;&gt;"Excluir","",IF(L12&lt;&gt;"",L12,IF(F12="Excluir",IFERROR(INDEX(Triagem!$K$2:$K$451,MATCH($A12,Triagem!$A$2:$A$451,0))&amp;"",""),IF(G12="Excluir",IFERROR(INDEX('Revisão_Gemini'!$J$7:$J$456,MATCH($A12,'Revisão_Gemini'!$A$7:$A$456,0))&amp;"",""),IFERROR(INDEX('Revisão_ChatGPT'!$J$7:$J$456,MATCH($A12,'Revisão_ChatGPT'!$A$7:$A$456,0))&amp;"","")))))</f>
        <v/>
      </c>
    </row>
    <row r="13" ht="15.75" customHeight="1">
      <c r="A13" s="2" t="s">
        <v>1887</v>
      </c>
      <c r="B13" s="19" t="str">
        <f t="array" ref="B13">INDEX(Triagem!$N$2:$N451 , MATCH(A13,Triagem!$A$2:$A451,0))</f>
        <v>abrir</v>
      </c>
      <c r="C13" s="20">
        <f t="array" ref="C13">INDEX(Triagem!$B$2:$B451 , MATCH(A13,Triagem!$A$2:$A451,0))</f>
        <v>2001</v>
      </c>
      <c r="D13" s="2" t="s">
        <v>1888</v>
      </c>
      <c r="E13" s="2" t="s">
        <v>1889</v>
      </c>
      <c r="F13" s="2" t="str">
        <f t="array" ref="F13">IFERROR(INDEX(Triagem!$I$2:$I$451,MATCH($A13,Triagem!$A$2:$A$451,0))&amp;"","")</f>
        <v>Excluir</v>
      </c>
      <c r="G13" s="2" t="str">
        <f t="array" ref="G13">IFERROR(INDEX('Revisão_Gemini'!$H$7:$H$456,MATCH($A13,'Revisão_Gemini'!$A$7:$A$456,0))&amp;"","")</f>
        <v>Excluir</v>
      </c>
      <c r="H13" s="2" t="str">
        <f t="array" ref="H13">IFERROR(INDEX('Revisão_ChatGPT'!$H$7:$H$456,MATCH($A13,'Revisão_ChatGPT'!$A$7:$A$456,0))&amp;"","")</f>
        <v>Excluir</v>
      </c>
      <c r="I13" s="2" t="str">
        <f t="shared" si="1"/>
        <v>3/3</v>
      </c>
      <c r="J13" s="21"/>
      <c r="K13" s="21"/>
      <c r="L13" s="21"/>
      <c r="M13" s="22" t="b">
        <f t="shared" si="2"/>
        <v>0</v>
      </c>
      <c r="N13" s="21"/>
      <c r="O13" s="2" t="str">
        <f t="shared" si="3"/>
        <v>Fora do recorte anual + Excluir</v>
      </c>
      <c r="P13" s="2" t="str">
        <f t="array" ref="P13">IF(O13&lt;&gt;"Incluir","",IF(K13&lt;&gt;"",K13,IF(IFERROR(INDEX(Triagem!$J$2:$J$451,MATCH($A13,Triagem!$A$2:$A$451,0))&amp;"","")&lt;&gt;"",IFERROR(INDEX(Triagem!$J$2:$J$451,MATCH($A13,Triagem!$A$2:$A$451,0))&amp;"",""),IF(IFERROR(INDEX('Revisão_Gemini'!$I$7:$I$456,MATCH($A13,'Revisão_Gemini'!$A$7:$A$456,0))&amp;"","")&lt;&gt;"",IFERROR(INDEX('Revisão_Gemini'!$I$7:$I$456,MATCH($A13,'Revisão_Gemini'!$A$7:$A$456,0))&amp;"",""),IFERROR(INDEX('Revisão_ChatGPT'!$I$7:$I$456,MATCH($A13,'Revisão_ChatGPT'!$A$7:$A$456,0))&amp;"","")))))</f>
        <v/>
      </c>
      <c r="Q13" s="2" t="str">
        <f t="array" ref="Q13">IF(O13&lt;&gt;"Excluir","",IF(L13&lt;&gt;"",L13,IF(F13="Excluir",IFERROR(INDEX(Triagem!$K$2:$K$451,MATCH($A13,Triagem!$A$2:$A$451,0))&amp;"",""),IF(G13="Excluir",IFERROR(INDEX('Revisão_Gemini'!$J$7:$J$456,MATCH($A13,'Revisão_Gemini'!$A$7:$A$456,0))&amp;"",""),IFERROR(INDEX('Revisão_ChatGPT'!$J$7:$J$456,MATCH($A13,'Revisão_ChatGPT'!$A$7:$A$456,0))&amp;"","")))))</f>
        <v/>
      </c>
    </row>
    <row r="14" ht="15.75" customHeight="1">
      <c r="A14" s="2" t="s">
        <v>685</v>
      </c>
      <c r="B14" s="19" t="str">
        <f t="array" ref="B14">INDEX(Triagem!$N$2:$N451 , MATCH(A14,Triagem!$A$2:$A451,0))</f>
        <v>abrir</v>
      </c>
      <c r="C14" s="20">
        <f t="array" ref="C14">INDEX(Triagem!$B$2:$B451 , MATCH(A14,Triagem!$A$2:$A451,0))</f>
        <v>2001</v>
      </c>
      <c r="D14" s="2" t="s">
        <v>687</v>
      </c>
      <c r="E14" s="2" t="s">
        <v>688</v>
      </c>
      <c r="F14" s="2" t="str">
        <f t="array" ref="F14">IFERROR(INDEX(Triagem!$I$2:$I$451,MATCH($A14,Triagem!$A$2:$A$451,0))&amp;"","")</f>
        <v>Incluir</v>
      </c>
      <c r="G14" s="2" t="str">
        <f t="array" ref="G14">IFERROR(INDEX('Revisão_Gemini'!$H$7:$H$456,MATCH($A14,'Revisão_Gemini'!$A$7:$A$456,0))&amp;"","")</f>
        <v>Incluir</v>
      </c>
      <c r="H14" s="2" t="str">
        <f t="array" ref="H14">IFERROR(INDEX('Revisão_ChatGPT'!$H$7:$H$456,MATCH($A14,'Revisão_ChatGPT'!$A$7:$A$456,0))&amp;"","")</f>
        <v>Incluir</v>
      </c>
      <c r="I14" s="2" t="str">
        <f t="shared" si="1"/>
        <v>3/3</v>
      </c>
      <c r="J14" s="21"/>
      <c r="K14" s="21"/>
      <c r="L14" s="21"/>
      <c r="M14" s="22" t="b">
        <f t="shared" si="2"/>
        <v>0</v>
      </c>
      <c r="N14" s="21" t="s">
        <v>3148</v>
      </c>
      <c r="O14" s="2" t="str">
        <f t="shared" si="3"/>
        <v>Fora do recorte anual + Incluir</v>
      </c>
      <c r="P14" s="2" t="str">
        <f t="array" ref="P14">IF(O14&lt;&gt;"Incluir","",IF(K14&lt;&gt;"",K14,IF(IFERROR(INDEX(Triagem!$J$2:$J$451,MATCH($A14,Triagem!$A$2:$A$451,0))&amp;"","")&lt;&gt;"",IFERROR(INDEX(Triagem!$J$2:$J$451,MATCH($A14,Triagem!$A$2:$A$451,0))&amp;"",""),IF(IFERROR(INDEX('Revisão_Gemini'!$I$7:$I$456,MATCH($A14,'Revisão_Gemini'!$A$7:$A$456,0))&amp;"","")&lt;&gt;"",IFERROR(INDEX('Revisão_Gemini'!$I$7:$I$456,MATCH($A14,'Revisão_Gemini'!$A$7:$A$456,0))&amp;"",""),IFERROR(INDEX('Revisão_ChatGPT'!$I$7:$I$456,MATCH($A14,'Revisão_ChatGPT'!$A$7:$A$456,0))&amp;"","")))))</f>
        <v/>
      </c>
      <c r="Q14" s="2" t="str">
        <f t="array" ref="Q14">IF(O14&lt;&gt;"Excluir","",IF(L14&lt;&gt;"",L14,IF(F14="Excluir",IFERROR(INDEX(Triagem!$K$2:$K$451,MATCH($A14,Triagem!$A$2:$A$451,0))&amp;"",""),IF(G14="Excluir",IFERROR(INDEX('Revisão_Gemini'!$J$7:$J$456,MATCH($A14,'Revisão_Gemini'!$A$7:$A$456,0))&amp;"",""),IFERROR(INDEX('Revisão_ChatGPT'!$J$7:$J$456,MATCH($A14,'Revisão_ChatGPT'!$A$7:$A$456,0))&amp;"","")))))</f>
        <v/>
      </c>
    </row>
    <row r="15" ht="15.75" customHeight="1">
      <c r="A15" s="2" t="s">
        <v>1503</v>
      </c>
      <c r="B15" s="19" t="str">
        <f t="array" ref="B15">INDEX(Triagem!$N$2:$N451 , MATCH(A15,Triagem!$A$2:$A451,0))</f>
        <v>abrir</v>
      </c>
      <c r="C15" s="20">
        <f t="array" ref="C15">INDEX(Triagem!$B$2:$B451 , MATCH(A15,Triagem!$A$2:$A451,0))</f>
        <v>2001</v>
      </c>
      <c r="D15" s="2" t="s">
        <v>1505</v>
      </c>
      <c r="E15" s="2" t="s">
        <v>1506</v>
      </c>
      <c r="F15" s="2" t="str">
        <f t="array" ref="F15">IFERROR(INDEX(Triagem!$I$2:$I$451,MATCH($A15,Triagem!$A$2:$A$451,0))&amp;"","")</f>
        <v>Excluir</v>
      </c>
      <c r="G15" s="2" t="str">
        <f t="array" ref="G15">IFERROR(INDEX('Revisão_Gemini'!$H$7:$H$456,MATCH($A15,'Revisão_Gemini'!$A$7:$A$456,0))&amp;"","")</f>
        <v>Excluir</v>
      </c>
      <c r="H15" s="2" t="str">
        <f t="array" ref="H15">IFERROR(INDEX('Revisão_ChatGPT'!$H$7:$H$456,MATCH($A15,'Revisão_ChatGPT'!$A$7:$A$456,0))&amp;"","")</f>
        <v>Excluir</v>
      </c>
      <c r="I15" s="2" t="str">
        <f t="shared" si="1"/>
        <v>3/3</v>
      </c>
      <c r="J15" s="21"/>
      <c r="K15" s="21"/>
      <c r="L15" s="21"/>
      <c r="M15" s="22" t="b">
        <f t="shared" si="2"/>
        <v>0</v>
      </c>
      <c r="N15" s="21"/>
      <c r="O15" s="2" t="str">
        <f t="shared" si="3"/>
        <v>Fora do recorte anual + Excluir</v>
      </c>
      <c r="P15" s="2" t="str">
        <f t="array" ref="P15">IF(O15&lt;&gt;"Incluir","",IF(K15&lt;&gt;"",K15,IF(IFERROR(INDEX(Triagem!$J$2:$J$451,MATCH($A15,Triagem!$A$2:$A$451,0))&amp;"","")&lt;&gt;"",IFERROR(INDEX(Triagem!$J$2:$J$451,MATCH($A15,Triagem!$A$2:$A$451,0))&amp;"",""),IF(IFERROR(INDEX('Revisão_Gemini'!$I$7:$I$456,MATCH($A15,'Revisão_Gemini'!$A$7:$A$456,0))&amp;"","")&lt;&gt;"",IFERROR(INDEX('Revisão_Gemini'!$I$7:$I$456,MATCH($A15,'Revisão_Gemini'!$A$7:$A$456,0))&amp;"",""),IFERROR(INDEX('Revisão_ChatGPT'!$I$7:$I$456,MATCH($A15,'Revisão_ChatGPT'!$A$7:$A$456,0))&amp;"","")))))</f>
        <v/>
      </c>
      <c r="Q15" s="2" t="str">
        <f t="array" ref="Q15">IF(O15&lt;&gt;"Excluir","",IF(L15&lt;&gt;"",L15,IF(F15="Excluir",IFERROR(INDEX(Triagem!$K$2:$K$451,MATCH($A15,Triagem!$A$2:$A$451,0))&amp;"",""),IF(G15="Excluir",IFERROR(INDEX('Revisão_Gemini'!$J$7:$J$456,MATCH($A15,'Revisão_Gemini'!$A$7:$A$456,0))&amp;"",""),IFERROR(INDEX('Revisão_ChatGPT'!$J$7:$J$456,MATCH($A15,'Revisão_ChatGPT'!$A$7:$A$456,0))&amp;"","")))))</f>
        <v/>
      </c>
    </row>
    <row r="16" ht="15.75" customHeight="1">
      <c r="A16" s="2" t="s">
        <v>2135</v>
      </c>
      <c r="B16" s="19" t="str">
        <f t="array" ref="B16">INDEX(Triagem!$N$2:$N451 , MATCH(A16,Triagem!$A$2:$A451,0))</f>
        <v>abrir</v>
      </c>
      <c r="C16" s="20">
        <f t="array" ref="C16">INDEX(Triagem!$B$2:$B451 , MATCH(A16,Triagem!$A$2:$A451,0))</f>
        <v>2001</v>
      </c>
      <c r="D16" s="2" t="s">
        <v>2137</v>
      </c>
      <c r="E16" s="2" t="s">
        <v>2138</v>
      </c>
      <c r="F16" s="2" t="str">
        <f t="array" ref="F16">IFERROR(INDEX(Triagem!$I$2:$I$451,MATCH($A16,Triagem!$A$2:$A$451,0))&amp;"","")</f>
        <v>Excluir</v>
      </c>
      <c r="G16" s="2" t="str">
        <f t="array" ref="G16">IFERROR(INDEX('Revisão_Gemini'!$H$7:$H$456,MATCH($A16,'Revisão_Gemini'!$A$7:$A$456,0))&amp;"","")</f>
        <v>Excluir</v>
      </c>
      <c r="H16" s="2" t="str">
        <f t="array" ref="H16">IFERROR(INDEX('Revisão_ChatGPT'!$H$7:$H$456,MATCH($A16,'Revisão_ChatGPT'!$A$7:$A$456,0))&amp;"","")</f>
        <v>Incluir</v>
      </c>
      <c r="I16" s="2" t="str">
        <f t="shared" si="1"/>
        <v>2/3</v>
      </c>
      <c r="J16" s="21" t="s">
        <v>906</v>
      </c>
      <c r="K16" s="21"/>
      <c r="L16" s="21"/>
      <c r="M16" s="22" t="b">
        <f t="shared" si="2"/>
        <v>0</v>
      </c>
      <c r="N16" s="21" t="s">
        <v>3149</v>
      </c>
      <c r="O16" s="2" t="str">
        <f t="shared" si="3"/>
        <v>Fora do recorte anual + Excluir</v>
      </c>
      <c r="P16" s="2" t="str">
        <f t="array" ref="P16">IF(O16&lt;&gt;"Incluir","",IF(K16&lt;&gt;"",K16,IF(IFERROR(INDEX(Triagem!$J$2:$J$451,MATCH($A16,Triagem!$A$2:$A$451,0))&amp;"","")&lt;&gt;"",IFERROR(INDEX(Triagem!$J$2:$J$451,MATCH($A16,Triagem!$A$2:$A$451,0))&amp;"",""),IF(IFERROR(INDEX('Revisão_Gemini'!$I$7:$I$456,MATCH($A16,'Revisão_Gemini'!$A$7:$A$456,0))&amp;"","")&lt;&gt;"",IFERROR(INDEX('Revisão_Gemini'!$I$7:$I$456,MATCH($A16,'Revisão_Gemini'!$A$7:$A$456,0))&amp;"",""),IFERROR(INDEX('Revisão_ChatGPT'!$I$7:$I$456,MATCH($A16,'Revisão_ChatGPT'!$A$7:$A$456,0))&amp;"","")))))</f>
        <v/>
      </c>
      <c r="Q16" s="2" t="str">
        <f t="array" ref="Q16">IF(O16&lt;&gt;"Excluir","",IF(L16&lt;&gt;"",L16,IF(F16="Excluir",IFERROR(INDEX(Triagem!$K$2:$K$451,MATCH($A16,Triagem!$A$2:$A$451,0))&amp;"",""),IF(G16="Excluir",IFERROR(INDEX('Revisão_Gemini'!$J$7:$J$456,MATCH($A16,'Revisão_Gemini'!$A$7:$A$456,0))&amp;"",""),IFERROR(INDEX('Revisão_ChatGPT'!$J$7:$J$456,MATCH($A16,'Revisão_ChatGPT'!$A$7:$A$456,0))&amp;"","")))))</f>
        <v/>
      </c>
    </row>
    <row r="17" ht="15.75" customHeight="1">
      <c r="A17" s="2" t="s">
        <v>1871</v>
      </c>
      <c r="B17" s="19" t="str">
        <f t="array" ref="B17">INDEX(Triagem!$N$2:$N451 , MATCH(A17,Triagem!$A$2:$A451,0))</f>
        <v>abrir</v>
      </c>
      <c r="C17" s="20">
        <f t="array" ref="C17">INDEX(Triagem!$B$2:$B451 , MATCH(A17,Triagem!$A$2:$A451,0))</f>
        <v>2002</v>
      </c>
      <c r="D17" s="2" t="s">
        <v>1873</v>
      </c>
      <c r="E17" s="2" t="s">
        <v>1874</v>
      </c>
      <c r="F17" s="2" t="str">
        <f t="array" ref="F17">IFERROR(INDEX(Triagem!$I$2:$I$451,MATCH($A17,Triagem!$A$2:$A$451,0))&amp;"","")</f>
        <v>Excluir</v>
      </c>
      <c r="G17" s="2" t="str">
        <f t="array" ref="G17">IFERROR(INDEX('Revisão_Gemini'!$H$7:$H$456,MATCH($A17,'Revisão_Gemini'!$A$7:$A$456,0))&amp;"","")</f>
        <v>Excluir</v>
      </c>
      <c r="H17" s="2" t="str">
        <f t="array" ref="H17">IFERROR(INDEX('Revisão_ChatGPT'!$H$7:$H$456,MATCH($A17,'Revisão_ChatGPT'!$A$7:$A$456,0))&amp;"","")</f>
        <v>Excluir</v>
      </c>
      <c r="I17" s="2" t="str">
        <f t="shared" si="1"/>
        <v>3/3</v>
      </c>
      <c r="J17" s="21"/>
      <c r="K17" s="21"/>
      <c r="L17" s="21"/>
      <c r="M17" s="22" t="b">
        <f t="shared" si="2"/>
        <v>0</v>
      </c>
      <c r="N17" s="21" t="s">
        <v>3150</v>
      </c>
      <c r="O17" s="2" t="str">
        <f t="shared" si="3"/>
        <v>Fora do recorte anual + Excluir</v>
      </c>
      <c r="P17" s="2" t="str">
        <f t="array" ref="P17">IF(O17&lt;&gt;"Incluir","",IF(K17&lt;&gt;"",K17,IF(IFERROR(INDEX(Triagem!$J$2:$J$451,MATCH($A17,Triagem!$A$2:$A$451,0))&amp;"","")&lt;&gt;"",IFERROR(INDEX(Triagem!$J$2:$J$451,MATCH($A17,Triagem!$A$2:$A$451,0))&amp;"",""),IF(IFERROR(INDEX('Revisão_Gemini'!$I$7:$I$456,MATCH($A17,'Revisão_Gemini'!$A$7:$A$456,0))&amp;"","")&lt;&gt;"",IFERROR(INDEX('Revisão_Gemini'!$I$7:$I$456,MATCH($A17,'Revisão_Gemini'!$A$7:$A$456,0))&amp;"",""),IFERROR(INDEX('Revisão_ChatGPT'!$I$7:$I$456,MATCH($A17,'Revisão_ChatGPT'!$A$7:$A$456,0))&amp;"","")))))</f>
        <v/>
      </c>
      <c r="Q17" s="2" t="str">
        <f t="array" ref="Q17">IF(O17&lt;&gt;"Excluir","",IF(L17&lt;&gt;"",L17,IF(F17="Excluir",IFERROR(INDEX(Triagem!$K$2:$K$451,MATCH($A17,Triagem!$A$2:$A$451,0))&amp;"",""),IF(G17="Excluir",IFERROR(INDEX('Revisão_Gemini'!$J$7:$J$456,MATCH($A17,'Revisão_Gemini'!$A$7:$A$456,0))&amp;"",""),IFERROR(INDEX('Revisão_ChatGPT'!$J$7:$J$456,MATCH($A17,'Revisão_ChatGPT'!$A$7:$A$456,0))&amp;"","")))))</f>
        <v/>
      </c>
    </row>
    <row r="18" ht="15.75" customHeight="1">
      <c r="A18" s="2" t="s">
        <v>2066</v>
      </c>
      <c r="B18" s="19" t="str">
        <f t="array" ref="B18">INDEX(Triagem!$N$2:$N451 , MATCH(A18,Triagem!$A$2:$A451,0))</f>
        <v>abrir</v>
      </c>
      <c r="C18" s="20">
        <f t="array" ref="C18">INDEX(Triagem!$B$2:$B451 , MATCH(A18,Triagem!$A$2:$A451,0))</f>
        <v>2002</v>
      </c>
      <c r="D18" s="2" t="s">
        <v>2068</v>
      </c>
      <c r="E18" s="2" t="s">
        <v>2069</v>
      </c>
      <c r="F18" s="2" t="str">
        <f t="array" ref="F18">IFERROR(INDEX(Triagem!$I$2:$I$451,MATCH($A18,Triagem!$A$2:$A$451,0))&amp;"","")</f>
        <v>Excluir</v>
      </c>
      <c r="G18" s="2" t="str">
        <f t="array" ref="G18">IFERROR(INDEX('Revisão_Gemini'!$H$7:$H$456,MATCH($A18,'Revisão_Gemini'!$A$7:$A$456,0))&amp;"","")</f>
        <v>Excluir</v>
      </c>
      <c r="H18" s="2" t="str">
        <f t="array" ref="H18">IFERROR(INDEX('Revisão_ChatGPT'!$H$7:$H$456,MATCH($A18,'Revisão_ChatGPT'!$A$7:$A$456,0))&amp;"","")</f>
        <v>Excluir</v>
      </c>
      <c r="I18" s="2" t="str">
        <f t="shared" si="1"/>
        <v>3/3</v>
      </c>
      <c r="J18" s="21"/>
      <c r="K18" s="21"/>
      <c r="L18" s="21"/>
      <c r="M18" s="22" t="b">
        <f t="shared" si="2"/>
        <v>0</v>
      </c>
      <c r="N18" s="21" t="s">
        <v>3151</v>
      </c>
      <c r="O18" s="2" t="str">
        <f t="shared" si="3"/>
        <v>Fora do recorte anual + Excluir</v>
      </c>
      <c r="P18" s="2" t="str">
        <f t="array" ref="P18">IF(O18&lt;&gt;"Incluir","",IF(K18&lt;&gt;"",K18,IF(IFERROR(INDEX(Triagem!$J$2:$J$451,MATCH($A18,Triagem!$A$2:$A$451,0))&amp;"","")&lt;&gt;"",IFERROR(INDEX(Triagem!$J$2:$J$451,MATCH($A18,Triagem!$A$2:$A$451,0))&amp;"",""),IF(IFERROR(INDEX('Revisão_Gemini'!$I$7:$I$456,MATCH($A18,'Revisão_Gemini'!$A$7:$A$456,0))&amp;"","")&lt;&gt;"",IFERROR(INDEX('Revisão_Gemini'!$I$7:$I$456,MATCH($A18,'Revisão_Gemini'!$A$7:$A$456,0))&amp;"",""),IFERROR(INDEX('Revisão_ChatGPT'!$I$7:$I$456,MATCH($A18,'Revisão_ChatGPT'!$A$7:$A$456,0))&amp;"","")))))</f>
        <v/>
      </c>
      <c r="Q18" s="2" t="str">
        <f t="array" ref="Q18">IF(O18&lt;&gt;"Excluir","",IF(L18&lt;&gt;"",L18,IF(F18="Excluir",IFERROR(INDEX(Triagem!$K$2:$K$451,MATCH($A18,Triagem!$A$2:$A$451,0))&amp;"",""),IF(G18="Excluir",IFERROR(INDEX('Revisão_Gemini'!$J$7:$J$456,MATCH($A18,'Revisão_Gemini'!$A$7:$A$456,0))&amp;"",""),IFERROR(INDEX('Revisão_ChatGPT'!$J$7:$J$456,MATCH($A18,'Revisão_ChatGPT'!$A$7:$A$456,0))&amp;"","")))))</f>
        <v/>
      </c>
    </row>
    <row r="19" ht="15.75" customHeight="1">
      <c r="A19" s="2" t="s">
        <v>1485</v>
      </c>
      <c r="B19" s="19" t="str">
        <f t="array" ref="B19">INDEX(Triagem!$N$2:$N451 , MATCH(A19,Triagem!$A$2:$A451,0))</f>
        <v>abrir</v>
      </c>
      <c r="C19" s="20">
        <f t="array" ref="C19">INDEX(Triagem!$B$2:$B451 , MATCH(A19,Triagem!$A$2:$A451,0))</f>
        <v>2002</v>
      </c>
      <c r="D19" s="2" t="s">
        <v>1487</v>
      </c>
      <c r="E19" s="2" t="s">
        <v>1488</v>
      </c>
      <c r="F19" s="2" t="str">
        <f t="array" ref="F19">IFERROR(INDEX(Triagem!$I$2:$I$451,MATCH($A19,Triagem!$A$2:$A$451,0))&amp;"","")</f>
        <v>Excluir</v>
      </c>
      <c r="G19" s="2" t="str">
        <f t="array" ref="G19">IFERROR(INDEX('Revisão_Gemini'!$H$7:$H$456,MATCH($A19,'Revisão_Gemini'!$A$7:$A$456,0))&amp;"","")</f>
        <v>Excluir</v>
      </c>
      <c r="H19" s="2" t="str">
        <f t="array" ref="H19">IFERROR(INDEX('Revisão_ChatGPT'!$H$7:$H$456,MATCH($A19,'Revisão_ChatGPT'!$A$7:$A$456,0))&amp;"","")</f>
        <v>Excluir</v>
      </c>
      <c r="I19" s="2" t="str">
        <f t="shared" si="1"/>
        <v>3/3</v>
      </c>
      <c r="J19" s="21"/>
      <c r="K19" s="21"/>
      <c r="L19" s="21"/>
      <c r="M19" s="22" t="b">
        <f t="shared" si="2"/>
        <v>0</v>
      </c>
      <c r="N19" s="21" t="s">
        <v>3152</v>
      </c>
      <c r="O19" s="2" t="str">
        <f t="shared" si="3"/>
        <v>Fora do recorte anual + Excluir</v>
      </c>
      <c r="P19" s="2" t="str">
        <f t="array" ref="P19">IF(O19&lt;&gt;"Incluir","",IF(K19&lt;&gt;"",K19,IF(IFERROR(INDEX(Triagem!$J$2:$J$451,MATCH($A19,Triagem!$A$2:$A$451,0))&amp;"","")&lt;&gt;"",IFERROR(INDEX(Triagem!$J$2:$J$451,MATCH($A19,Triagem!$A$2:$A$451,0))&amp;"",""),IF(IFERROR(INDEX('Revisão_Gemini'!$I$7:$I$456,MATCH($A19,'Revisão_Gemini'!$A$7:$A$456,0))&amp;"","")&lt;&gt;"",IFERROR(INDEX('Revisão_Gemini'!$I$7:$I$456,MATCH($A19,'Revisão_Gemini'!$A$7:$A$456,0))&amp;"",""),IFERROR(INDEX('Revisão_ChatGPT'!$I$7:$I$456,MATCH($A19,'Revisão_ChatGPT'!$A$7:$A$456,0))&amp;"","")))))</f>
        <v/>
      </c>
      <c r="Q19" s="2" t="str">
        <f t="array" ref="Q19">IF(O19&lt;&gt;"Excluir","",IF(L19&lt;&gt;"",L19,IF(F19="Excluir",IFERROR(INDEX(Triagem!$K$2:$K$451,MATCH($A19,Triagem!$A$2:$A$451,0))&amp;"",""),IF(G19="Excluir",IFERROR(INDEX('Revisão_Gemini'!$J$7:$J$456,MATCH($A19,'Revisão_Gemini'!$A$7:$A$456,0))&amp;"",""),IFERROR(INDEX('Revisão_ChatGPT'!$J$7:$J$456,MATCH($A19,'Revisão_ChatGPT'!$A$7:$A$456,0))&amp;"","")))))</f>
        <v/>
      </c>
    </row>
    <row r="20" ht="15.75" customHeight="1">
      <c r="A20" s="2" t="s">
        <v>680</v>
      </c>
      <c r="B20" s="19" t="str">
        <f t="array" ref="B20">INDEX(Triagem!$N$2:$N451 , MATCH(A20,Triagem!$A$2:$A451,0))</f>
        <v>abrir</v>
      </c>
      <c r="C20" s="20">
        <f t="array" ref="C20">INDEX(Triagem!$B$2:$B451 , MATCH(A20,Triagem!$A$2:$A451,0))</f>
        <v>2002</v>
      </c>
      <c r="D20" s="2" t="s">
        <v>682</v>
      </c>
      <c r="E20" s="2" t="s">
        <v>683</v>
      </c>
      <c r="F20" s="2" t="str">
        <f t="array" ref="F20">IFERROR(INDEX(Triagem!$I$2:$I$451,MATCH($A20,Triagem!$A$2:$A$451,0))&amp;"","")</f>
        <v>Incluir</v>
      </c>
      <c r="G20" s="2" t="str">
        <f t="array" ref="G20">IFERROR(INDEX('Revisão_Gemini'!$H$7:$H$456,MATCH($A20,'Revisão_Gemini'!$A$7:$A$456,0))&amp;"","")</f>
        <v>Incluir</v>
      </c>
      <c r="H20" s="2" t="str">
        <f t="array" ref="H20">IFERROR(INDEX('Revisão_ChatGPT'!$H$7:$H$456,MATCH($A20,'Revisão_ChatGPT'!$A$7:$A$456,0))&amp;"","")</f>
        <v>Incluir</v>
      </c>
      <c r="I20" s="2" t="str">
        <f t="shared" si="1"/>
        <v>3/3</v>
      </c>
      <c r="J20" s="21"/>
      <c r="K20" s="21"/>
      <c r="L20" s="21"/>
      <c r="M20" s="22" t="b">
        <f t="shared" si="2"/>
        <v>0</v>
      </c>
      <c r="N20" s="21" t="s">
        <v>3153</v>
      </c>
      <c r="O20" s="2" t="str">
        <f t="shared" si="3"/>
        <v>Fora do recorte anual + Incluir</v>
      </c>
      <c r="P20" s="2" t="str">
        <f t="array" ref="P20">IF(O20&lt;&gt;"Incluir","",IF(K20&lt;&gt;"",K20,IF(IFERROR(INDEX(Triagem!$J$2:$J$451,MATCH($A20,Triagem!$A$2:$A$451,0))&amp;"","")&lt;&gt;"",IFERROR(INDEX(Triagem!$J$2:$J$451,MATCH($A20,Triagem!$A$2:$A$451,0))&amp;"",""),IF(IFERROR(INDEX('Revisão_Gemini'!$I$7:$I$456,MATCH($A20,'Revisão_Gemini'!$A$7:$A$456,0))&amp;"","")&lt;&gt;"",IFERROR(INDEX('Revisão_Gemini'!$I$7:$I$456,MATCH($A20,'Revisão_Gemini'!$A$7:$A$456,0))&amp;"",""),IFERROR(INDEX('Revisão_ChatGPT'!$I$7:$I$456,MATCH($A20,'Revisão_ChatGPT'!$A$7:$A$456,0))&amp;"","")))))</f>
        <v/>
      </c>
      <c r="Q20" s="2" t="str">
        <f t="array" ref="Q20">IF(O20&lt;&gt;"Excluir","",IF(L20&lt;&gt;"",L20,IF(F20="Excluir",IFERROR(INDEX(Triagem!$K$2:$K$451,MATCH($A20,Triagem!$A$2:$A$451,0))&amp;"",""),IF(G20="Excluir",IFERROR(INDEX('Revisão_Gemini'!$J$7:$J$456,MATCH($A20,'Revisão_Gemini'!$A$7:$A$456,0))&amp;"",""),IFERROR(INDEX('Revisão_ChatGPT'!$J$7:$J$456,MATCH($A20,'Revisão_ChatGPT'!$A$7:$A$456,0))&amp;"","")))))</f>
        <v/>
      </c>
    </row>
    <row r="21" ht="15.75" customHeight="1">
      <c r="A21" s="2" t="s">
        <v>1875</v>
      </c>
      <c r="B21" s="19" t="str">
        <f t="array" ref="B21">INDEX(Triagem!$N$2:$N451 , MATCH(A21,Triagem!$A$2:$A451,0))</f>
        <v>abrir</v>
      </c>
      <c r="C21" s="20">
        <f t="array" ref="C21">INDEX(Triagem!$B$2:$B451 , MATCH(A21,Triagem!$A$2:$A451,0))</f>
        <v>2002</v>
      </c>
      <c r="D21" s="2" t="s">
        <v>1877</v>
      </c>
      <c r="E21" s="2" t="s">
        <v>1878</v>
      </c>
      <c r="F21" s="2" t="str">
        <f t="array" ref="F21">IFERROR(INDEX(Triagem!$I$2:$I$451,MATCH($A21,Triagem!$A$2:$A$451,0))&amp;"","")</f>
        <v>Excluir</v>
      </c>
      <c r="G21" s="2" t="str">
        <f t="array" ref="G21">IFERROR(INDEX('Revisão_Gemini'!$H$7:$H$456,MATCH($A21,'Revisão_Gemini'!$A$7:$A$456,0))&amp;"","")</f>
        <v>Excluir</v>
      </c>
      <c r="H21" s="2" t="str">
        <f t="array" ref="H21">IFERROR(INDEX('Revisão_ChatGPT'!$H$7:$H$456,MATCH($A21,'Revisão_ChatGPT'!$A$7:$A$456,0))&amp;"","")</f>
        <v>Excluir</v>
      </c>
      <c r="I21" s="2" t="str">
        <f t="shared" si="1"/>
        <v>3/3</v>
      </c>
      <c r="J21" s="21"/>
      <c r="K21" s="21"/>
      <c r="L21" s="21"/>
      <c r="M21" s="22" t="b">
        <f t="shared" si="2"/>
        <v>0</v>
      </c>
      <c r="N21" s="21" t="s">
        <v>3154</v>
      </c>
      <c r="O21" s="2" t="str">
        <f t="shared" si="3"/>
        <v>Fora do recorte anual + Excluir</v>
      </c>
      <c r="P21" s="2" t="str">
        <f t="array" ref="P21">IF(O21&lt;&gt;"Incluir","",IF(K21&lt;&gt;"",K21,IF(IFERROR(INDEX(Triagem!$J$2:$J$451,MATCH($A21,Triagem!$A$2:$A$451,0))&amp;"","")&lt;&gt;"",IFERROR(INDEX(Triagem!$J$2:$J$451,MATCH($A21,Triagem!$A$2:$A$451,0))&amp;"",""),IF(IFERROR(INDEX('Revisão_Gemini'!$I$7:$I$456,MATCH($A21,'Revisão_Gemini'!$A$7:$A$456,0))&amp;"","")&lt;&gt;"",IFERROR(INDEX('Revisão_Gemini'!$I$7:$I$456,MATCH($A21,'Revisão_Gemini'!$A$7:$A$456,0))&amp;"",""),IFERROR(INDEX('Revisão_ChatGPT'!$I$7:$I$456,MATCH($A21,'Revisão_ChatGPT'!$A$7:$A$456,0))&amp;"","")))))</f>
        <v/>
      </c>
      <c r="Q21" s="2" t="str">
        <f t="array" ref="Q21">IF(O21&lt;&gt;"Excluir","",IF(L21&lt;&gt;"",L21,IF(F21="Excluir",IFERROR(INDEX(Triagem!$K$2:$K$451,MATCH($A21,Triagem!$A$2:$A$451,0))&amp;"",""),IF(G21="Excluir",IFERROR(INDEX('Revisão_Gemini'!$J$7:$J$456,MATCH($A21,'Revisão_Gemini'!$A$7:$A$456,0))&amp;"",""),IFERROR(INDEX('Revisão_ChatGPT'!$J$7:$J$456,MATCH($A21,'Revisão_ChatGPT'!$A$7:$A$456,0))&amp;"","")))))</f>
        <v/>
      </c>
    </row>
    <row r="22" ht="15.75" customHeight="1">
      <c r="A22" s="2" t="s">
        <v>670</v>
      </c>
      <c r="B22" s="19" t="str">
        <f t="array" ref="B22">INDEX(Triagem!$N$2:$N451 , MATCH(A22,Triagem!$A$2:$A451,0))</f>
        <v>abrir</v>
      </c>
      <c r="C22" s="20">
        <f t="array" ref="C22">INDEX(Triagem!$B$2:$B451 , MATCH(A22,Triagem!$A$2:$A451,0))</f>
        <v>2003</v>
      </c>
      <c r="D22" s="2" t="s">
        <v>672</v>
      </c>
      <c r="E22" s="2" t="s">
        <v>673</v>
      </c>
      <c r="F22" s="2" t="str">
        <f t="array" ref="F22">IFERROR(INDEX(Triagem!$I$2:$I$451,MATCH($A22,Triagem!$A$2:$A$451,0))&amp;"","")</f>
        <v>Incluir</v>
      </c>
      <c r="G22" s="2" t="str">
        <f t="array" ref="G22">IFERROR(INDEX('Revisão_Gemini'!$H$7:$H$456,MATCH($A22,'Revisão_Gemini'!$A$7:$A$456,0))&amp;"","")</f>
        <v>Incluir</v>
      </c>
      <c r="H22" s="2" t="str">
        <f t="array" ref="H22">IFERROR(INDEX('Revisão_ChatGPT'!$H$7:$H$456,MATCH($A22,'Revisão_ChatGPT'!$A$7:$A$456,0))&amp;"","")</f>
        <v>Incluir</v>
      </c>
      <c r="I22" s="2" t="str">
        <f t="shared" si="1"/>
        <v>3/3</v>
      </c>
      <c r="J22" s="21"/>
      <c r="K22" s="21"/>
      <c r="L22" s="21"/>
      <c r="M22" s="22" t="b">
        <f t="shared" si="2"/>
        <v>0</v>
      </c>
      <c r="N22" s="21" t="s">
        <v>3155</v>
      </c>
      <c r="O22" s="2" t="str">
        <f t="shared" si="3"/>
        <v>Fora do recorte anual + Incluir</v>
      </c>
      <c r="P22" s="2" t="str">
        <f t="array" ref="P22">IF(O22&lt;&gt;"Incluir","",IF(K22&lt;&gt;"",K22,IF(IFERROR(INDEX(Triagem!$J$2:$J$451,MATCH($A22,Triagem!$A$2:$A$451,0))&amp;"","")&lt;&gt;"",IFERROR(INDEX(Triagem!$J$2:$J$451,MATCH($A22,Triagem!$A$2:$A$451,0))&amp;"",""),IF(IFERROR(INDEX('Revisão_Gemini'!$I$7:$I$456,MATCH($A22,'Revisão_Gemini'!$A$7:$A$456,0))&amp;"","")&lt;&gt;"",IFERROR(INDEX('Revisão_Gemini'!$I$7:$I$456,MATCH($A22,'Revisão_Gemini'!$A$7:$A$456,0))&amp;"",""),IFERROR(INDEX('Revisão_ChatGPT'!$I$7:$I$456,MATCH($A22,'Revisão_ChatGPT'!$A$7:$A$456,0))&amp;"","")))))</f>
        <v/>
      </c>
      <c r="Q22" s="2" t="str">
        <f t="array" ref="Q22">IF(O22&lt;&gt;"Excluir","",IF(L22&lt;&gt;"",L22,IF(F22="Excluir",IFERROR(INDEX(Triagem!$K$2:$K$451,MATCH($A22,Triagem!$A$2:$A$451,0))&amp;"",""),IF(G22="Excluir",IFERROR(INDEX('Revisão_Gemini'!$J$7:$J$456,MATCH($A22,'Revisão_Gemini'!$A$7:$A$456,0))&amp;"",""),IFERROR(INDEX('Revisão_ChatGPT'!$J$7:$J$456,MATCH($A22,'Revisão_ChatGPT'!$A$7:$A$456,0))&amp;"","")))))</f>
        <v/>
      </c>
    </row>
    <row r="23" ht="15.75" customHeight="1">
      <c r="A23" s="2" t="s">
        <v>1867</v>
      </c>
      <c r="B23" s="19" t="str">
        <f t="array" ref="B23">INDEX(Triagem!$N$2:$N451 , MATCH(A23,Triagem!$A$2:$A451,0))</f>
        <v>abrir</v>
      </c>
      <c r="C23" s="20">
        <f t="array" ref="C23">INDEX(Triagem!$B$2:$B451 , MATCH(A23,Triagem!$A$2:$A451,0))</f>
        <v>2003</v>
      </c>
      <c r="D23" s="2" t="s">
        <v>1869</v>
      </c>
      <c r="E23" s="2" t="s">
        <v>1870</v>
      </c>
      <c r="F23" s="2" t="str">
        <f t="array" ref="F23">IFERROR(INDEX(Triagem!$I$2:$I$451,MATCH($A23,Triagem!$A$2:$A$451,0))&amp;"","")</f>
        <v>Excluir</v>
      </c>
      <c r="G23" s="2" t="str">
        <f t="array" ref="G23">IFERROR(INDEX('Revisão_Gemini'!$H$7:$H$456,MATCH($A23,'Revisão_Gemini'!$A$7:$A$456,0))&amp;"","")</f>
        <v>Excluir</v>
      </c>
      <c r="H23" s="2" t="str">
        <f t="array" ref="H23">IFERROR(INDEX('Revisão_ChatGPT'!$H$7:$H$456,MATCH($A23,'Revisão_ChatGPT'!$A$7:$A$456,0))&amp;"","")</f>
        <v>Excluir</v>
      </c>
      <c r="I23" s="2" t="str">
        <f t="shared" si="1"/>
        <v>3/3</v>
      </c>
      <c r="J23" s="21"/>
      <c r="K23" s="21"/>
      <c r="L23" s="21"/>
      <c r="M23" s="22" t="b">
        <f t="shared" si="2"/>
        <v>0</v>
      </c>
      <c r="N23" s="21" t="s">
        <v>3156</v>
      </c>
      <c r="O23" s="2" t="str">
        <f t="shared" si="3"/>
        <v>Fora do recorte anual + Excluir</v>
      </c>
      <c r="P23" s="2" t="str">
        <f t="array" ref="P23">IF(O23&lt;&gt;"Incluir","",IF(K23&lt;&gt;"",K23,IF(IFERROR(INDEX(Triagem!$J$2:$J$451,MATCH($A23,Triagem!$A$2:$A$451,0))&amp;"","")&lt;&gt;"",IFERROR(INDEX(Triagem!$J$2:$J$451,MATCH($A23,Triagem!$A$2:$A$451,0))&amp;"",""),IF(IFERROR(INDEX('Revisão_Gemini'!$I$7:$I$456,MATCH($A23,'Revisão_Gemini'!$A$7:$A$456,0))&amp;"","")&lt;&gt;"",IFERROR(INDEX('Revisão_Gemini'!$I$7:$I$456,MATCH($A23,'Revisão_Gemini'!$A$7:$A$456,0))&amp;"",""),IFERROR(INDEX('Revisão_ChatGPT'!$I$7:$I$456,MATCH($A23,'Revisão_ChatGPT'!$A$7:$A$456,0))&amp;"","")))))</f>
        <v/>
      </c>
      <c r="Q23" s="2" t="str">
        <f t="array" ref="Q23">IF(O23&lt;&gt;"Excluir","",IF(L23&lt;&gt;"",L23,IF(F23="Excluir",IFERROR(INDEX(Triagem!$K$2:$K$451,MATCH($A23,Triagem!$A$2:$A$451,0))&amp;"",""),IF(G23="Excluir",IFERROR(INDEX('Revisão_Gemini'!$J$7:$J$456,MATCH($A23,'Revisão_Gemini'!$A$7:$A$456,0))&amp;"",""),IFERROR(INDEX('Revisão_ChatGPT'!$J$7:$J$456,MATCH($A23,'Revisão_ChatGPT'!$A$7:$A$456,0))&amp;"","")))))</f>
        <v/>
      </c>
    </row>
    <row r="24" ht="15.75" customHeight="1">
      <c r="A24" s="2" t="s">
        <v>674</v>
      </c>
      <c r="B24" s="19" t="str">
        <f t="array" ref="B24">INDEX(Triagem!$N$2:$N451 , MATCH(A24,Triagem!$A$2:$A451,0))</f>
        <v>abrir</v>
      </c>
      <c r="C24" s="20">
        <f t="array" ref="C24">INDEX(Triagem!$B$2:$B451 , MATCH(A24,Triagem!$A$2:$A451,0))</f>
        <v>2003</v>
      </c>
      <c r="D24" s="2" t="s">
        <v>676</v>
      </c>
      <c r="E24" s="2" t="s">
        <v>677</v>
      </c>
      <c r="F24" s="2" t="str">
        <f t="array" ref="F24">IFERROR(INDEX(Triagem!$I$2:$I$451,MATCH($A24,Triagem!$A$2:$A$451,0))&amp;"","")</f>
        <v>Incluir</v>
      </c>
      <c r="G24" s="2" t="str">
        <f t="array" ref="G24">IFERROR(INDEX('Revisão_Gemini'!$H$7:$H$456,MATCH($A24,'Revisão_Gemini'!$A$7:$A$456,0))&amp;"","")</f>
        <v>Incluir</v>
      </c>
      <c r="H24" s="2" t="str">
        <f t="array" ref="H24">IFERROR(INDEX('Revisão_ChatGPT'!$H$7:$H$456,MATCH($A24,'Revisão_ChatGPT'!$A$7:$A$456,0))&amp;"","")</f>
        <v>Incluir</v>
      </c>
      <c r="I24" s="2" t="str">
        <f t="shared" si="1"/>
        <v>3/3</v>
      </c>
      <c r="J24" s="21"/>
      <c r="K24" s="21"/>
      <c r="L24" s="21"/>
      <c r="M24" s="22" t="b">
        <f t="shared" si="2"/>
        <v>0</v>
      </c>
      <c r="N24" s="21"/>
      <c r="O24" s="2" t="str">
        <f t="shared" si="3"/>
        <v>Fora do recorte anual + Incluir</v>
      </c>
      <c r="P24" s="2" t="str">
        <f t="array" ref="P24">IF(O24&lt;&gt;"Incluir","",IF(K24&lt;&gt;"",K24,IF(IFERROR(INDEX(Triagem!$J$2:$J$451,MATCH($A24,Triagem!$A$2:$A$451,0))&amp;"","")&lt;&gt;"",IFERROR(INDEX(Triagem!$J$2:$J$451,MATCH($A24,Triagem!$A$2:$A$451,0))&amp;"",""),IF(IFERROR(INDEX('Revisão_Gemini'!$I$7:$I$456,MATCH($A24,'Revisão_Gemini'!$A$7:$A$456,0))&amp;"","")&lt;&gt;"",IFERROR(INDEX('Revisão_Gemini'!$I$7:$I$456,MATCH($A24,'Revisão_Gemini'!$A$7:$A$456,0))&amp;"",""),IFERROR(INDEX('Revisão_ChatGPT'!$I$7:$I$456,MATCH($A24,'Revisão_ChatGPT'!$A$7:$A$456,0))&amp;"","")))))</f>
        <v/>
      </c>
      <c r="Q24" s="2" t="str">
        <f t="array" ref="Q24">IF(O24&lt;&gt;"Excluir","",IF(L24&lt;&gt;"",L24,IF(F24="Excluir",IFERROR(INDEX(Triagem!$K$2:$K$451,MATCH($A24,Triagem!$A$2:$A$451,0))&amp;"",""),IF(G24="Excluir",IFERROR(INDEX('Revisão_Gemini'!$J$7:$J$456,MATCH($A24,'Revisão_Gemini'!$A$7:$A$456,0))&amp;"",""),IFERROR(INDEX('Revisão_ChatGPT'!$J$7:$J$456,MATCH($A24,'Revisão_ChatGPT'!$A$7:$A$456,0))&amp;"","")))))</f>
        <v/>
      </c>
    </row>
    <row r="25" ht="15.75" customHeight="1">
      <c r="A25" s="2" t="s">
        <v>1008</v>
      </c>
      <c r="B25" s="19" t="str">
        <f t="array" ref="B25">INDEX(Triagem!$N$2:$N451 , MATCH(A25,Triagem!$A$2:$A451,0))</f>
        <v>abrir</v>
      </c>
      <c r="C25" s="20">
        <f t="array" ref="C25">INDEX(Triagem!$B$2:$B451 , MATCH(A25,Triagem!$A$2:$A451,0))</f>
        <v>2003</v>
      </c>
      <c r="D25" s="2" t="s">
        <v>1010</v>
      </c>
      <c r="E25" s="2" t="s">
        <v>1011</v>
      </c>
      <c r="F25" s="2" t="str">
        <f t="array" ref="F25">IFERROR(INDEX(Triagem!$I$2:$I$451,MATCH($A25,Triagem!$A$2:$A$451,0))&amp;"","")</f>
        <v>Excluir</v>
      </c>
      <c r="G25" s="2" t="str">
        <f t="array" ref="G25">IFERROR(INDEX('Revisão_Gemini'!$H$7:$H$456,MATCH($A25,'Revisão_Gemini'!$A$7:$A$456,0))&amp;"","")</f>
        <v>Excluir</v>
      </c>
      <c r="H25" s="2" t="str">
        <f t="array" ref="H25">IFERROR(INDEX('Revisão_ChatGPT'!$H$7:$H$456,MATCH($A25,'Revisão_ChatGPT'!$A$7:$A$456,0))&amp;"","")</f>
        <v>Excluir</v>
      </c>
      <c r="I25" s="2" t="str">
        <f t="shared" si="1"/>
        <v>3/3</v>
      </c>
      <c r="J25" s="21"/>
      <c r="K25" s="21"/>
      <c r="L25" s="21"/>
      <c r="M25" s="22" t="b">
        <f t="shared" si="2"/>
        <v>0</v>
      </c>
      <c r="N25" s="21"/>
      <c r="O25" s="2" t="str">
        <f t="shared" si="3"/>
        <v>Fora do recorte anual + Excluir</v>
      </c>
      <c r="P25" s="2" t="str">
        <f t="array" ref="P25">IF(O25&lt;&gt;"Incluir","",IF(K25&lt;&gt;"",K25,IF(IFERROR(INDEX(Triagem!$J$2:$J$451,MATCH($A25,Triagem!$A$2:$A$451,0))&amp;"","")&lt;&gt;"",IFERROR(INDEX(Triagem!$J$2:$J$451,MATCH($A25,Triagem!$A$2:$A$451,0))&amp;"",""),IF(IFERROR(INDEX('Revisão_Gemini'!$I$7:$I$456,MATCH($A25,'Revisão_Gemini'!$A$7:$A$456,0))&amp;"","")&lt;&gt;"",IFERROR(INDEX('Revisão_Gemini'!$I$7:$I$456,MATCH($A25,'Revisão_Gemini'!$A$7:$A$456,0))&amp;"",""),IFERROR(INDEX('Revisão_ChatGPT'!$I$7:$I$456,MATCH($A25,'Revisão_ChatGPT'!$A$7:$A$456,0))&amp;"","")))))</f>
        <v/>
      </c>
      <c r="Q25" s="2" t="str">
        <f t="array" ref="Q25">IF(O25&lt;&gt;"Excluir","",IF(L25&lt;&gt;"",L25,IF(F25="Excluir",IFERROR(INDEX(Triagem!$K$2:$K$451,MATCH($A25,Triagem!$A$2:$A$451,0))&amp;"",""),IF(G25="Excluir",IFERROR(INDEX('Revisão_Gemini'!$J$7:$J$456,MATCH($A25,'Revisão_Gemini'!$A$7:$A$456,0))&amp;"",""),IFERROR(INDEX('Revisão_ChatGPT'!$J$7:$J$456,MATCH($A25,'Revisão_ChatGPT'!$A$7:$A$456,0))&amp;"","")))))</f>
        <v/>
      </c>
    </row>
    <row r="26" ht="15.75" customHeight="1">
      <c r="A26" s="2" t="s">
        <v>1481</v>
      </c>
      <c r="B26" s="19" t="str">
        <f t="array" ref="B26">INDEX(Triagem!$N$2:$N451 , MATCH(A26,Triagem!$A$2:$A451,0))</f>
        <v>abrir</v>
      </c>
      <c r="C26" s="20">
        <f t="array" ref="C26">INDEX(Triagem!$B$2:$B451 , MATCH(A26,Triagem!$A$2:$A451,0))</f>
        <v>2003</v>
      </c>
      <c r="D26" s="2" t="s">
        <v>1483</v>
      </c>
      <c r="E26" s="2" t="s">
        <v>1484</v>
      </c>
      <c r="F26" s="2" t="str">
        <f t="array" ref="F26">IFERROR(INDEX(Triagem!$I$2:$I$451,MATCH($A26,Triagem!$A$2:$A$451,0))&amp;"","")</f>
        <v>Excluir</v>
      </c>
      <c r="G26" s="2" t="str">
        <f t="array" ref="G26">IFERROR(INDEX('Revisão_Gemini'!$H$7:$H$456,MATCH($A26,'Revisão_Gemini'!$A$7:$A$456,0))&amp;"","")</f>
        <v>Excluir</v>
      </c>
      <c r="H26" s="2" t="str">
        <f t="array" ref="H26">IFERROR(INDEX('Revisão_ChatGPT'!$H$7:$H$456,MATCH($A26,'Revisão_ChatGPT'!$A$7:$A$456,0))&amp;"","")</f>
        <v>Excluir</v>
      </c>
      <c r="I26" s="2" t="str">
        <f t="shared" si="1"/>
        <v>3/3</v>
      </c>
      <c r="J26" s="21"/>
      <c r="K26" s="21"/>
      <c r="L26" s="21"/>
      <c r="M26" s="22" t="b">
        <f t="shared" si="2"/>
        <v>0</v>
      </c>
      <c r="N26" s="21" t="s">
        <v>3157</v>
      </c>
      <c r="O26" s="2" t="str">
        <f t="shared" si="3"/>
        <v>Fora do recorte anual + Excluir</v>
      </c>
      <c r="P26" s="2" t="str">
        <f t="array" ref="P26">IF(O26&lt;&gt;"Incluir","",IF(K26&lt;&gt;"",K26,IF(IFERROR(INDEX(Triagem!$J$2:$J$451,MATCH($A26,Triagem!$A$2:$A$451,0))&amp;"","")&lt;&gt;"",IFERROR(INDEX(Triagem!$J$2:$J$451,MATCH($A26,Triagem!$A$2:$A$451,0))&amp;"",""),IF(IFERROR(INDEX('Revisão_Gemini'!$I$7:$I$456,MATCH($A26,'Revisão_Gemini'!$A$7:$A$456,0))&amp;"","")&lt;&gt;"",IFERROR(INDEX('Revisão_Gemini'!$I$7:$I$456,MATCH($A26,'Revisão_Gemini'!$A$7:$A$456,0))&amp;"",""),IFERROR(INDEX('Revisão_ChatGPT'!$I$7:$I$456,MATCH($A26,'Revisão_ChatGPT'!$A$7:$A$456,0))&amp;"","")))))</f>
        <v/>
      </c>
      <c r="Q26" s="2" t="str">
        <f t="array" ref="Q26">IF(O26&lt;&gt;"Excluir","",IF(L26&lt;&gt;"",L26,IF(F26="Excluir",IFERROR(INDEX(Triagem!$K$2:$K$451,MATCH($A26,Triagem!$A$2:$A$451,0))&amp;"",""),IF(G26="Excluir",IFERROR(INDEX('Revisão_Gemini'!$J$7:$J$456,MATCH($A26,'Revisão_Gemini'!$A$7:$A$456,0))&amp;"",""),IFERROR(INDEX('Revisão_ChatGPT'!$J$7:$J$456,MATCH($A26,'Revisão_ChatGPT'!$A$7:$A$456,0))&amp;"","")))))</f>
        <v/>
      </c>
    </row>
    <row r="27" ht="15.75" customHeight="1">
      <c r="A27" s="2" t="s">
        <v>998</v>
      </c>
      <c r="B27" s="19" t="str">
        <f t="array" ref="B27">INDEX(Triagem!$N$2:$N451 , MATCH(A27,Triagem!$A$2:$A451,0))</f>
        <v>abrir</v>
      </c>
      <c r="C27" s="20">
        <f t="array" ref="C27">INDEX(Triagem!$B$2:$B451 , MATCH(A27,Triagem!$A$2:$A451,0))</f>
        <v>2004</v>
      </c>
      <c r="D27" s="2" t="s">
        <v>1000</v>
      </c>
      <c r="E27" s="2" t="s">
        <v>1001</v>
      </c>
      <c r="F27" s="2" t="str">
        <f t="array" ref="F27">IFERROR(INDEX(Triagem!$I$2:$I$451,MATCH($A27,Triagem!$A$2:$A$451,0))&amp;"","")</f>
        <v>Excluir</v>
      </c>
      <c r="G27" s="2" t="str">
        <f t="array" ref="G27">IFERROR(INDEX('Revisão_Gemini'!$H$7:$H$456,MATCH($A27,'Revisão_Gemini'!$A$7:$A$456,0))&amp;"","")</f>
        <v>Excluir</v>
      </c>
      <c r="H27" s="2" t="str">
        <f t="array" ref="H27">IFERROR(INDEX('Revisão_ChatGPT'!$H$7:$H$456,MATCH($A27,'Revisão_ChatGPT'!$A$7:$A$456,0))&amp;"","")</f>
        <v>Excluir</v>
      </c>
      <c r="I27" s="2" t="str">
        <f t="shared" si="1"/>
        <v>3/3</v>
      </c>
      <c r="J27" s="21"/>
      <c r="K27" s="21"/>
      <c r="L27" s="21"/>
      <c r="M27" s="22" t="b">
        <f t="shared" si="2"/>
        <v>0</v>
      </c>
      <c r="N27" s="21"/>
      <c r="O27" s="2" t="str">
        <f t="shared" si="3"/>
        <v>Fora do recorte anual + Excluir</v>
      </c>
      <c r="P27" s="2" t="str">
        <f t="array" ref="P27">IF(O27&lt;&gt;"Incluir","",IF(K27&lt;&gt;"",K27,IF(IFERROR(INDEX(Triagem!$J$2:$J$451,MATCH($A27,Triagem!$A$2:$A$451,0))&amp;"","")&lt;&gt;"",IFERROR(INDEX(Triagem!$J$2:$J$451,MATCH($A27,Triagem!$A$2:$A$451,0))&amp;"",""),IF(IFERROR(INDEX('Revisão_Gemini'!$I$7:$I$456,MATCH($A27,'Revisão_Gemini'!$A$7:$A$456,0))&amp;"","")&lt;&gt;"",IFERROR(INDEX('Revisão_Gemini'!$I$7:$I$456,MATCH($A27,'Revisão_Gemini'!$A$7:$A$456,0))&amp;"",""),IFERROR(INDEX('Revisão_ChatGPT'!$I$7:$I$456,MATCH($A27,'Revisão_ChatGPT'!$A$7:$A$456,0))&amp;"","")))))</f>
        <v/>
      </c>
      <c r="Q27" s="2" t="str">
        <f t="array" ref="Q27">IF(O27&lt;&gt;"Excluir","",IF(L27&lt;&gt;"",L27,IF(F27="Excluir",IFERROR(INDEX(Triagem!$K$2:$K$451,MATCH($A27,Triagem!$A$2:$A$451,0))&amp;"",""),IF(G27="Excluir",IFERROR(INDEX('Revisão_Gemini'!$J$7:$J$456,MATCH($A27,'Revisão_Gemini'!$A$7:$A$456,0))&amp;"",""),IFERROR(INDEX('Revisão_ChatGPT'!$J$7:$J$456,MATCH($A27,'Revisão_ChatGPT'!$A$7:$A$456,0))&amp;"","")))))</f>
        <v/>
      </c>
    </row>
    <row r="28" ht="15.75" customHeight="1">
      <c r="A28" s="2" t="s">
        <v>1003</v>
      </c>
      <c r="B28" s="19" t="str">
        <f t="array" ref="B28">INDEX(Triagem!$N$2:$N451 , MATCH(A28,Triagem!$A$2:$A451,0))</f>
        <v>abrir</v>
      </c>
      <c r="C28" s="20">
        <f t="array" ref="C28">INDEX(Triagem!$B$2:$B451 , MATCH(A28,Triagem!$A$2:$A451,0))</f>
        <v>2004</v>
      </c>
      <c r="D28" s="2" t="s">
        <v>1005</v>
      </c>
      <c r="E28" s="2" t="s">
        <v>1006</v>
      </c>
      <c r="F28" s="2" t="str">
        <f t="array" ref="F28">IFERROR(INDEX(Triagem!$I$2:$I$451,MATCH($A28,Triagem!$A$2:$A$451,0))&amp;"","")</f>
        <v>Excluir</v>
      </c>
      <c r="G28" s="2" t="str">
        <f t="array" ref="G28">IFERROR(INDEX('Revisão_Gemini'!$H$7:$H$456,MATCH($A28,'Revisão_Gemini'!$A$7:$A$456,0))&amp;"","")</f>
        <v>Excluir</v>
      </c>
      <c r="H28" s="2" t="str">
        <f t="array" ref="H28">IFERROR(INDEX('Revisão_ChatGPT'!$H$7:$H$456,MATCH($A28,'Revisão_ChatGPT'!$A$7:$A$456,0))&amp;"","")</f>
        <v>Excluir</v>
      </c>
      <c r="I28" s="2" t="str">
        <f t="shared" si="1"/>
        <v>3/3</v>
      </c>
      <c r="J28" s="21"/>
      <c r="K28" s="21"/>
      <c r="L28" s="21"/>
      <c r="M28" s="22" t="b">
        <f t="shared" si="2"/>
        <v>0</v>
      </c>
      <c r="N28" s="21" t="s">
        <v>3158</v>
      </c>
      <c r="O28" s="2" t="str">
        <f t="shared" si="3"/>
        <v>Fora do recorte anual + Excluir</v>
      </c>
      <c r="P28" s="2" t="str">
        <f t="array" ref="P28">IF(O28&lt;&gt;"Incluir","",IF(K28&lt;&gt;"",K28,IF(IFERROR(INDEX(Triagem!$J$2:$J$451,MATCH($A28,Triagem!$A$2:$A$451,0))&amp;"","")&lt;&gt;"",IFERROR(INDEX(Triagem!$J$2:$J$451,MATCH($A28,Triagem!$A$2:$A$451,0))&amp;"",""),IF(IFERROR(INDEX('Revisão_Gemini'!$I$7:$I$456,MATCH($A28,'Revisão_Gemini'!$A$7:$A$456,0))&amp;"","")&lt;&gt;"",IFERROR(INDEX('Revisão_Gemini'!$I$7:$I$456,MATCH($A28,'Revisão_Gemini'!$A$7:$A$456,0))&amp;"",""),IFERROR(INDEX('Revisão_ChatGPT'!$I$7:$I$456,MATCH($A28,'Revisão_ChatGPT'!$A$7:$A$456,0))&amp;"","")))))</f>
        <v/>
      </c>
      <c r="Q28" s="2" t="str">
        <f t="array" ref="Q28">IF(O28&lt;&gt;"Excluir","",IF(L28&lt;&gt;"",L28,IF(F28="Excluir",IFERROR(INDEX(Triagem!$K$2:$K$451,MATCH($A28,Triagem!$A$2:$A$451,0))&amp;"",""),IF(G28="Excluir",IFERROR(INDEX('Revisão_Gemini'!$J$7:$J$456,MATCH($A28,'Revisão_Gemini'!$A$7:$A$456,0))&amp;"",""),IFERROR(INDEX('Revisão_ChatGPT'!$J$7:$J$456,MATCH($A28,'Revisão_ChatGPT'!$A$7:$A$456,0))&amp;"","")))))</f>
        <v/>
      </c>
    </row>
    <row r="29" ht="15.75" customHeight="1">
      <c r="A29" s="2" t="s">
        <v>2062</v>
      </c>
      <c r="B29" s="19" t="str">
        <f t="array" ref="B29">INDEX(Triagem!$N$2:$N451 , MATCH(A29,Triagem!$A$2:$A451,0))</f>
        <v>abrir</v>
      </c>
      <c r="C29" s="20">
        <f t="array" ref="C29">INDEX(Triagem!$B$2:$B451 , MATCH(A29,Triagem!$A$2:$A451,0))</f>
        <v>2004</v>
      </c>
      <c r="D29" s="2" t="s">
        <v>2064</v>
      </c>
      <c r="E29" s="2" t="s">
        <v>2065</v>
      </c>
      <c r="F29" s="2" t="str">
        <f t="array" ref="F29">IFERROR(INDEX(Triagem!$I$2:$I$451,MATCH($A29,Triagem!$A$2:$A$451,0))&amp;"","")</f>
        <v>Excluir</v>
      </c>
      <c r="G29" s="2" t="str">
        <f t="array" ref="G29">IFERROR(INDEX('Revisão_Gemini'!$H$7:$H$456,MATCH($A29,'Revisão_Gemini'!$A$7:$A$456,0))&amp;"","")</f>
        <v>Excluir</v>
      </c>
      <c r="H29" s="2" t="str">
        <f t="array" ref="H29">IFERROR(INDEX('Revisão_ChatGPT'!$H$7:$H$456,MATCH($A29,'Revisão_ChatGPT'!$A$7:$A$456,0))&amp;"","")</f>
        <v>Excluir</v>
      </c>
      <c r="I29" s="2" t="str">
        <f t="shared" si="1"/>
        <v>3/3</v>
      </c>
      <c r="J29" s="21"/>
      <c r="K29" s="21"/>
      <c r="L29" s="21"/>
      <c r="M29" s="22" t="b">
        <f t="shared" si="2"/>
        <v>0</v>
      </c>
      <c r="N29" s="21"/>
      <c r="O29" s="2" t="str">
        <f t="shared" si="3"/>
        <v>Fora do recorte anual + Excluir</v>
      </c>
      <c r="P29" s="2" t="str">
        <f t="array" ref="P29">IF(O29&lt;&gt;"Incluir","",IF(K29&lt;&gt;"",K29,IF(IFERROR(INDEX(Triagem!$J$2:$J$451,MATCH($A29,Triagem!$A$2:$A$451,0))&amp;"","")&lt;&gt;"",IFERROR(INDEX(Triagem!$J$2:$J$451,MATCH($A29,Triagem!$A$2:$A$451,0))&amp;"",""),IF(IFERROR(INDEX('Revisão_Gemini'!$I$7:$I$456,MATCH($A29,'Revisão_Gemini'!$A$7:$A$456,0))&amp;"","")&lt;&gt;"",IFERROR(INDEX('Revisão_Gemini'!$I$7:$I$456,MATCH($A29,'Revisão_Gemini'!$A$7:$A$456,0))&amp;"",""),IFERROR(INDEX('Revisão_ChatGPT'!$I$7:$I$456,MATCH($A29,'Revisão_ChatGPT'!$A$7:$A$456,0))&amp;"","")))))</f>
        <v/>
      </c>
      <c r="Q29" s="2" t="str">
        <f t="array" ref="Q29">IF(O29&lt;&gt;"Excluir","",IF(L29&lt;&gt;"",L29,IF(F29="Excluir",IFERROR(INDEX(Triagem!$K$2:$K$451,MATCH($A29,Triagem!$A$2:$A$451,0))&amp;"",""),IF(G29="Excluir",IFERROR(INDEX('Revisão_Gemini'!$J$7:$J$456,MATCH($A29,'Revisão_Gemini'!$A$7:$A$456,0))&amp;"",""),IFERROR(INDEX('Revisão_ChatGPT'!$J$7:$J$456,MATCH($A29,'Revisão_ChatGPT'!$A$7:$A$456,0))&amp;"","")))))</f>
        <v/>
      </c>
    </row>
    <row r="30" ht="15.75" customHeight="1">
      <c r="A30" s="2" t="s">
        <v>1842</v>
      </c>
      <c r="B30" s="19" t="str">
        <f t="array" ref="B30">INDEX(Triagem!$N$2:$N451 , MATCH(A30,Triagem!$A$2:$A451,0))</f>
        <v>abrir</v>
      </c>
      <c r="C30" s="20">
        <f t="array" ref="C30">INDEX(Triagem!$B$2:$B451 , MATCH(A30,Triagem!$A$2:$A451,0))</f>
        <v>2005</v>
      </c>
      <c r="D30" s="2" t="s">
        <v>1844</v>
      </c>
      <c r="E30" s="2" t="s">
        <v>1845</v>
      </c>
      <c r="F30" s="2" t="str">
        <f t="array" ref="F30">IFERROR(INDEX(Triagem!$I$2:$I$451,MATCH($A30,Triagem!$A$2:$A$451,0))&amp;"","")</f>
        <v>Excluir</v>
      </c>
      <c r="G30" s="2" t="str">
        <f t="array" ref="G30">IFERROR(INDEX('Revisão_Gemini'!$H$7:$H$456,MATCH($A30,'Revisão_Gemini'!$A$7:$A$456,0))&amp;"","")</f>
        <v>Excluir</v>
      </c>
      <c r="H30" s="2" t="str">
        <f t="array" ref="H30">IFERROR(INDEX('Revisão_ChatGPT'!$H$7:$H$456,MATCH($A30,'Revisão_ChatGPT'!$A$7:$A$456,0))&amp;"","")</f>
        <v>Excluir</v>
      </c>
      <c r="I30" s="2" t="str">
        <f t="shared" si="1"/>
        <v>3/3</v>
      </c>
      <c r="J30" s="21"/>
      <c r="K30" s="21"/>
      <c r="L30" s="21"/>
      <c r="M30" s="22" t="b">
        <f t="shared" si="2"/>
        <v>0</v>
      </c>
      <c r="N30" s="21" t="s">
        <v>3159</v>
      </c>
      <c r="O30" s="2" t="str">
        <f t="shared" si="3"/>
        <v>Fora do recorte anual + Excluir</v>
      </c>
      <c r="P30" s="2" t="str">
        <f t="array" ref="P30">IF(O30&lt;&gt;"Incluir","",IF(K30&lt;&gt;"",K30,IF(IFERROR(INDEX(Triagem!$J$2:$J$451,MATCH($A30,Triagem!$A$2:$A$451,0))&amp;"","")&lt;&gt;"",IFERROR(INDEX(Triagem!$J$2:$J$451,MATCH($A30,Triagem!$A$2:$A$451,0))&amp;"",""),IF(IFERROR(INDEX('Revisão_Gemini'!$I$7:$I$456,MATCH($A30,'Revisão_Gemini'!$A$7:$A$456,0))&amp;"","")&lt;&gt;"",IFERROR(INDEX('Revisão_Gemini'!$I$7:$I$456,MATCH($A30,'Revisão_Gemini'!$A$7:$A$456,0))&amp;"",""),IFERROR(INDEX('Revisão_ChatGPT'!$I$7:$I$456,MATCH($A30,'Revisão_ChatGPT'!$A$7:$A$456,0))&amp;"","")))))</f>
        <v/>
      </c>
      <c r="Q30" s="2" t="str">
        <f t="array" ref="Q30">IF(O30&lt;&gt;"Excluir","",IF(L30&lt;&gt;"",L30,IF(F30="Excluir",IFERROR(INDEX(Triagem!$K$2:$K$451,MATCH($A30,Triagem!$A$2:$A$451,0))&amp;"",""),IF(G30="Excluir",IFERROR(INDEX('Revisão_Gemini'!$J$7:$J$456,MATCH($A30,'Revisão_Gemini'!$A$7:$A$456,0))&amp;"",""),IFERROR(INDEX('Revisão_ChatGPT'!$J$7:$J$456,MATCH($A30,'Revisão_ChatGPT'!$A$7:$A$456,0))&amp;"","")))))</f>
        <v/>
      </c>
    </row>
    <row r="31" ht="15.75" customHeight="1">
      <c r="A31" s="2" t="s">
        <v>1846</v>
      </c>
      <c r="B31" s="19" t="str">
        <f t="array" ref="B31">INDEX(Triagem!$N$2:$N451 , MATCH(A31,Triagem!$A$2:$A451,0))</f>
        <v>abrir</v>
      </c>
      <c r="C31" s="20">
        <f t="array" ref="C31">INDEX(Triagem!$B$2:$B451 , MATCH(A31,Triagem!$A$2:$A451,0))</f>
        <v>2005</v>
      </c>
      <c r="D31" s="2" t="s">
        <v>1848</v>
      </c>
      <c r="E31" s="2" t="s">
        <v>1849</v>
      </c>
      <c r="F31" s="2" t="str">
        <f t="array" ref="F31">IFERROR(INDEX(Triagem!$I$2:$I$451,MATCH($A31,Triagem!$A$2:$A$451,0))&amp;"","")</f>
        <v>Excluir</v>
      </c>
      <c r="G31" s="2" t="str">
        <f t="array" ref="G31">IFERROR(INDEX('Revisão_Gemini'!$H$7:$H$456,MATCH($A31,'Revisão_Gemini'!$A$7:$A$456,0))&amp;"","")</f>
        <v>Excluir</v>
      </c>
      <c r="H31" s="2" t="str">
        <f t="array" ref="H31">IFERROR(INDEX('Revisão_ChatGPT'!$H$7:$H$456,MATCH($A31,'Revisão_ChatGPT'!$A$7:$A$456,0))&amp;"","")</f>
        <v>Excluir</v>
      </c>
      <c r="I31" s="2" t="str">
        <f t="shared" si="1"/>
        <v>3/3</v>
      </c>
      <c r="J31" s="21"/>
      <c r="K31" s="21"/>
      <c r="L31" s="21"/>
      <c r="M31" s="22" t="b">
        <f t="shared" si="2"/>
        <v>0</v>
      </c>
      <c r="N31" s="21" t="s">
        <v>3160</v>
      </c>
      <c r="O31" s="2" t="str">
        <f t="shared" si="3"/>
        <v>Fora do recorte anual + Excluir</v>
      </c>
      <c r="P31" s="2" t="str">
        <f t="array" ref="P31">IF(O31&lt;&gt;"Incluir","",IF(K31&lt;&gt;"",K31,IF(IFERROR(INDEX(Triagem!$J$2:$J$451,MATCH($A31,Triagem!$A$2:$A$451,0))&amp;"","")&lt;&gt;"",IFERROR(INDEX(Triagem!$J$2:$J$451,MATCH($A31,Triagem!$A$2:$A$451,0))&amp;"",""),IF(IFERROR(INDEX('Revisão_Gemini'!$I$7:$I$456,MATCH($A31,'Revisão_Gemini'!$A$7:$A$456,0))&amp;"","")&lt;&gt;"",IFERROR(INDEX('Revisão_Gemini'!$I$7:$I$456,MATCH($A31,'Revisão_Gemini'!$A$7:$A$456,0))&amp;"",""),IFERROR(INDEX('Revisão_ChatGPT'!$I$7:$I$456,MATCH($A31,'Revisão_ChatGPT'!$A$7:$A$456,0))&amp;"","")))))</f>
        <v/>
      </c>
      <c r="Q31" s="2" t="str">
        <f t="array" ref="Q31">IF(O31&lt;&gt;"Excluir","",IF(L31&lt;&gt;"",L31,IF(F31="Excluir",IFERROR(INDEX(Triagem!$K$2:$K$451,MATCH($A31,Triagem!$A$2:$A$451,0))&amp;"",""),IF(G31="Excluir",IFERROR(INDEX('Revisão_Gemini'!$J$7:$J$456,MATCH($A31,'Revisão_Gemini'!$A$7:$A$456,0))&amp;"",""),IFERROR(INDEX('Revisão_ChatGPT'!$J$7:$J$456,MATCH($A31,'Revisão_ChatGPT'!$A$7:$A$456,0))&amp;"","")))))</f>
        <v/>
      </c>
    </row>
    <row r="32" ht="15.75" customHeight="1">
      <c r="A32" s="2" t="s">
        <v>666</v>
      </c>
      <c r="B32" s="19" t="str">
        <f t="array" ref="B32">INDEX(Triagem!$N$2:$N451 , MATCH(A32,Triagem!$A$2:$A451,0))</f>
        <v>abrir</v>
      </c>
      <c r="C32" s="20">
        <f t="array" ref="C32">INDEX(Triagem!$B$2:$B451 , MATCH(A32,Triagem!$A$2:$A451,0))</f>
        <v>2005</v>
      </c>
      <c r="D32" s="2" t="s">
        <v>668</v>
      </c>
      <c r="E32" s="2" t="s">
        <v>669</v>
      </c>
      <c r="F32" s="2" t="str">
        <f t="array" ref="F32">IFERROR(INDEX(Triagem!$I$2:$I$451,MATCH($A32,Triagem!$A$2:$A$451,0))&amp;"","")</f>
        <v>Incluir</v>
      </c>
      <c r="G32" s="2" t="str">
        <f t="array" ref="G32">IFERROR(INDEX('Revisão_Gemini'!$H$7:$H$456,MATCH($A32,'Revisão_Gemini'!$A$7:$A$456,0))&amp;"","")</f>
        <v>Incluir</v>
      </c>
      <c r="H32" s="2" t="str">
        <f t="array" ref="H32">IFERROR(INDEX('Revisão_ChatGPT'!$H$7:$H$456,MATCH($A32,'Revisão_ChatGPT'!$A$7:$A$456,0))&amp;"","")</f>
        <v>Incluir</v>
      </c>
      <c r="I32" s="2" t="str">
        <f t="shared" si="1"/>
        <v>3/3</v>
      </c>
      <c r="J32" s="21"/>
      <c r="K32" s="21"/>
      <c r="L32" s="21"/>
      <c r="M32" s="22" t="b">
        <f t="shared" si="2"/>
        <v>0</v>
      </c>
      <c r="N32" s="21"/>
      <c r="O32" s="2" t="str">
        <f t="shared" si="3"/>
        <v>Fora do recorte anual + Incluir</v>
      </c>
      <c r="P32" s="2" t="str">
        <f t="array" ref="P32">IF(O32&lt;&gt;"Incluir","",IF(K32&lt;&gt;"",K32,IF(IFERROR(INDEX(Triagem!$J$2:$J$451,MATCH($A32,Triagem!$A$2:$A$451,0))&amp;"","")&lt;&gt;"",IFERROR(INDEX(Triagem!$J$2:$J$451,MATCH($A32,Triagem!$A$2:$A$451,0))&amp;"",""),IF(IFERROR(INDEX('Revisão_Gemini'!$I$7:$I$456,MATCH($A32,'Revisão_Gemini'!$A$7:$A$456,0))&amp;"","")&lt;&gt;"",IFERROR(INDEX('Revisão_Gemini'!$I$7:$I$456,MATCH($A32,'Revisão_Gemini'!$A$7:$A$456,0))&amp;"",""),IFERROR(INDEX('Revisão_ChatGPT'!$I$7:$I$456,MATCH($A32,'Revisão_ChatGPT'!$A$7:$A$456,0))&amp;"","")))))</f>
        <v/>
      </c>
      <c r="Q32" s="2" t="str">
        <f t="array" ref="Q32">IF(O32&lt;&gt;"Excluir","",IF(L32&lt;&gt;"",L32,IF(F32="Excluir",IFERROR(INDEX(Triagem!$K$2:$K$451,MATCH($A32,Triagem!$A$2:$A$451,0))&amp;"",""),IF(G32="Excluir",IFERROR(INDEX('Revisão_Gemini'!$J$7:$J$456,MATCH($A32,'Revisão_Gemini'!$A$7:$A$456,0))&amp;"",""),IFERROR(INDEX('Revisão_ChatGPT'!$J$7:$J$456,MATCH($A32,'Revisão_ChatGPT'!$A$7:$A$456,0))&amp;"","")))))</f>
        <v/>
      </c>
    </row>
    <row r="33" ht="15.75" customHeight="1">
      <c r="A33" s="2" t="s">
        <v>1850</v>
      </c>
      <c r="B33" s="19" t="str">
        <f t="array" ref="B33">INDEX(Triagem!$N$2:$N451 , MATCH(A33,Triagem!$A$2:$A451,0))</f>
        <v>abrir</v>
      </c>
      <c r="C33" s="20">
        <f t="array" ref="C33">INDEX(Triagem!$B$2:$B451 , MATCH(A33,Triagem!$A$2:$A451,0))</f>
        <v>2005</v>
      </c>
      <c r="D33" s="2" t="s">
        <v>1852</v>
      </c>
      <c r="E33" s="2" t="s">
        <v>1853</v>
      </c>
      <c r="F33" s="2" t="str">
        <f t="array" ref="F33">IFERROR(INDEX(Triagem!$I$2:$I$451,MATCH($A33,Triagem!$A$2:$A$451,0))&amp;"","")</f>
        <v>Excluir</v>
      </c>
      <c r="G33" s="2" t="str">
        <f t="array" ref="G33">IFERROR(INDEX('Revisão_Gemini'!$H$7:$H$456,MATCH($A33,'Revisão_Gemini'!$A$7:$A$456,0))&amp;"","")</f>
        <v>Excluir</v>
      </c>
      <c r="H33" s="2" t="str">
        <f t="array" ref="H33">IFERROR(INDEX('Revisão_ChatGPT'!$H$7:$H$456,MATCH($A33,'Revisão_ChatGPT'!$A$7:$A$456,0))&amp;"","")</f>
        <v>Excluir</v>
      </c>
      <c r="I33" s="2" t="str">
        <f t="shared" si="1"/>
        <v>3/3</v>
      </c>
      <c r="J33" s="21"/>
      <c r="K33" s="21"/>
      <c r="L33" s="21"/>
      <c r="M33" s="22" t="b">
        <f t="shared" si="2"/>
        <v>0</v>
      </c>
      <c r="N33" s="21" t="s">
        <v>3161</v>
      </c>
      <c r="O33" s="2" t="str">
        <f t="shared" si="3"/>
        <v>Fora do recorte anual + Excluir</v>
      </c>
      <c r="P33" s="2" t="str">
        <f t="array" ref="P33">IF(O33&lt;&gt;"Incluir","",IF(K33&lt;&gt;"",K33,IF(IFERROR(INDEX(Triagem!$J$2:$J$451,MATCH($A33,Triagem!$A$2:$A$451,0))&amp;"","")&lt;&gt;"",IFERROR(INDEX(Triagem!$J$2:$J$451,MATCH($A33,Triagem!$A$2:$A$451,0))&amp;"",""),IF(IFERROR(INDEX('Revisão_Gemini'!$I$7:$I$456,MATCH($A33,'Revisão_Gemini'!$A$7:$A$456,0))&amp;"","")&lt;&gt;"",IFERROR(INDEX('Revisão_Gemini'!$I$7:$I$456,MATCH($A33,'Revisão_Gemini'!$A$7:$A$456,0))&amp;"",""),IFERROR(INDEX('Revisão_ChatGPT'!$I$7:$I$456,MATCH($A33,'Revisão_ChatGPT'!$A$7:$A$456,0))&amp;"","")))))</f>
        <v/>
      </c>
      <c r="Q33" s="2" t="str">
        <f t="array" ref="Q33">IF(O33&lt;&gt;"Excluir","",IF(L33&lt;&gt;"",L33,IF(F33="Excluir",IFERROR(INDEX(Triagem!$K$2:$K$451,MATCH($A33,Triagem!$A$2:$A$451,0))&amp;"",""),IF(G33="Excluir",IFERROR(INDEX('Revisão_Gemini'!$J$7:$J$456,MATCH($A33,'Revisão_Gemini'!$A$7:$A$456,0))&amp;"",""),IFERROR(INDEX('Revisão_ChatGPT'!$J$7:$J$456,MATCH($A33,'Revisão_ChatGPT'!$A$7:$A$456,0))&amp;"","")))))</f>
        <v/>
      </c>
    </row>
    <row r="34" ht="15.75" customHeight="1">
      <c r="A34" s="2" t="s">
        <v>1855</v>
      </c>
      <c r="B34" s="19" t="str">
        <f t="array" ref="B34">INDEX(Triagem!$N$2:$N451 , MATCH(A34,Triagem!$A$2:$A451,0))</f>
        <v>abrir</v>
      </c>
      <c r="C34" s="20">
        <f t="array" ref="C34">INDEX(Triagem!$B$2:$B451 , MATCH(A34,Triagem!$A$2:$A451,0))</f>
        <v>2005</v>
      </c>
      <c r="D34" s="2" t="s">
        <v>1857</v>
      </c>
      <c r="E34" s="2" t="s">
        <v>1858</v>
      </c>
      <c r="F34" s="2" t="str">
        <f t="array" ref="F34">IFERROR(INDEX(Triagem!$I$2:$I$451,MATCH($A34,Triagem!$A$2:$A$451,0))&amp;"","")</f>
        <v>Excluir</v>
      </c>
      <c r="G34" s="2" t="str">
        <f t="array" ref="G34">IFERROR(INDEX('Revisão_Gemini'!$H$7:$H$456,MATCH($A34,'Revisão_Gemini'!$A$7:$A$456,0))&amp;"","")</f>
        <v>Excluir</v>
      </c>
      <c r="H34" s="2" t="str">
        <f t="array" ref="H34">IFERROR(INDEX('Revisão_ChatGPT'!$H$7:$H$456,MATCH($A34,'Revisão_ChatGPT'!$A$7:$A$456,0))&amp;"","")</f>
        <v>Excluir</v>
      </c>
      <c r="I34" s="2" t="str">
        <f t="shared" si="1"/>
        <v>3/3</v>
      </c>
      <c r="J34" s="21"/>
      <c r="K34" s="21"/>
      <c r="L34" s="21"/>
      <c r="M34" s="22" t="b">
        <f t="shared" si="2"/>
        <v>0</v>
      </c>
      <c r="N34" s="21" t="s">
        <v>3162</v>
      </c>
      <c r="O34" s="2" t="str">
        <f t="shared" si="3"/>
        <v>Fora do recorte anual + Excluir</v>
      </c>
      <c r="P34" s="2" t="str">
        <f t="array" ref="P34">IF(O34&lt;&gt;"Incluir","",IF(K34&lt;&gt;"",K34,IF(IFERROR(INDEX(Triagem!$J$2:$J$451,MATCH($A34,Triagem!$A$2:$A$451,0))&amp;"","")&lt;&gt;"",IFERROR(INDEX(Triagem!$J$2:$J$451,MATCH($A34,Triagem!$A$2:$A$451,0))&amp;"",""),IF(IFERROR(INDEX('Revisão_Gemini'!$I$7:$I$456,MATCH($A34,'Revisão_Gemini'!$A$7:$A$456,0))&amp;"","")&lt;&gt;"",IFERROR(INDEX('Revisão_Gemini'!$I$7:$I$456,MATCH($A34,'Revisão_Gemini'!$A$7:$A$456,0))&amp;"",""),IFERROR(INDEX('Revisão_ChatGPT'!$I$7:$I$456,MATCH($A34,'Revisão_ChatGPT'!$A$7:$A$456,0))&amp;"","")))))</f>
        <v/>
      </c>
      <c r="Q34" s="2" t="str">
        <f t="array" ref="Q34">IF(O34&lt;&gt;"Excluir","",IF(L34&lt;&gt;"",L34,IF(F34="Excluir",IFERROR(INDEX(Triagem!$K$2:$K$451,MATCH($A34,Triagem!$A$2:$A$451,0))&amp;"",""),IF(G34="Excluir",IFERROR(INDEX('Revisão_Gemini'!$J$7:$J$456,MATCH($A34,'Revisão_Gemini'!$A$7:$A$456,0))&amp;"",""),IFERROR(INDEX('Revisão_ChatGPT'!$J$7:$J$456,MATCH($A34,'Revisão_ChatGPT'!$A$7:$A$456,0))&amp;"","")))))</f>
        <v/>
      </c>
    </row>
    <row r="35" ht="15.75" customHeight="1">
      <c r="A35" s="2" t="s">
        <v>1859</v>
      </c>
      <c r="B35" s="19" t="str">
        <f t="array" ref="B35">INDEX(Triagem!$N$2:$N451 , MATCH(A35,Triagem!$A$2:$A451,0))</f>
        <v>abrir</v>
      </c>
      <c r="C35" s="20">
        <f t="array" ref="C35">INDEX(Triagem!$B$2:$B451 , MATCH(A35,Triagem!$A$2:$A451,0))</f>
        <v>2005</v>
      </c>
      <c r="D35" s="2" t="s">
        <v>1861</v>
      </c>
      <c r="E35" s="2" t="s">
        <v>1862</v>
      </c>
      <c r="F35" s="2" t="str">
        <f t="array" ref="F35">IFERROR(INDEX(Triagem!$I$2:$I$451,MATCH($A35,Triagem!$A$2:$A$451,0))&amp;"","")</f>
        <v>Excluir</v>
      </c>
      <c r="G35" s="2" t="str">
        <f t="array" ref="G35">IFERROR(INDEX('Revisão_Gemini'!$H$7:$H$456,MATCH($A35,'Revisão_Gemini'!$A$7:$A$456,0))&amp;"","")</f>
        <v>Excluir</v>
      </c>
      <c r="H35" s="2" t="str">
        <f t="array" ref="H35">IFERROR(INDEX('Revisão_ChatGPT'!$H$7:$H$456,MATCH($A35,'Revisão_ChatGPT'!$A$7:$A$456,0))&amp;"","")</f>
        <v>Excluir</v>
      </c>
      <c r="I35" s="2" t="str">
        <f t="shared" si="1"/>
        <v>3/3</v>
      </c>
      <c r="J35" s="21"/>
      <c r="K35" s="21"/>
      <c r="L35" s="21"/>
      <c r="M35" s="22" t="b">
        <f t="shared" si="2"/>
        <v>0</v>
      </c>
      <c r="N35" s="21" t="s">
        <v>3163</v>
      </c>
      <c r="O35" s="2" t="str">
        <f t="shared" si="3"/>
        <v>Fora do recorte anual + Excluir</v>
      </c>
      <c r="P35" s="2" t="str">
        <f t="array" ref="P35">IF(O35&lt;&gt;"Incluir","",IF(K35&lt;&gt;"",K35,IF(IFERROR(INDEX(Triagem!$J$2:$J$451,MATCH($A35,Triagem!$A$2:$A$451,0))&amp;"","")&lt;&gt;"",IFERROR(INDEX(Triagem!$J$2:$J$451,MATCH($A35,Triagem!$A$2:$A$451,0))&amp;"",""),IF(IFERROR(INDEX('Revisão_Gemini'!$I$7:$I$456,MATCH($A35,'Revisão_Gemini'!$A$7:$A$456,0))&amp;"","")&lt;&gt;"",IFERROR(INDEX('Revisão_Gemini'!$I$7:$I$456,MATCH($A35,'Revisão_Gemini'!$A$7:$A$456,0))&amp;"",""),IFERROR(INDEX('Revisão_ChatGPT'!$I$7:$I$456,MATCH($A35,'Revisão_ChatGPT'!$A$7:$A$456,0))&amp;"","")))))</f>
        <v/>
      </c>
      <c r="Q35" s="2" t="str">
        <f t="array" ref="Q35">IF(O35&lt;&gt;"Excluir","",IF(L35&lt;&gt;"",L35,IF(F35="Excluir",IFERROR(INDEX(Triagem!$K$2:$K$451,MATCH($A35,Triagem!$A$2:$A$451,0))&amp;"",""),IF(G35="Excluir",IFERROR(INDEX('Revisão_Gemini'!$J$7:$J$456,MATCH($A35,'Revisão_Gemini'!$A$7:$A$456,0))&amp;"",""),IFERROR(INDEX('Revisão_ChatGPT'!$J$7:$J$456,MATCH($A35,'Revisão_ChatGPT'!$A$7:$A$456,0))&amp;"","")))))</f>
        <v/>
      </c>
    </row>
    <row r="36" ht="15.75" customHeight="1">
      <c r="A36" s="2" t="s">
        <v>1863</v>
      </c>
      <c r="B36" s="19" t="str">
        <f t="array" ref="B36">INDEX(Triagem!$N$2:$N451 , MATCH(A36,Triagem!$A$2:$A451,0))</f>
        <v>abrir</v>
      </c>
      <c r="C36" s="20">
        <f t="array" ref="C36">INDEX(Triagem!$B$2:$B451 , MATCH(A36,Triagem!$A$2:$A451,0))</f>
        <v>2005</v>
      </c>
      <c r="D36" s="2" t="s">
        <v>1865</v>
      </c>
      <c r="E36" s="2" t="s">
        <v>1866</v>
      </c>
      <c r="F36" s="2" t="str">
        <f t="array" ref="F36">IFERROR(INDEX(Triagem!$I$2:$I$451,MATCH($A36,Triagem!$A$2:$A$451,0))&amp;"","")</f>
        <v>Excluir</v>
      </c>
      <c r="G36" s="2" t="str">
        <f t="array" ref="G36">IFERROR(INDEX('Revisão_Gemini'!$H$7:$H$456,MATCH($A36,'Revisão_Gemini'!$A$7:$A$456,0))&amp;"","")</f>
        <v>Excluir</v>
      </c>
      <c r="H36" s="2" t="str">
        <f t="array" ref="H36">IFERROR(INDEX('Revisão_ChatGPT'!$H$7:$H$456,MATCH($A36,'Revisão_ChatGPT'!$A$7:$A$456,0))&amp;"","")</f>
        <v>Excluir</v>
      </c>
      <c r="I36" s="2" t="str">
        <f t="shared" si="1"/>
        <v>3/3</v>
      </c>
      <c r="J36" s="21"/>
      <c r="K36" s="21"/>
      <c r="L36" s="21"/>
      <c r="M36" s="22" t="b">
        <f t="shared" si="2"/>
        <v>0</v>
      </c>
      <c r="N36" s="21" t="s">
        <v>3164</v>
      </c>
      <c r="O36" s="2" t="str">
        <f t="shared" si="3"/>
        <v>Fora do recorte anual + Excluir</v>
      </c>
      <c r="P36" s="2" t="str">
        <f t="array" ref="P36">IF(O36&lt;&gt;"Incluir","",IF(K36&lt;&gt;"",K36,IF(IFERROR(INDEX(Triagem!$J$2:$J$451,MATCH($A36,Triagem!$A$2:$A$451,0))&amp;"","")&lt;&gt;"",IFERROR(INDEX(Triagem!$J$2:$J$451,MATCH($A36,Triagem!$A$2:$A$451,0))&amp;"",""),IF(IFERROR(INDEX('Revisão_Gemini'!$I$7:$I$456,MATCH($A36,'Revisão_Gemini'!$A$7:$A$456,0))&amp;"","")&lt;&gt;"",IFERROR(INDEX('Revisão_Gemini'!$I$7:$I$456,MATCH($A36,'Revisão_Gemini'!$A$7:$A$456,0))&amp;"",""),IFERROR(INDEX('Revisão_ChatGPT'!$I$7:$I$456,MATCH($A36,'Revisão_ChatGPT'!$A$7:$A$456,0))&amp;"","")))))</f>
        <v/>
      </c>
      <c r="Q36" s="2" t="str">
        <f t="array" ref="Q36">IF(O36&lt;&gt;"Excluir","",IF(L36&lt;&gt;"",L36,IF(F36="Excluir",IFERROR(INDEX(Triagem!$K$2:$K$451,MATCH($A36,Triagem!$A$2:$A$451,0))&amp;"",""),IF(G36="Excluir",IFERROR(INDEX('Revisão_Gemini'!$J$7:$J$456,MATCH($A36,'Revisão_Gemini'!$A$7:$A$456,0))&amp;"",""),IFERROR(INDEX('Revisão_ChatGPT'!$J$7:$J$456,MATCH($A36,'Revisão_ChatGPT'!$A$7:$A$456,0))&amp;"","")))))</f>
        <v/>
      </c>
    </row>
    <row r="37" ht="15.75" customHeight="1">
      <c r="A37" s="2" t="s">
        <v>1476</v>
      </c>
      <c r="B37" s="19" t="str">
        <f t="array" ref="B37">INDEX(Triagem!$N$2:$N451 , MATCH(A37,Triagem!$A$2:$A451,0))</f>
        <v>abrir</v>
      </c>
      <c r="C37" s="20">
        <f t="array" ref="C37">INDEX(Triagem!$B$2:$B451 , MATCH(A37,Triagem!$A$2:$A451,0))</f>
        <v>2005</v>
      </c>
      <c r="D37" s="2" t="s">
        <v>1478</v>
      </c>
      <c r="E37" s="2" t="s">
        <v>1479</v>
      </c>
      <c r="F37" s="2" t="str">
        <f t="array" ref="F37">IFERROR(INDEX(Triagem!$I$2:$I$451,MATCH($A37,Triagem!$A$2:$A$451,0))&amp;"","")</f>
        <v>Excluir</v>
      </c>
      <c r="G37" s="2" t="str">
        <f t="array" ref="G37">IFERROR(INDEX('Revisão_Gemini'!$H$7:$H$456,MATCH($A37,'Revisão_Gemini'!$A$7:$A$456,0))&amp;"","")</f>
        <v>Excluir</v>
      </c>
      <c r="H37" s="2" t="str">
        <f t="array" ref="H37">IFERROR(INDEX('Revisão_ChatGPT'!$H$7:$H$456,MATCH($A37,'Revisão_ChatGPT'!$A$7:$A$456,0))&amp;"","")</f>
        <v>Excluir</v>
      </c>
      <c r="I37" s="2" t="str">
        <f t="shared" si="1"/>
        <v>3/3</v>
      </c>
      <c r="J37" s="21"/>
      <c r="K37" s="21"/>
      <c r="L37" s="21"/>
      <c r="M37" s="22" t="b">
        <f t="shared" si="2"/>
        <v>0</v>
      </c>
      <c r="N37" s="21" t="s">
        <v>3165</v>
      </c>
      <c r="O37" s="2" t="str">
        <f t="shared" si="3"/>
        <v>Fora do recorte anual + Excluir</v>
      </c>
      <c r="P37" s="2" t="str">
        <f t="array" ref="P37">IF(O37&lt;&gt;"Incluir","",IF(K37&lt;&gt;"",K37,IF(IFERROR(INDEX(Triagem!$J$2:$J$451,MATCH($A37,Triagem!$A$2:$A$451,0))&amp;"","")&lt;&gt;"",IFERROR(INDEX(Triagem!$J$2:$J$451,MATCH($A37,Triagem!$A$2:$A$451,0))&amp;"",""),IF(IFERROR(INDEX('Revisão_Gemini'!$I$7:$I$456,MATCH($A37,'Revisão_Gemini'!$A$7:$A$456,0))&amp;"","")&lt;&gt;"",IFERROR(INDEX('Revisão_Gemini'!$I$7:$I$456,MATCH($A37,'Revisão_Gemini'!$A$7:$A$456,0))&amp;"",""),IFERROR(INDEX('Revisão_ChatGPT'!$I$7:$I$456,MATCH($A37,'Revisão_ChatGPT'!$A$7:$A$456,0))&amp;"","")))))</f>
        <v/>
      </c>
      <c r="Q37" s="2" t="str">
        <f t="array" ref="Q37">IF(O37&lt;&gt;"Excluir","",IF(L37&lt;&gt;"",L37,IF(F37="Excluir",IFERROR(INDEX(Triagem!$K$2:$K$451,MATCH($A37,Triagem!$A$2:$A$451,0))&amp;"",""),IF(G37="Excluir",IFERROR(INDEX('Revisão_Gemini'!$J$7:$J$456,MATCH($A37,'Revisão_Gemini'!$A$7:$A$456,0))&amp;"",""),IFERROR(INDEX('Revisão_ChatGPT'!$J$7:$J$456,MATCH($A37,'Revisão_ChatGPT'!$A$7:$A$456,0))&amp;"","")))))</f>
        <v/>
      </c>
    </row>
    <row r="38" ht="15.75" customHeight="1">
      <c r="A38" s="2" t="s">
        <v>646</v>
      </c>
      <c r="B38" s="19" t="str">
        <f t="array" ref="B38">INDEX(Triagem!$N$2:$N451 , MATCH(A38,Triagem!$A$2:$A451,0))</f>
        <v>abrir</v>
      </c>
      <c r="C38" s="20">
        <f t="array" ref="C38">INDEX(Triagem!$B$2:$B451 , MATCH(A38,Triagem!$A$2:$A451,0))</f>
        <v>2006</v>
      </c>
      <c r="D38" s="2" t="s">
        <v>648</v>
      </c>
      <c r="E38" s="2" t="s">
        <v>649</v>
      </c>
      <c r="F38" s="2" t="str">
        <f t="array" ref="F38">IFERROR(INDEX(Triagem!$I$2:$I$451,MATCH($A38,Triagem!$A$2:$A$451,0))&amp;"","")</f>
        <v>Incluir</v>
      </c>
      <c r="G38" s="2" t="str">
        <f t="array" ref="G38">IFERROR(INDEX('Revisão_Gemini'!$H$7:$H$456,MATCH($A38,'Revisão_Gemini'!$A$7:$A$456,0))&amp;"","")</f>
        <v>Incluir</v>
      </c>
      <c r="H38" s="2" t="str">
        <f t="array" ref="H38">IFERROR(INDEX('Revisão_ChatGPT'!$H$7:$H$456,MATCH($A38,'Revisão_ChatGPT'!$A$7:$A$456,0))&amp;"","")</f>
        <v>Incluir</v>
      </c>
      <c r="I38" s="2" t="str">
        <f t="shared" si="1"/>
        <v>3/3</v>
      </c>
      <c r="J38" s="21"/>
      <c r="K38" s="21"/>
      <c r="L38" s="21"/>
      <c r="M38" s="22" t="b">
        <f t="shared" si="2"/>
        <v>0</v>
      </c>
      <c r="N38" s="21"/>
      <c r="O38" s="2" t="str">
        <f t="shared" si="3"/>
        <v>Fora do recorte anual + Incluir</v>
      </c>
      <c r="P38" s="2" t="str">
        <f t="array" ref="P38">IF(O38&lt;&gt;"Incluir","",IF(K38&lt;&gt;"",K38,IF(IFERROR(INDEX(Triagem!$J$2:$J$451,MATCH($A38,Triagem!$A$2:$A$451,0))&amp;"","")&lt;&gt;"",IFERROR(INDEX(Triagem!$J$2:$J$451,MATCH($A38,Triagem!$A$2:$A$451,0))&amp;"",""),IF(IFERROR(INDEX('Revisão_Gemini'!$I$7:$I$456,MATCH($A38,'Revisão_Gemini'!$A$7:$A$456,0))&amp;"","")&lt;&gt;"",IFERROR(INDEX('Revisão_Gemini'!$I$7:$I$456,MATCH($A38,'Revisão_Gemini'!$A$7:$A$456,0))&amp;"",""),IFERROR(INDEX('Revisão_ChatGPT'!$I$7:$I$456,MATCH($A38,'Revisão_ChatGPT'!$A$7:$A$456,0))&amp;"","")))))</f>
        <v/>
      </c>
      <c r="Q38" s="2" t="str">
        <f t="array" ref="Q38">IF(O38&lt;&gt;"Excluir","",IF(L38&lt;&gt;"",L38,IF(F38="Excluir",IFERROR(INDEX(Triagem!$K$2:$K$451,MATCH($A38,Triagem!$A$2:$A$451,0))&amp;"",""),IF(G38="Excluir",IFERROR(INDEX('Revisão_Gemini'!$J$7:$J$456,MATCH($A38,'Revisão_Gemini'!$A$7:$A$456,0))&amp;"",""),IFERROR(INDEX('Revisão_ChatGPT'!$J$7:$J$456,MATCH($A38,'Revisão_ChatGPT'!$A$7:$A$456,0))&amp;"","")))))</f>
        <v/>
      </c>
    </row>
    <row r="39" ht="15.75" customHeight="1">
      <c r="A39" s="2" t="s">
        <v>650</v>
      </c>
      <c r="B39" s="19" t="str">
        <f t="array" ref="B39">INDEX(Triagem!$N$2:$N451 , MATCH(A39,Triagem!$A$2:$A451,0))</f>
        <v>abrir</v>
      </c>
      <c r="C39" s="20">
        <f t="array" ref="C39">INDEX(Triagem!$B$2:$B451 , MATCH(A39,Triagem!$A$2:$A451,0))</f>
        <v>2006</v>
      </c>
      <c r="D39" s="2" t="s">
        <v>652</v>
      </c>
      <c r="E39" s="2" t="s">
        <v>653</v>
      </c>
      <c r="F39" s="2" t="str">
        <f t="array" ref="F39">IFERROR(INDEX(Triagem!$I$2:$I$451,MATCH($A39,Triagem!$A$2:$A$451,0))&amp;"","")</f>
        <v>Incluir</v>
      </c>
      <c r="G39" s="2" t="str">
        <f t="array" ref="G39">IFERROR(INDEX('Revisão_Gemini'!$H$7:$H$456,MATCH($A39,'Revisão_Gemini'!$A$7:$A$456,0))&amp;"","")</f>
        <v>Incluir</v>
      </c>
      <c r="H39" s="2" t="str">
        <f t="array" ref="H39">IFERROR(INDEX('Revisão_ChatGPT'!$H$7:$H$456,MATCH($A39,'Revisão_ChatGPT'!$A$7:$A$456,0))&amp;"","")</f>
        <v>Incluir</v>
      </c>
      <c r="I39" s="2" t="str">
        <f t="shared" si="1"/>
        <v>3/3</v>
      </c>
      <c r="J39" s="21"/>
      <c r="K39" s="21"/>
      <c r="L39" s="21"/>
      <c r="M39" s="22" t="b">
        <f t="shared" si="2"/>
        <v>0</v>
      </c>
      <c r="N39" s="21"/>
      <c r="O39" s="2" t="str">
        <f t="shared" si="3"/>
        <v>Fora do recorte anual + Incluir</v>
      </c>
      <c r="P39" s="2" t="str">
        <f t="array" ref="P39">IF(O39&lt;&gt;"Incluir","",IF(K39&lt;&gt;"",K39,IF(IFERROR(INDEX(Triagem!$J$2:$J$451,MATCH($A39,Triagem!$A$2:$A$451,0))&amp;"","")&lt;&gt;"",IFERROR(INDEX(Triagem!$J$2:$J$451,MATCH($A39,Triagem!$A$2:$A$451,0))&amp;"",""),IF(IFERROR(INDEX('Revisão_Gemini'!$I$7:$I$456,MATCH($A39,'Revisão_Gemini'!$A$7:$A$456,0))&amp;"","")&lt;&gt;"",IFERROR(INDEX('Revisão_Gemini'!$I$7:$I$456,MATCH($A39,'Revisão_Gemini'!$A$7:$A$456,0))&amp;"",""),IFERROR(INDEX('Revisão_ChatGPT'!$I$7:$I$456,MATCH($A39,'Revisão_ChatGPT'!$A$7:$A$456,0))&amp;"","")))))</f>
        <v/>
      </c>
      <c r="Q39" s="2" t="str">
        <f t="array" ref="Q39">IF(O39&lt;&gt;"Excluir","",IF(L39&lt;&gt;"",L39,IF(F39="Excluir",IFERROR(INDEX(Triagem!$K$2:$K$451,MATCH($A39,Triagem!$A$2:$A$451,0))&amp;"",""),IF(G39="Excluir",IFERROR(INDEX('Revisão_Gemini'!$J$7:$J$456,MATCH($A39,'Revisão_Gemini'!$A$7:$A$456,0))&amp;"",""),IFERROR(INDEX('Revisão_ChatGPT'!$J$7:$J$456,MATCH($A39,'Revisão_ChatGPT'!$A$7:$A$456,0))&amp;"","")))))</f>
        <v/>
      </c>
    </row>
    <row r="40" ht="15.75" customHeight="1">
      <c r="A40" s="2" t="s">
        <v>654</v>
      </c>
      <c r="B40" s="19" t="str">
        <f t="array" ref="B40">INDEX(Triagem!$N$2:$N451 , MATCH(A40,Triagem!$A$2:$A451,0))</f>
        <v>abrir</v>
      </c>
      <c r="C40" s="20">
        <f t="array" ref="C40">INDEX(Triagem!$B$2:$B451 , MATCH(A40,Triagem!$A$2:$A451,0))</f>
        <v>2006</v>
      </c>
      <c r="D40" s="3" t="s">
        <v>655</v>
      </c>
      <c r="E40" s="2" t="s">
        <v>656</v>
      </c>
      <c r="F40" s="2" t="str">
        <f t="array" ref="F40">IFERROR(INDEX(Triagem!$I$2:$I$451,MATCH($A40,Triagem!$A$2:$A$451,0))&amp;"","")</f>
        <v>Incluir</v>
      </c>
      <c r="G40" s="2" t="str">
        <f t="array" ref="G40">IFERROR(INDEX('Revisão_Gemini'!$H$7:$H$456,MATCH($A40,'Revisão_Gemini'!$A$7:$A$456,0))&amp;"","")</f>
        <v>Incluir</v>
      </c>
      <c r="H40" s="2" t="str">
        <f t="array" ref="H40">IFERROR(INDEX('Revisão_ChatGPT'!$H$7:$H$456,MATCH($A40,'Revisão_ChatGPT'!$A$7:$A$456,0))&amp;"","")</f>
        <v>Incluir</v>
      </c>
      <c r="I40" s="2" t="str">
        <f t="shared" si="1"/>
        <v>3/3</v>
      </c>
      <c r="J40" s="21"/>
      <c r="K40" s="21"/>
      <c r="L40" s="21"/>
      <c r="M40" s="22" t="b">
        <f t="shared" si="2"/>
        <v>0</v>
      </c>
      <c r="N40" s="21"/>
      <c r="O40" s="2" t="str">
        <f t="shared" si="3"/>
        <v>Fora do recorte anual + Incluir</v>
      </c>
      <c r="P40" s="2" t="str">
        <f t="array" ref="P40">IF(O40&lt;&gt;"Incluir","",IF(K40&lt;&gt;"",K40,IF(IFERROR(INDEX(Triagem!$J$2:$J$451,MATCH($A40,Triagem!$A$2:$A$451,0))&amp;"","")&lt;&gt;"",IFERROR(INDEX(Triagem!$J$2:$J$451,MATCH($A40,Triagem!$A$2:$A$451,0))&amp;"",""),IF(IFERROR(INDEX('Revisão_Gemini'!$I$7:$I$456,MATCH($A40,'Revisão_Gemini'!$A$7:$A$456,0))&amp;"","")&lt;&gt;"",IFERROR(INDEX('Revisão_Gemini'!$I$7:$I$456,MATCH($A40,'Revisão_Gemini'!$A$7:$A$456,0))&amp;"",""),IFERROR(INDEX('Revisão_ChatGPT'!$I$7:$I$456,MATCH($A40,'Revisão_ChatGPT'!$A$7:$A$456,0))&amp;"","")))))</f>
        <v/>
      </c>
      <c r="Q40" s="2" t="str">
        <f t="array" ref="Q40">IF(O40&lt;&gt;"Excluir","",IF(L40&lt;&gt;"",L40,IF(F40="Excluir",IFERROR(INDEX(Triagem!$K$2:$K$451,MATCH($A40,Triagem!$A$2:$A$451,0))&amp;"",""),IF(G40="Excluir",IFERROR(INDEX('Revisão_Gemini'!$J$7:$J$456,MATCH($A40,'Revisão_Gemini'!$A$7:$A$456,0))&amp;"",""),IFERROR(INDEX('Revisão_ChatGPT'!$J$7:$J$456,MATCH($A40,'Revisão_ChatGPT'!$A$7:$A$456,0))&amp;"","")))))</f>
        <v/>
      </c>
    </row>
    <row r="41" ht="15.75" customHeight="1">
      <c r="A41" s="2" t="s">
        <v>1473</v>
      </c>
      <c r="B41" s="19" t="str">
        <f t="array" ref="B41">INDEX(Triagem!$N$2:$N451 , MATCH(A41,Triagem!$A$2:$A451,0))</f>
        <v>abrir</v>
      </c>
      <c r="C41" s="20">
        <f t="array" ref="C41">INDEX(Triagem!$B$2:$B451 , MATCH(A41,Triagem!$A$2:$A451,0))</f>
        <v>2006</v>
      </c>
      <c r="D41" s="2" t="s">
        <v>1474</v>
      </c>
      <c r="E41" s="2" t="s">
        <v>1475</v>
      </c>
      <c r="F41" s="2" t="str">
        <f t="array" ref="F41">IFERROR(INDEX(Triagem!$I$2:$I$451,MATCH($A41,Triagem!$A$2:$A$451,0))&amp;"","")</f>
        <v>Excluir</v>
      </c>
      <c r="G41" s="2" t="str">
        <f t="array" ref="G41">IFERROR(INDEX('Revisão_Gemini'!$H$7:$H$456,MATCH($A41,'Revisão_Gemini'!$A$7:$A$456,0))&amp;"","")</f>
        <v>Excluir</v>
      </c>
      <c r="H41" s="2" t="str">
        <f t="array" ref="H41">IFERROR(INDEX('Revisão_ChatGPT'!$H$7:$H$456,MATCH($A41,'Revisão_ChatGPT'!$A$7:$A$456,0))&amp;"","")</f>
        <v>Excluir</v>
      </c>
      <c r="I41" s="2" t="str">
        <f t="shared" si="1"/>
        <v>3/3</v>
      </c>
      <c r="J41" s="21"/>
      <c r="K41" s="21"/>
      <c r="L41" s="21"/>
      <c r="M41" s="22" t="b">
        <f t="shared" si="2"/>
        <v>0</v>
      </c>
      <c r="N41" s="21" t="s">
        <v>3166</v>
      </c>
      <c r="O41" s="2" t="str">
        <f t="shared" si="3"/>
        <v>Fora do recorte anual + Excluir</v>
      </c>
      <c r="P41" s="2" t="str">
        <f t="array" ref="P41">IF(O41&lt;&gt;"Incluir","",IF(K41&lt;&gt;"",K41,IF(IFERROR(INDEX(Triagem!$J$2:$J$451,MATCH($A41,Triagem!$A$2:$A$451,0))&amp;"","")&lt;&gt;"",IFERROR(INDEX(Triagem!$J$2:$J$451,MATCH($A41,Triagem!$A$2:$A$451,0))&amp;"",""),IF(IFERROR(INDEX('Revisão_Gemini'!$I$7:$I$456,MATCH($A41,'Revisão_Gemini'!$A$7:$A$456,0))&amp;"","")&lt;&gt;"",IFERROR(INDEX('Revisão_Gemini'!$I$7:$I$456,MATCH($A41,'Revisão_Gemini'!$A$7:$A$456,0))&amp;"",""),IFERROR(INDEX('Revisão_ChatGPT'!$I$7:$I$456,MATCH($A41,'Revisão_ChatGPT'!$A$7:$A$456,0))&amp;"","")))))</f>
        <v/>
      </c>
      <c r="Q41" s="2" t="str">
        <f t="array" ref="Q41">IF(O41&lt;&gt;"Excluir","",IF(L41&lt;&gt;"",L41,IF(F41="Excluir",IFERROR(INDEX(Triagem!$K$2:$K$451,MATCH($A41,Triagem!$A$2:$A$451,0))&amp;"",""),IF(G41="Excluir",IFERROR(INDEX('Revisão_Gemini'!$J$7:$J$456,MATCH($A41,'Revisão_Gemini'!$A$7:$A$456,0))&amp;"",""),IFERROR(INDEX('Revisão_ChatGPT'!$J$7:$J$456,MATCH($A41,'Revisão_ChatGPT'!$A$7:$A$456,0))&amp;"","")))))</f>
        <v/>
      </c>
    </row>
    <row r="42" ht="15.75" customHeight="1">
      <c r="A42" s="2" t="s">
        <v>657</v>
      </c>
      <c r="B42" s="19" t="str">
        <f t="array" ref="B42">INDEX(Triagem!$N$2:$N451 , MATCH(A42,Triagem!$A$2:$A451,0))</f>
        <v>abrir</v>
      </c>
      <c r="C42" s="20">
        <f t="array" ref="C42">INDEX(Triagem!$B$2:$B451 , MATCH(A42,Triagem!$A$2:$A451,0))</f>
        <v>2006</v>
      </c>
      <c r="D42" s="2" t="s">
        <v>659</v>
      </c>
      <c r="E42" s="2" t="s">
        <v>660</v>
      </c>
      <c r="F42" s="2" t="str">
        <f t="array" ref="F42">IFERROR(INDEX(Triagem!$I$2:$I$451,MATCH($A42,Triagem!$A$2:$A$451,0))&amp;"","")</f>
        <v>Incluir</v>
      </c>
      <c r="G42" s="2" t="str">
        <f t="array" ref="G42">IFERROR(INDEX('Revisão_Gemini'!$H$7:$H$456,MATCH($A42,'Revisão_Gemini'!$A$7:$A$456,0))&amp;"","")</f>
        <v>Incluir</v>
      </c>
      <c r="H42" s="2" t="str">
        <f t="array" ref="H42">IFERROR(INDEX('Revisão_ChatGPT'!$H$7:$H$456,MATCH($A42,'Revisão_ChatGPT'!$A$7:$A$456,0))&amp;"","")</f>
        <v>Incluir</v>
      </c>
      <c r="I42" s="2" t="str">
        <f t="shared" si="1"/>
        <v>3/3</v>
      </c>
      <c r="J42" s="21"/>
      <c r="K42" s="21"/>
      <c r="L42" s="21"/>
      <c r="M42" s="22" t="b">
        <f t="shared" si="2"/>
        <v>0</v>
      </c>
      <c r="N42" s="21"/>
      <c r="O42" s="2" t="str">
        <f t="shared" si="3"/>
        <v>Fora do recorte anual + Incluir</v>
      </c>
      <c r="P42" s="2" t="str">
        <f t="array" ref="P42">IF(O42&lt;&gt;"Incluir","",IF(K42&lt;&gt;"",K42,IF(IFERROR(INDEX(Triagem!$J$2:$J$451,MATCH($A42,Triagem!$A$2:$A$451,0))&amp;"","")&lt;&gt;"",IFERROR(INDEX(Triagem!$J$2:$J$451,MATCH($A42,Triagem!$A$2:$A$451,0))&amp;"",""),IF(IFERROR(INDEX('Revisão_Gemini'!$I$7:$I$456,MATCH($A42,'Revisão_Gemini'!$A$7:$A$456,0))&amp;"","")&lt;&gt;"",IFERROR(INDEX('Revisão_Gemini'!$I$7:$I$456,MATCH($A42,'Revisão_Gemini'!$A$7:$A$456,0))&amp;"",""),IFERROR(INDEX('Revisão_ChatGPT'!$I$7:$I$456,MATCH($A42,'Revisão_ChatGPT'!$A$7:$A$456,0))&amp;"","")))))</f>
        <v/>
      </c>
      <c r="Q42" s="2" t="str">
        <f t="array" ref="Q42">IF(O42&lt;&gt;"Excluir","",IF(L42&lt;&gt;"",L42,IF(F42="Excluir",IFERROR(INDEX(Triagem!$K$2:$K$451,MATCH($A42,Triagem!$A$2:$A$451,0))&amp;"",""),IF(G42="Excluir",IFERROR(INDEX('Revisão_Gemini'!$J$7:$J$456,MATCH($A42,'Revisão_Gemini'!$A$7:$A$456,0))&amp;"",""),IFERROR(INDEX('Revisão_ChatGPT'!$J$7:$J$456,MATCH($A42,'Revisão_ChatGPT'!$A$7:$A$456,0))&amp;"","")))))</f>
        <v/>
      </c>
    </row>
    <row r="43" ht="15.75" customHeight="1">
      <c r="A43" s="2" t="s">
        <v>661</v>
      </c>
      <c r="B43" s="19" t="str">
        <f t="array" ref="B43">INDEX(Triagem!$N$2:$N451 , MATCH(A43,Triagem!$A$2:$A451,0))</f>
        <v>abrir</v>
      </c>
      <c r="C43" s="20">
        <f t="array" ref="C43">INDEX(Triagem!$B$2:$B451 , MATCH(A43,Triagem!$A$2:$A451,0))</f>
        <v>2006</v>
      </c>
      <c r="D43" s="2" t="s">
        <v>663</v>
      </c>
      <c r="E43" s="2" t="s">
        <v>664</v>
      </c>
      <c r="F43" s="2" t="str">
        <f t="array" ref="F43">IFERROR(INDEX(Triagem!$I$2:$I$451,MATCH($A43,Triagem!$A$2:$A$451,0))&amp;"","")</f>
        <v>Incluir</v>
      </c>
      <c r="G43" s="2" t="str">
        <f t="array" ref="G43">IFERROR(INDEX('Revisão_Gemini'!$H$7:$H$456,MATCH($A43,'Revisão_Gemini'!$A$7:$A$456,0))&amp;"","")</f>
        <v>Incluir</v>
      </c>
      <c r="H43" s="2" t="str">
        <f t="array" ref="H43">IFERROR(INDEX('Revisão_ChatGPT'!$H$7:$H$456,MATCH($A43,'Revisão_ChatGPT'!$A$7:$A$456,0))&amp;"","")</f>
        <v>Incluir</v>
      </c>
      <c r="I43" s="2" t="str">
        <f t="shared" si="1"/>
        <v>3/3</v>
      </c>
      <c r="J43" s="21"/>
      <c r="K43" s="21"/>
      <c r="L43" s="21"/>
      <c r="M43" s="22" t="b">
        <f t="shared" si="2"/>
        <v>0</v>
      </c>
      <c r="N43" s="21"/>
      <c r="O43" s="2" t="str">
        <f t="shared" si="3"/>
        <v>Fora do recorte anual + Incluir</v>
      </c>
      <c r="P43" s="2" t="str">
        <f t="array" ref="P43">IF(O43&lt;&gt;"Incluir","",IF(K43&lt;&gt;"",K43,IF(IFERROR(INDEX(Triagem!$J$2:$J$451,MATCH($A43,Triagem!$A$2:$A$451,0))&amp;"","")&lt;&gt;"",IFERROR(INDEX(Triagem!$J$2:$J$451,MATCH($A43,Triagem!$A$2:$A$451,0))&amp;"",""),IF(IFERROR(INDEX('Revisão_Gemini'!$I$7:$I$456,MATCH($A43,'Revisão_Gemini'!$A$7:$A$456,0))&amp;"","")&lt;&gt;"",IFERROR(INDEX('Revisão_Gemini'!$I$7:$I$456,MATCH($A43,'Revisão_Gemini'!$A$7:$A$456,0))&amp;"",""),IFERROR(INDEX('Revisão_ChatGPT'!$I$7:$I$456,MATCH($A43,'Revisão_ChatGPT'!$A$7:$A$456,0))&amp;"","")))))</f>
        <v/>
      </c>
      <c r="Q43" s="2" t="str">
        <f t="array" ref="Q43">IF(O43&lt;&gt;"Excluir","",IF(L43&lt;&gt;"",L43,IF(F43="Excluir",IFERROR(INDEX(Triagem!$K$2:$K$451,MATCH($A43,Triagem!$A$2:$A$451,0))&amp;"",""),IF(G43="Excluir",IFERROR(INDEX('Revisão_Gemini'!$J$7:$J$456,MATCH($A43,'Revisão_Gemini'!$A$7:$A$456,0))&amp;"",""),IFERROR(INDEX('Revisão_ChatGPT'!$J$7:$J$456,MATCH($A43,'Revisão_ChatGPT'!$A$7:$A$456,0))&amp;"","")))))</f>
        <v/>
      </c>
    </row>
    <row r="44" ht="15.75" customHeight="1">
      <c r="A44" s="2" t="s">
        <v>2178</v>
      </c>
      <c r="B44" s="19" t="str">
        <f t="array" ref="B44">INDEX(Triagem!$N$2:$N451 , MATCH(A44,Triagem!$A$2:$A451,0))</f>
        <v>abrir</v>
      </c>
      <c r="C44" s="20">
        <f t="array" ref="C44">INDEX(Triagem!$B$2:$B451 , MATCH(A44,Triagem!$A$2:$A451,0))</f>
        <v>2006</v>
      </c>
      <c r="D44" s="2" t="s">
        <v>2180</v>
      </c>
      <c r="E44" s="2" t="s">
        <v>2181</v>
      </c>
      <c r="F44" s="2" t="str">
        <f t="array" ref="F44">IFERROR(INDEX(Triagem!$I$2:$I$451,MATCH($A44,Triagem!$A$2:$A$451,0))&amp;"","")</f>
        <v>Excluir</v>
      </c>
      <c r="G44" s="2" t="str">
        <f t="array" ref="G44">IFERROR(INDEX('Revisão_Gemini'!$H$7:$H$456,MATCH($A44,'Revisão_Gemini'!$A$7:$A$456,0))&amp;"","")</f>
        <v>Excluir</v>
      </c>
      <c r="H44" s="2" t="str">
        <f t="array" ref="H44">IFERROR(INDEX('Revisão_ChatGPT'!$H$7:$H$456,MATCH($A44,'Revisão_ChatGPT'!$A$7:$A$456,0))&amp;"","")</f>
        <v>Excluir</v>
      </c>
      <c r="I44" s="2" t="str">
        <f t="shared" si="1"/>
        <v>3/3</v>
      </c>
      <c r="J44" s="21"/>
      <c r="K44" s="21"/>
      <c r="L44" s="21"/>
      <c r="M44" s="22" t="b">
        <f t="shared" si="2"/>
        <v>0</v>
      </c>
      <c r="N44" s="21" t="s">
        <v>3167</v>
      </c>
      <c r="O44" s="2" t="str">
        <f t="shared" si="3"/>
        <v>Fora do recorte anual + Excluir</v>
      </c>
      <c r="P44" s="2" t="str">
        <f t="array" ref="P44">IF(O44&lt;&gt;"Incluir","",IF(K44&lt;&gt;"",K44,IF(IFERROR(INDEX(Triagem!$J$2:$J$451,MATCH($A44,Triagem!$A$2:$A$451,0))&amp;"","")&lt;&gt;"",IFERROR(INDEX(Triagem!$J$2:$J$451,MATCH($A44,Triagem!$A$2:$A$451,0))&amp;"",""),IF(IFERROR(INDEX('Revisão_Gemini'!$I$7:$I$456,MATCH($A44,'Revisão_Gemini'!$A$7:$A$456,0))&amp;"","")&lt;&gt;"",IFERROR(INDEX('Revisão_Gemini'!$I$7:$I$456,MATCH($A44,'Revisão_Gemini'!$A$7:$A$456,0))&amp;"",""),IFERROR(INDEX('Revisão_ChatGPT'!$I$7:$I$456,MATCH($A44,'Revisão_ChatGPT'!$A$7:$A$456,0))&amp;"","")))))</f>
        <v/>
      </c>
      <c r="Q44" s="2" t="str">
        <f t="array" ref="Q44">IF(O44&lt;&gt;"Excluir","",IF(L44&lt;&gt;"",L44,IF(F44="Excluir",IFERROR(INDEX(Triagem!$K$2:$K$451,MATCH($A44,Triagem!$A$2:$A$451,0))&amp;"",""),IF(G44="Excluir",IFERROR(INDEX('Revisão_Gemini'!$J$7:$J$456,MATCH($A44,'Revisão_Gemini'!$A$7:$A$456,0))&amp;"",""),IFERROR(INDEX('Revisão_ChatGPT'!$J$7:$J$456,MATCH($A44,'Revisão_ChatGPT'!$A$7:$A$456,0))&amp;"","")))))</f>
        <v/>
      </c>
    </row>
    <row r="45" ht="15.75" customHeight="1">
      <c r="A45" s="2" t="s">
        <v>1837</v>
      </c>
      <c r="B45" s="19" t="str">
        <f t="array" ref="B45">INDEX(Triagem!$N$2:$N451 , MATCH(A45,Triagem!$A$2:$A451,0))</f>
        <v>abrir</v>
      </c>
      <c r="C45" s="20">
        <f t="array" ref="C45">INDEX(Triagem!$B$2:$B451 , MATCH(A45,Triagem!$A$2:$A451,0))</f>
        <v>2006</v>
      </c>
      <c r="D45" s="2" t="s">
        <v>1839</v>
      </c>
      <c r="E45" s="2" t="s">
        <v>1840</v>
      </c>
      <c r="F45" s="2" t="str">
        <f t="array" ref="F45">IFERROR(INDEX(Triagem!$I$2:$I$451,MATCH($A45,Triagem!$A$2:$A$451,0))&amp;"","")</f>
        <v>Excluir</v>
      </c>
      <c r="G45" s="2" t="str">
        <f t="array" ref="G45">IFERROR(INDEX('Revisão_Gemini'!$H$7:$H$456,MATCH($A45,'Revisão_Gemini'!$A$7:$A$456,0))&amp;"","")</f>
        <v>Excluir</v>
      </c>
      <c r="H45" s="2" t="str">
        <f t="array" ref="H45">IFERROR(INDEX('Revisão_ChatGPT'!$H$7:$H$456,MATCH($A45,'Revisão_ChatGPT'!$A$7:$A$456,0))&amp;"","")</f>
        <v>Excluir</v>
      </c>
      <c r="I45" s="2" t="str">
        <f t="shared" si="1"/>
        <v>3/3</v>
      </c>
      <c r="J45" s="21"/>
      <c r="K45" s="21"/>
      <c r="L45" s="21"/>
      <c r="M45" s="22" t="b">
        <f t="shared" si="2"/>
        <v>0</v>
      </c>
      <c r="N45" s="21" t="s">
        <v>3168</v>
      </c>
      <c r="O45" s="2" t="str">
        <f t="shared" si="3"/>
        <v>Fora do recorte anual + Excluir</v>
      </c>
      <c r="P45" s="2" t="str">
        <f t="array" ref="P45">IF(O45&lt;&gt;"Incluir","",IF(K45&lt;&gt;"",K45,IF(IFERROR(INDEX(Triagem!$J$2:$J$451,MATCH($A45,Triagem!$A$2:$A$451,0))&amp;"","")&lt;&gt;"",IFERROR(INDEX(Triagem!$J$2:$J$451,MATCH($A45,Triagem!$A$2:$A$451,0))&amp;"",""),IF(IFERROR(INDEX('Revisão_Gemini'!$I$7:$I$456,MATCH($A45,'Revisão_Gemini'!$A$7:$A$456,0))&amp;"","")&lt;&gt;"",IFERROR(INDEX('Revisão_Gemini'!$I$7:$I$456,MATCH($A45,'Revisão_Gemini'!$A$7:$A$456,0))&amp;"",""),IFERROR(INDEX('Revisão_ChatGPT'!$I$7:$I$456,MATCH($A45,'Revisão_ChatGPT'!$A$7:$A$456,0))&amp;"","")))))</f>
        <v/>
      </c>
      <c r="Q45" s="2" t="str">
        <f t="array" ref="Q45">IF(O45&lt;&gt;"Excluir","",IF(L45&lt;&gt;"",L45,IF(F45="Excluir",IFERROR(INDEX(Triagem!$K$2:$K$451,MATCH($A45,Triagem!$A$2:$A$451,0))&amp;"",""),IF(G45="Excluir",IFERROR(INDEX('Revisão_Gemini'!$J$7:$J$456,MATCH($A45,'Revisão_Gemini'!$A$7:$A$456,0))&amp;"",""),IFERROR(INDEX('Revisão_ChatGPT'!$J$7:$J$456,MATCH($A45,'Revisão_ChatGPT'!$A$7:$A$456,0))&amp;"","")))))</f>
        <v/>
      </c>
    </row>
    <row r="46" ht="15.75" customHeight="1">
      <c r="A46" s="2" t="s">
        <v>632</v>
      </c>
      <c r="B46" s="19" t="str">
        <f t="array" ref="B46">INDEX(Triagem!$N$2:$N451 , MATCH(A46,Triagem!$A$2:$A451,0))</f>
        <v>abrir</v>
      </c>
      <c r="C46" s="20">
        <f t="array" ref="C46">INDEX(Triagem!$B$2:$B451 , MATCH(A46,Triagem!$A$2:$A451,0))</f>
        <v>2007</v>
      </c>
      <c r="D46" s="2" t="s">
        <v>634</v>
      </c>
      <c r="E46" s="2" t="s">
        <v>635</v>
      </c>
      <c r="F46" s="2" t="str">
        <f t="array" ref="F46">IFERROR(INDEX(Triagem!$I$2:$I$451,MATCH($A46,Triagem!$A$2:$A$451,0))&amp;"","")</f>
        <v>Incluir</v>
      </c>
      <c r="G46" s="2" t="str">
        <f t="array" ref="G46">IFERROR(INDEX('Revisão_Gemini'!$H$7:$H$456,MATCH($A46,'Revisão_Gemini'!$A$7:$A$456,0))&amp;"","")</f>
        <v>Incluir</v>
      </c>
      <c r="H46" s="2" t="str">
        <f t="array" ref="H46">IFERROR(INDEX('Revisão_ChatGPT'!$H$7:$H$456,MATCH($A46,'Revisão_ChatGPT'!$A$7:$A$456,0))&amp;"","")</f>
        <v>Incluir</v>
      </c>
      <c r="I46" s="2" t="str">
        <f t="shared" si="1"/>
        <v>3/3</v>
      </c>
      <c r="J46" s="21"/>
      <c r="K46" s="21"/>
      <c r="L46" s="21"/>
      <c r="M46" s="22" t="b">
        <f t="shared" si="2"/>
        <v>0</v>
      </c>
      <c r="N46" s="21"/>
      <c r="O46" s="2" t="str">
        <f t="shared" si="3"/>
        <v>Fora do recorte anual + Incluir</v>
      </c>
      <c r="P46" s="2" t="str">
        <f t="array" ref="P46">IF(O46&lt;&gt;"Incluir","",IF(K46&lt;&gt;"",K46,IF(IFERROR(INDEX(Triagem!$J$2:$J$451,MATCH($A46,Triagem!$A$2:$A$451,0))&amp;"","")&lt;&gt;"",IFERROR(INDEX(Triagem!$J$2:$J$451,MATCH($A46,Triagem!$A$2:$A$451,0))&amp;"",""),IF(IFERROR(INDEX('Revisão_Gemini'!$I$7:$I$456,MATCH($A46,'Revisão_Gemini'!$A$7:$A$456,0))&amp;"","")&lt;&gt;"",IFERROR(INDEX('Revisão_Gemini'!$I$7:$I$456,MATCH($A46,'Revisão_Gemini'!$A$7:$A$456,0))&amp;"",""),IFERROR(INDEX('Revisão_ChatGPT'!$I$7:$I$456,MATCH($A46,'Revisão_ChatGPT'!$A$7:$A$456,0))&amp;"","")))))</f>
        <v/>
      </c>
      <c r="Q46" s="2" t="str">
        <f t="array" ref="Q46">IF(O46&lt;&gt;"Excluir","",IF(L46&lt;&gt;"",L46,IF(F46="Excluir",IFERROR(INDEX(Triagem!$K$2:$K$451,MATCH($A46,Triagem!$A$2:$A$451,0))&amp;"",""),IF(G46="Excluir",IFERROR(INDEX('Revisão_Gemini'!$J$7:$J$456,MATCH($A46,'Revisão_Gemini'!$A$7:$A$456,0))&amp;"",""),IFERROR(INDEX('Revisão_ChatGPT'!$J$7:$J$456,MATCH($A46,'Revisão_ChatGPT'!$A$7:$A$456,0))&amp;"","")))))</f>
        <v/>
      </c>
    </row>
    <row r="47" ht="15.75" customHeight="1">
      <c r="A47" s="2" t="s">
        <v>1832</v>
      </c>
      <c r="B47" s="19" t="str">
        <f t="array" ref="B47">INDEX(Triagem!$N$2:$N451 , MATCH(A47,Triagem!$A$2:$A451,0))</f>
        <v>abrir</v>
      </c>
      <c r="C47" s="20">
        <f t="array" ref="C47">INDEX(Triagem!$B$2:$B451 , MATCH(A47,Triagem!$A$2:$A451,0))</f>
        <v>2007</v>
      </c>
      <c r="D47" s="2" t="s">
        <v>1834</v>
      </c>
      <c r="E47" s="2" t="s">
        <v>1835</v>
      </c>
      <c r="F47" s="2" t="str">
        <f t="array" ref="F47">IFERROR(INDEX(Triagem!$I$2:$I$451,MATCH($A47,Triagem!$A$2:$A$451,0))&amp;"","")</f>
        <v>Excluir</v>
      </c>
      <c r="G47" s="2" t="str">
        <f t="array" ref="G47">IFERROR(INDEX('Revisão_Gemini'!$H$7:$H$456,MATCH($A47,'Revisão_Gemini'!$A$7:$A$456,0))&amp;"","")</f>
        <v>Excluir</v>
      </c>
      <c r="H47" s="2" t="str">
        <f t="array" ref="H47">IFERROR(INDEX('Revisão_ChatGPT'!$H$7:$H$456,MATCH($A47,'Revisão_ChatGPT'!$A$7:$A$456,0))&amp;"","")</f>
        <v>Excluir</v>
      </c>
      <c r="I47" s="2" t="str">
        <f t="shared" si="1"/>
        <v>3/3</v>
      </c>
      <c r="J47" s="21"/>
      <c r="K47" s="21"/>
      <c r="L47" s="21"/>
      <c r="M47" s="22" t="b">
        <f t="shared" si="2"/>
        <v>0</v>
      </c>
      <c r="N47" s="21" t="s">
        <v>3169</v>
      </c>
      <c r="O47" s="2" t="str">
        <f t="shared" si="3"/>
        <v>Fora do recorte anual + Excluir</v>
      </c>
      <c r="P47" s="2" t="str">
        <f t="array" ref="P47">IF(O47&lt;&gt;"Incluir","",IF(K47&lt;&gt;"",K47,IF(IFERROR(INDEX(Triagem!$J$2:$J$451,MATCH($A47,Triagem!$A$2:$A$451,0))&amp;"","")&lt;&gt;"",IFERROR(INDEX(Triagem!$J$2:$J$451,MATCH($A47,Triagem!$A$2:$A$451,0))&amp;"",""),IF(IFERROR(INDEX('Revisão_Gemini'!$I$7:$I$456,MATCH($A47,'Revisão_Gemini'!$A$7:$A$456,0))&amp;"","")&lt;&gt;"",IFERROR(INDEX('Revisão_Gemini'!$I$7:$I$456,MATCH($A47,'Revisão_Gemini'!$A$7:$A$456,0))&amp;"",""),IFERROR(INDEX('Revisão_ChatGPT'!$I$7:$I$456,MATCH($A47,'Revisão_ChatGPT'!$A$7:$A$456,0))&amp;"","")))))</f>
        <v/>
      </c>
      <c r="Q47" s="2" t="str">
        <f t="array" ref="Q47">IF(O47&lt;&gt;"Excluir","",IF(L47&lt;&gt;"",L47,IF(F47="Excluir",IFERROR(INDEX(Triagem!$K$2:$K$451,MATCH($A47,Triagem!$A$2:$A$451,0))&amp;"",""),IF(G47="Excluir",IFERROR(INDEX('Revisão_Gemini'!$J$7:$J$456,MATCH($A47,'Revisão_Gemini'!$A$7:$A$456,0))&amp;"",""),IFERROR(INDEX('Revisão_ChatGPT'!$J$7:$J$456,MATCH($A47,'Revisão_ChatGPT'!$A$7:$A$456,0))&amp;"","")))))</f>
        <v/>
      </c>
    </row>
    <row r="48" ht="15.75" customHeight="1">
      <c r="A48" s="2" t="s">
        <v>1456</v>
      </c>
      <c r="B48" s="19" t="str">
        <f t="array" ref="B48">INDEX(Triagem!$N$2:$N451 , MATCH(A48,Triagem!$A$2:$A451,0))</f>
        <v>abrir</v>
      </c>
      <c r="C48" s="20">
        <f t="array" ref="C48">INDEX(Triagem!$B$2:$B451 , MATCH(A48,Triagem!$A$2:$A451,0))</f>
        <v>2007</v>
      </c>
      <c r="D48" s="2" t="s">
        <v>1458</v>
      </c>
      <c r="E48" s="2" t="s">
        <v>1459</v>
      </c>
      <c r="F48" s="2" t="str">
        <f t="array" ref="F48">IFERROR(INDEX(Triagem!$I$2:$I$451,MATCH($A48,Triagem!$A$2:$A$451,0))&amp;"","")</f>
        <v>Excluir</v>
      </c>
      <c r="G48" s="2" t="str">
        <f t="array" ref="G48">IFERROR(INDEX('Revisão_Gemini'!$H$7:$H$456,MATCH($A48,'Revisão_Gemini'!$A$7:$A$456,0))&amp;"","")</f>
        <v>Excluir</v>
      </c>
      <c r="H48" s="2" t="str">
        <f t="array" ref="H48">IFERROR(INDEX('Revisão_ChatGPT'!$H$7:$H$456,MATCH($A48,'Revisão_ChatGPT'!$A$7:$A$456,0))&amp;"","")</f>
        <v>Excluir</v>
      </c>
      <c r="I48" s="2" t="str">
        <f t="shared" si="1"/>
        <v>3/3</v>
      </c>
      <c r="J48" s="21"/>
      <c r="K48" s="21"/>
      <c r="L48" s="21"/>
      <c r="M48" s="22" t="b">
        <f t="shared" si="2"/>
        <v>0</v>
      </c>
      <c r="N48" s="21" t="s">
        <v>3170</v>
      </c>
      <c r="O48" s="2" t="str">
        <f t="shared" si="3"/>
        <v>Fora do recorte anual + Excluir</v>
      </c>
      <c r="P48" s="2" t="str">
        <f t="array" ref="P48">IF(O48&lt;&gt;"Incluir","",IF(K48&lt;&gt;"",K48,IF(IFERROR(INDEX(Triagem!$J$2:$J$451,MATCH($A48,Triagem!$A$2:$A$451,0))&amp;"","")&lt;&gt;"",IFERROR(INDEX(Triagem!$J$2:$J$451,MATCH($A48,Triagem!$A$2:$A$451,0))&amp;"",""),IF(IFERROR(INDEX('Revisão_Gemini'!$I$7:$I$456,MATCH($A48,'Revisão_Gemini'!$A$7:$A$456,0))&amp;"","")&lt;&gt;"",IFERROR(INDEX('Revisão_Gemini'!$I$7:$I$456,MATCH($A48,'Revisão_Gemini'!$A$7:$A$456,0))&amp;"",""),IFERROR(INDEX('Revisão_ChatGPT'!$I$7:$I$456,MATCH($A48,'Revisão_ChatGPT'!$A$7:$A$456,0))&amp;"","")))))</f>
        <v/>
      </c>
      <c r="Q48" s="2" t="str">
        <f t="array" ref="Q48">IF(O48&lt;&gt;"Excluir","",IF(L48&lt;&gt;"",L48,IF(F48="Excluir",IFERROR(INDEX(Triagem!$K$2:$K$451,MATCH($A48,Triagem!$A$2:$A$451,0))&amp;"",""),IF(G48="Excluir",IFERROR(INDEX('Revisão_Gemini'!$J$7:$J$456,MATCH($A48,'Revisão_Gemini'!$A$7:$A$456,0))&amp;"",""),IFERROR(INDEX('Revisão_ChatGPT'!$J$7:$J$456,MATCH($A48,'Revisão_ChatGPT'!$A$7:$A$456,0))&amp;"","")))))</f>
        <v/>
      </c>
    </row>
    <row r="49" ht="15.75" customHeight="1">
      <c r="A49" s="2" t="s">
        <v>2174</v>
      </c>
      <c r="B49" s="19" t="str">
        <f t="array" ref="B49">INDEX(Triagem!$N$2:$N451 , MATCH(A49,Triagem!$A$2:$A451,0))</f>
        <v>abrir</v>
      </c>
      <c r="C49" s="20">
        <f t="array" ref="C49">INDEX(Triagem!$B$2:$B451 , MATCH(A49,Triagem!$A$2:$A451,0))</f>
        <v>2007</v>
      </c>
      <c r="D49" s="2" t="s">
        <v>2175</v>
      </c>
      <c r="E49" s="2" t="s">
        <v>2176</v>
      </c>
      <c r="F49" s="2" t="str">
        <f t="array" ref="F49">IFERROR(INDEX(Triagem!$I$2:$I$451,MATCH($A49,Triagem!$A$2:$A$451,0))&amp;"","")</f>
        <v>Excluir</v>
      </c>
      <c r="G49" s="2" t="str">
        <f t="array" ref="G49">IFERROR(INDEX('Revisão_Gemini'!$H$7:$H$456,MATCH($A49,'Revisão_Gemini'!$A$7:$A$456,0))&amp;"","")</f>
        <v>Incluir</v>
      </c>
      <c r="H49" s="2" t="str">
        <f t="array" ref="H49">IFERROR(INDEX('Revisão_ChatGPT'!$H$7:$H$456,MATCH($A49,'Revisão_ChatGPT'!$A$7:$A$456,0))&amp;"","")</f>
        <v>Incluir</v>
      </c>
      <c r="I49" s="2" t="str">
        <f t="shared" si="1"/>
        <v>2/3</v>
      </c>
      <c r="J49" s="21" t="s">
        <v>906</v>
      </c>
      <c r="K49" s="21"/>
      <c r="L49" s="21"/>
      <c r="M49" s="22" t="b">
        <f t="shared" si="2"/>
        <v>0</v>
      </c>
      <c r="N49" s="21"/>
      <c r="O49" s="2" t="str">
        <f t="shared" si="3"/>
        <v>Fora do recorte anual + Excluir</v>
      </c>
      <c r="P49" s="2" t="str">
        <f t="array" ref="P49">IF(O49&lt;&gt;"Incluir","",IF(K49&lt;&gt;"",K49,IF(IFERROR(INDEX(Triagem!$J$2:$J$451,MATCH($A49,Triagem!$A$2:$A$451,0))&amp;"","")&lt;&gt;"",IFERROR(INDEX(Triagem!$J$2:$J$451,MATCH($A49,Triagem!$A$2:$A$451,0))&amp;"",""),IF(IFERROR(INDEX('Revisão_Gemini'!$I$7:$I$456,MATCH($A49,'Revisão_Gemini'!$A$7:$A$456,0))&amp;"","")&lt;&gt;"",IFERROR(INDEX('Revisão_Gemini'!$I$7:$I$456,MATCH($A49,'Revisão_Gemini'!$A$7:$A$456,0))&amp;"",""),IFERROR(INDEX('Revisão_ChatGPT'!$I$7:$I$456,MATCH($A49,'Revisão_ChatGPT'!$A$7:$A$456,0))&amp;"","")))))</f>
        <v/>
      </c>
      <c r="Q49" s="2" t="str">
        <f t="array" ref="Q49">IF(O49&lt;&gt;"Excluir","",IF(L49&lt;&gt;"",L49,IF(F49="Excluir",IFERROR(INDEX(Triagem!$K$2:$K$451,MATCH($A49,Triagem!$A$2:$A$451,0))&amp;"",""),IF(G49="Excluir",IFERROR(INDEX('Revisão_Gemini'!$J$7:$J$456,MATCH($A49,'Revisão_Gemini'!$A$7:$A$456,0))&amp;"",""),IFERROR(INDEX('Revisão_ChatGPT'!$J$7:$J$456,MATCH($A49,'Revisão_ChatGPT'!$A$7:$A$456,0))&amp;"","")))))</f>
        <v/>
      </c>
    </row>
    <row r="50" ht="15.75" customHeight="1">
      <c r="A50" s="2" t="s">
        <v>1460</v>
      </c>
      <c r="B50" s="19" t="str">
        <f t="array" ref="B50">INDEX(Triagem!$N$2:$N451 , MATCH(A50,Triagem!$A$2:$A451,0))</f>
        <v>abrir</v>
      </c>
      <c r="C50" s="20">
        <f t="array" ref="C50">INDEX(Triagem!$B$2:$B451 , MATCH(A50,Triagem!$A$2:$A451,0))</f>
        <v>2007</v>
      </c>
      <c r="D50" s="2" t="s">
        <v>1462</v>
      </c>
      <c r="E50" s="2" t="s">
        <v>1463</v>
      </c>
      <c r="F50" s="2" t="str">
        <f t="array" ref="F50">IFERROR(INDEX(Triagem!$I$2:$I$451,MATCH($A50,Triagem!$A$2:$A$451,0))&amp;"","")</f>
        <v>Excluir</v>
      </c>
      <c r="G50" s="2" t="str">
        <f t="array" ref="G50">IFERROR(INDEX('Revisão_Gemini'!$H$7:$H$456,MATCH($A50,'Revisão_Gemini'!$A$7:$A$456,0))&amp;"","")</f>
        <v>Excluir</v>
      </c>
      <c r="H50" s="2" t="str">
        <f t="array" ref="H50">IFERROR(INDEX('Revisão_ChatGPT'!$H$7:$H$456,MATCH($A50,'Revisão_ChatGPT'!$A$7:$A$456,0))&amp;"","")</f>
        <v>Excluir</v>
      </c>
      <c r="I50" s="2" t="str">
        <f t="shared" si="1"/>
        <v>3/3</v>
      </c>
      <c r="J50" s="21"/>
      <c r="K50" s="21"/>
      <c r="L50" s="21"/>
      <c r="M50" s="22" t="b">
        <f t="shared" si="2"/>
        <v>0</v>
      </c>
      <c r="N50" s="21" t="s">
        <v>3171</v>
      </c>
      <c r="O50" s="2" t="str">
        <f t="shared" si="3"/>
        <v>Fora do recorte anual + Excluir</v>
      </c>
      <c r="P50" s="2" t="str">
        <f t="array" ref="P50">IF(O50&lt;&gt;"Incluir","",IF(K50&lt;&gt;"",K50,IF(IFERROR(INDEX(Triagem!$J$2:$J$451,MATCH($A50,Triagem!$A$2:$A$451,0))&amp;"","")&lt;&gt;"",IFERROR(INDEX(Triagem!$J$2:$J$451,MATCH($A50,Triagem!$A$2:$A$451,0))&amp;"",""),IF(IFERROR(INDEX('Revisão_Gemini'!$I$7:$I$456,MATCH($A50,'Revisão_Gemini'!$A$7:$A$456,0))&amp;"","")&lt;&gt;"",IFERROR(INDEX('Revisão_Gemini'!$I$7:$I$456,MATCH($A50,'Revisão_Gemini'!$A$7:$A$456,0))&amp;"",""),IFERROR(INDEX('Revisão_ChatGPT'!$I$7:$I$456,MATCH($A50,'Revisão_ChatGPT'!$A$7:$A$456,0))&amp;"","")))))</f>
        <v/>
      </c>
      <c r="Q50" s="2" t="str">
        <f t="array" ref="Q50">IF(O50&lt;&gt;"Excluir","",IF(L50&lt;&gt;"",L50,IF(F50="Excluir",IFERROR(INDEX(Triagem!$K$2:$K$451,MATCH($A50,Triagem!$A$2:$A$451,0))&amp;"",""),IF(G50="Excluir",IFERROR(INDEX('Revisão_Gemini'!$J$7:$J$456,MATCH($A50,'Revisão_Gemini'!$A$7:$A$456,0))&amp;"",""),IFERROR(INDEX('Revisão_ChatGPT'!$J$7:$J$456,MATCH($A50,'Revisão_ChatGPT'!$A$7:$A$456,0))&amp;"","")))))</f>
        <v/>
      </c>
    </row>
    <row r="51" ht="15.75" customHeight="1">
      <c r="A51" s="2" t="s">
        <v>993</v>
      </c>
      <c r="B51" s="19" t="str">
        <f t="array" ref="B51">INDEX(Triagem!$N$2:$N451 , MATCH(A51,Triagem!$A$2:$A451,0))</f>
        <v>abrir</v>
      </c>
      <c r="C51" s="20">
        <f t="array" ref="C51">INDEX(Triagem!$B$2:$B451 , MATCH(A51,Triagem!$A$2:$A451,0))</f>
        <v>2007</v>
      </c>
      <c r="D51" s="2" t="s">
        <v>995</v>
      </c>
      <c r="E51" s="2" t="s">
        <v>996</v>
      </c>
      <c r="F51" s="2" t="str">
        <f t="array" ref="F51">IFERROR(INDEX(Triagem!$I$2:$I$451,MATCH($A51,Triagem!$A$2:$A$451,0))&amp;"","")</f>
        <v>Excluir</v>
      </c>
      <c r="G51" s="2" t="str">
        <f t="array" ref="G51">IFERROR(INDEX('Revisão_Gemini'!$H$7:$H$456,MATCH($A51,'Revisão_Gemini'!$A$7:$A$456,0))&amp;"","")</f>
        <v>Excluir</v>
      </c>
      <c r="H51" s="2" t="str">
        <f t="array" ref="H51">IFERROR(INDEX('Revisão_ChatGPT'!$H$7:$H$456,MATCH($A51,'Revisão_ChatGPT'!$A$7:$A$456,0))&amp;"","")</f>
        <v>Excluir</v>
      </c>
      <c r="I51" s="2" t="str">
        <f t="shared" si="1"/>
        <v>3/3</v>
      </c>
      <c r="J51" s="21"/>
      <c r="K51" s="21"/>
      <c r="L51" s="21"/>
      <c r="M51" s="22" t="b">
        <f t="shared" si="2"/>
        <v>0</v>
      </c>
      <c r="N51" s="21" t="s">
        <v>3172</v>
      </c>
      <c r="O51" s="2" t="str">
        <f t="shared" si="3"/>
        <v>Fora do recorte anual + Excluir</v>
      </c>
      <c r="P51" s="2" t="str">
        <f t="array" ref="P51">IF(O51&lt;&gt;"Incluir","",IF(K51&lt;&gt;"",K51,IF(IFERROR(INDEX(Triagem!$J$2:$J$451,MATCH($A51,Triagem!$A$2:$A$451,0))&amp;"","")&lt;&gt;"",IFERROR(INDEX(Triagem!$J$2:$J$451,MATCH($A51,Triagem!$A$2:$A$451,0))&amp;"",""),IF(IFERROR(INDEX('Revisão_Gemini'!$I$7:$I$456,MATCH($A51,'Revisão_Gemini'!$A$7:$A$456,0))&amp;"","")&lt;&gt;"",IFERROR(INDEX('Revisão_Gemini'!$I$7:$I$456,MATCH($A51,'Revisão_Gemini'!$A$7:$A$456,0))&amp;"",""),IFERROR(INDEX('Revisão_ChatGPT'!$I$7:$I$456,MATCH($A51,'Revisão_ChatGPT'!$A$7:$A$456,0))&amp;"","")))))</f>
        <v/>
      </c>
      <c r="Q51" s="2" t="str">
        <f t="array" ref="Q51">IF(O51&lt;&gt;"Excluir","",IF(L51&lt;&gt;"",L51,IF(F51="Excluir",IFERROR(INDEX(Triagem!$K$2:$K$451,MATCH($A51,Triagem!$A$2:$A$451,0))&amp;"",""),IF(G51="Excluir",IFERROR(INDEX('Revisão_Gemini'!$J$7:$J$456,MATCH($A51,'Revisão_Gemini'!$A$7:$A$456,0))&amp;"",""),IFERROR(INDEX('Revisão_ChatGPT'!$J$7:$J$456,MATCH($A51,'Revisão_ChatGPT'!$A$7:$A$456,0))&amp;"","")))))</f>
        <v/>
      </c>
    </row>
    <row r="52" ht="15.75" customHeight="1">
      <c r="A52" s="2" t="s">
        <v>637</v>
      </c>
      <c r="B52" s="19" t="str">
        <f t="array" ref="B52">INDEX(Triagem!$N$2:$N451 , MATCH(A52,Triagem!$A$2:$A451,0))</f>
        <v>abrir</v>
      </c>
      <c r="C52" s="20">
        <f t="array" ref="C52">INDEX(Triagem!$B$2:$B451 , MATCH(A52,Triagem!$A$2:$A451,0))</f>
        <v>2007</v>
      </c>
      <c r="D52" s="3" t="s">
        <v>639</v>
      </c>
      <c r="E52" s="2" t="s">
        <v>640</v>
      </c>
      <c r="F52" s="2" t="str">
        <f t="array" ref="F52">IFERROR(INDEX(Triagem!$I$2:$I$451,MATCH($A52,Triagem!$A$2:$A$451,0))&amp;"","")</f>
        <v>Incluir</v>
      </c>
      <c r="G52" s="2" t="str">
        <f t="array" ref="G52">IFERROR(INDEX('Revisão_Gemini'!$H$7:$H$456,MATCH($A52,'Revisão_Gemini'!$A$7:$A$456,0))&amp;"","")</f>
        <v>Incluir</v>
      </c>
      <c r="H52" s="2" t="str">
        <f t="array" ref="H52">IFERROR(INDEX('Revisão_ChatGPT'!$H$7:$H$456,MATCH($A52,'Revisão_ChatGPT'!$A$7:$A$456,0))&amp;"","")</f>
        <v>Incluir</v>
      </c>
      <c r="I52" s="2" t="str">
        <f t="shared" si="1"/>
        <v>3/3</v>
      </c>
      <c r="J52" s="21"/>
      <c r="K52" s="21"/>
      <c r="L52" s="21"/>
      <c r="M52" s="22" t="b">
        <f t="shared" si="2"/>
        <v>0</v>
      </c>
      <c r="N52" s="21" t="s">
        <v>3173</v>
      </c>
      <c r="O52" s="2" t="str">
        <f t="shared" si="3"/>
        <v>Fora do recorte anual + Incluir</v>
      </c>
      <c r="P52" s="2" t="str">
        <f t="array" ref="P52">IF(O52&lt;&gt;"Incluir","",IF(K52&lt;&gt;"",K52,IF(IFERROR(INDEX(Triagem!$J$2:$J$451,MATCH($A52,Triagem!$A$2:$A$451,0))&amp;"","")&lt;&gt;"",IFERROR(INDEX(Triagem!$J$2:$J$451,MATCH($A52,Triagem!$A$2:$A$451,0))&amp;"",""),IF(IFERROR(INDEX('Revisão_Gemini'!$I$7:$I$456,MATCH($A52,'Revisão_Gemini'!$A$7:$A$456,0))&amp;"","")&lt;&gt;"",IFERROR(INDEX('Revisão_Gemini'!$I$7:$I$456,MATCH($A52,'Revisão_Gemini'!$A$7:$A$456,0))&amp;"",""),IFERROR(INDEX('Revisão_ChatGPT'!$I$7:$I$456,MATCH($A52,'Revisão_ChatGPT'!$A$7:$A$456,0))&amp;"","")))))</f>
        <v/>
      </c>
      <c r="Q52" s="2" t="str">
        <f t="array" ref="Q52">IF(O52&lt;&gt;"Excluir","",IF(L52&lt;&gt;"",L52,IF(F52="Excluir",IFERROR(INDEX(Triagem!$K$2:$K$451,MATCH($A52,Triagem!$A$2:$A$451,0))&amp;"",""),IF(G52="Excluir",IFERROR(INDEX('Revisão_Gemini'!$J$7:$J$456,MATCH($A52,'Revisão_Gemini'!$A$7:$A$456,0))&amp;"",""),IFERROR(INDEX('Revisão_ChatGPT'!$J$7:$J$456,MATCH($A52,'Revisão_ChatGPT'!$A$7:$A$456,0))&amp;"","")))))</f>
        <v/>
      </c>
    </row>
    <row r="53" ht="15.75" customHeight="1">
      <c r="A53" s="2" t="s">
        <v>1465</v>
      </c>
      <c r="B53" s="19" t="str">
        <f t="array" ref="B53">INDEX(Triagem!$N$2:$N451 , MATCH(A53,Triagem!$A$2:$A451,0))</f>
        <v>abrir</v>
      </c>
      <c r="C53" s="20">
        <f t="array" ref="C53">INDEX(Triagem!$B$2:$B451 , MATCH(A53,Triagem!$A$2:$A451,0))</f>
        <v>2007</v>
      </c>
      <c r="D53" s="2" t="s">
        <v>1467</v>
      </c>
      <c r="E53" s="2" t="s">
        <v>1468</v>
      </c>
      <c r="F53" s="2" t="str">
        <f t="array" ref="F53">IFERROR(INDEX(Triagem!$I$2:$I$451,MATCH($A53,Triagem!$A$2:$A$451,0))&amp;"","")</f>
        <v>Excluir</v>
      </c>
      <c r="G53" s="2" t="str">
        <f t="array" ref="G53">IFERROR(INDEX('Revisão_Gemini'!$H$7:$H$456,MATCH($A53,'Revisão_Gemini'!$A$7:$A$456,0))&amp;"","")</f>
        <v>Excluir</v>
      </c>
      <c r="H53" s="2" t="str">
        <f t="array" ref="H53">IFERROR(INDEX('Revisão_ChatGPT'!$H$7:$H$456,MATCH($A53,'Revisão_ChatGPT'!$A$7:$A$456,0))&amp;"","")</f>
        <v>Excluir</v>
      </c>
      <c r="I53" s="2" t="str">
        <f t="shared" si="1"/>
        <v>3/3</v>
      </c>
      <c r="J53" s="21"/>
      <c r="K53" s="21"/>
      <c r="L53" s="21"/>
      <c r="M53" s="22" t="b">
        <f t="shared" si="2"/>
        <v>0</v>
      </c>
      <c r="N53" s="21" t="s">
        <v>3174</v>
      </c>
      <c r="O53" s="2" t="str">
        <f t="shared" si="3"/>
        <v>Fora do recorte anual + Excluir</v>
      </c>
      <c r="P53" s="2" t="str">
        <f t="array" ref="P53">IF(O53&lt;&gt;"Incluir","",IF(K53&lt;&gt;"",K53,IF(IFERROR(INDEX(Triagem!$J$2:$J$451,MATCH($A53,Triagem!$A$2:$A$451,0))&amp;"","")&lt;&gt;"",IFERROR(INDEX(Triagem!$J$2:$J$451,MATCH($A53,Triagem!$A$2:$A$451,0))&amp;"",""),IF(IFERROR(INDEX('Revisão_Gemini'!$I$7:$I$456,MATCH($A53,'Revisão_Gemini'!$A$7:$A$456,0))&amp;"","")&lt;&gt;"",IFERROR(INDEX('Revisão_Gemini'!$I$7:$I$456,MATCH($A53,'Revisão_Gemini'!$A$7:$A$456,0))&amp;"",""),IFERROR(INDEX('Revisão_ChatGPT'!$I$7:$I$456,MATCH($A53,'Revisão_ChatGPT'!$A$7:$A$456,0))&amp;"","")))))</f>
        <v/>
      </c>
      <c r="Q53" s="2" t="str">
        <f t="array" ref="Q53">IF(O53&lt;&gt;"Excluir","",IF(L53&lt;&gt;"",L53,IF(F53="Excluir",IFERROR(INDEX(Triagem!$K$2:$K$451,MATCH($A53,Triagem!$A$2:$A$451,0))&amp;"",""),IF(G53="Excluir",IFERROR(INDEX('Revisão_Gemini'!$J$7:$J$456,MATCH($A53,'Revisão_Gemini'!$A$7:$A$456,0))&amp;"",""),IFERROR(INDEX('Revisão_ChatGPT'!$J$7:$J$456,MATCH($A53,'Revisão_ChatGPT'!$A$7:$A$456,0))&amp;"","")))))</f>
        <v/>
      </c>
    </row>
    <row r="54" ht="15.75" customHeight="1">
      <c r="A54" s="2" t="s">
        <v>641</v>
      </c>
      <c r="B54" s="19" t="str">
        <f t="array" ref="B54">INDEX(Triagem!$N$2:$N451 , MATCH(A54,Triagem!$A$2:$A451,0))</f>
        <v>abrir</v>
      </c>
      <c r="C54" s="20">
        <f t="array" ref="C54">INDEX(Triagem!$B$2:$B451 , MATCH(A54,Triagem!$A$2:$A451,0))</f>
        <v>2007</v>
      </c>
      <c r="D54" s="2" t="s">
        <v>642</v>
      </c>
      <c r="E54" s="2" t="s">
        <v>643</v>
      </c>
      <c r="F54" s="2" t="str">
        <f t="array" ref="F54">IFERROR(INDEX(Triagem!$I$2:$I$451,MATCH($A54,Triagem!$A$2:$A$451,0))&amp;"","")</f>
        <v>Incluir</v>
      </c>
      <c r="G54" s="2" t="str">
        <f t="array" ref="G54">IFERROR(INDEX('Revisão_Gemini'!$H$7:$H$456,MATCH($A54,'Revisão_Gemini'!$A$7:$A$456,0))&amp;"","")</f>
        <v>Incluir</v>
      </c>
      <c r="H54" s="2" t="str">
        <f t="array" ref="H54">IFERROR(INDEX('Revisão_ChatGPT'!$H$7:$H$456,MATCH($A54,'Revisão_ChatGPT'!$A$7:$A$456,0))&amp;"","")</f>
        <v>Incluir</v>
      </c>
      <c r="I54" s="2" t="str">
        <f t="shared" si="1"/>
        <v>3/3</v>
      </c>
      <c r="J54" s="21"/>
      <c r="K54" s="21"/>
      <c r="L54" s="21"/>
      <c r="M54" s="22" t="b">
        <f t="shared" si="2"/>
        <v>0</v>
      </c>
      <c r="N54" s="21"/>
      <c r="O54" s="2" t="str">
        <f t="shared" si="3"/>
        <v>Fora do recorte anual + Incluir</v>
      </c>
      <c r="P54" s="2" t="str">
        <f t="array" ref="P54">IF(O54&lt;&gt;"Incluir","",IF(K54&lt;&gt;"",K54,IF(IFERROR(INDEX(Triagem!$J$2:$J$451,MATCH($A54,Triagem!$A$2:$A$451,0))&amp;"","")&lt;&gt;"",IFERROR(INDEX(Triagem!$J$2:$J$451,MATCH($A54,Triagem!$A$2:$A$451,0))&amp;"",""),IF(IFERROR(INDEX('Revisão_Gemini'!$I$7:$I$456,MATCH($A54,'Revisão_Gemini'!$A$7:$A$456,0))&amp;"","")&lt;&gt;"",IFERROR(INDEX('Revisão_Gemini'!$I$7:$I$456,MATCH($A54,'Revisão_Gemini'!$A$7:$A$456,0))&amp;"",""),IFERROR(INDEX('Revisão_ChatGPT'!$I$7:$I$456,MATCH($A54,'Revisão_ChatGPT'!$A$7:$A$456,0))&amp;"","")))))</f>
        <v/>
      </c>
      <c r="Q54" s="2" t="str">
        <f t="array" ref="Q54">IF(O54&lt;&gt;"Excluir","",IF(L54&lt;&gt;"",L54,IF(F54="Excluir",IFERROR(INDEX(Triagem!$K$2:$K$451,MATCH($A54,Triagem!$A$2:$A$451,0))&amp;"",""),IF(G54="Excluir",IFERROR(INDEX('Revisão_Gemini'!$J$7:$J$456,MATCH($A54,'Revisão_Gemini'!$A$7:$A$456,0))&amp;"",""),IFERROR(INDEX('Revisão_ChatGPT'!$J$7:$J$456,MATCH($A54,'Revisão_ChatGPT'!$A$7:$A$456,0))&amp;"","")))))</f>
        <v/>
      </c>
    </row>
    <row r="55" ht="15.75" customHeight="1">
      <c r="A55" s="2" t="s">
        <v>1945</v>
      </c>
      <c r="B55" s="19" t="str">
        <f t="array" ref="B55">INDEX(Triagem!$N$2:$N451 , MATCH(A55,Triagem!$A$2:$A451,0))</f>
        <v>abrir</v>
      </c>
      <c r="C55" s="20">
        <f t="array" ref="C55">INDEX(Triagem!$B$2:$B451 , MATCH(A55,Triagem!$A$2:$A451,0))</f>
        <v>2007</v>
      </c>
      <c r="D55" s="2" t="s">
        <v>1947</v>
      </c>
      <c r="E55" s="2" t="s">
        <v>1948</v>
      </c>
      <c r="F55" s="2" t="str">
        <f t="array" ref="F55">IFERROR(INDEX(Triagem!$I$2:$I$451,MATCH($A55,Triagem!$A$2:$A$451,0))&amp;"","")</f>
        <v>Excluir</v>
      </c>
      <c r="G55" s="2" t="str">
        <f t="array" ref="G55">IFERROR(INDEX('Revisão_Gemini'!$H$7:$H$456,MATCH($A55,'Revisão_Gemini'!$A$7:$A$456,0))&amp;"","")</f>
        <v>Excluir</v>
      </c>
      <c r="H55" s="2" t="str">
        <f t="array" ref="H55">IFERROR(INDEX('Revisão_ChatGPT'!$H$7:$H$456,MATCH($A55,'Revisão_ChatGPT'!$A$7:$A$456,0))&amp;"","")</f>
        <v>Excluir</v>
      </c>
      <c r="I55" s="2" t="str">
        <f t="shared" si="1"/>
        <v>3/3</v>
      </c>
      <c r="J55" s="21" t="s">
        <v>694</v>
      </c>
      <c r="K55" s="21"/>
      <c r="L55" s="21"/>
      <c r="M55" s="22" t="b">
        <f t="shared" si="2"/>
        <v>0</v>
      </c>
      <c r="N55" s="21"/>
      <c r="O55" s="2" t="str">
        <f t="shared" si="3"/>
        <v>Fora do recorte anual + Apoio</v>
      </c>
      <c r="P55" s="2" t="str">
        <f t="array" ref="P55">IF(O55&lt;&gt;"Incluir","",IF(K55&lt;&gt;"",K55,IF(IFERROR(INDEX(Triagem!$J$2:$J$451,MATCH($A55,Triagem!$A$2:$A$451,0))&amp;"","")&lt;&gt;"",IFERROR(INDEX(Triagem!$J$2:$J$451,MATCH($A55,Triagem!$A$2:$A$451,0))&amp;"",""),IF(IFERROR(INDEX('Revisão_Gemini'!$I$7:$I$456,MATCH($A55,'Revisão_Gemini'!$A$7:$A$456,0))&amp;"","")&lt;&gt;"",IFERROR(INDEX('Revisão_Gemini'!$I$7:$I$456,MATCH($A55,'Revisão_Gemini'!$A$7:$A$456,0))&amp;"",""),IFERROR(INDEX('Revisão_ChatGPT'!$I$7:$I$456,MATCH($A55,'Revisão_ChatGPT'!$A$7:$A$456,0))&amp;"","")))))</f>
        <v/>
      </c>
      <c r="Q55" s="2" t="str">
        <f t="array" ref="Q55">IF(O55&lt;&gt;"Excluir","",IF(L55&lt;&gt;"",L55,IF(F55="Excluir",IFERROR(INDEX(Triagem!$K$2:$K$451,MATCH($A55,Triagem!$A$2:$A$451,0))&amp;"",""),IF(G55="Excluir",IFERROR(INDEX('Revisão_Gemini'!$J$7:$J$456,MATCH($A55,'Revisão_Gemini'!$A$7:$A$456,0))&amp;"",""),IFERROR(INDEX('Revisão_ChatGPT'!$J$7:$J$456,MATCH($A55,'Revisão_ChatGPT'!$A$7:$A$456,0))&amp;"","")))))</f>
        <v/>
      </c>
    </row>
    <row r="56" ht="15.75" customHeight="1">
      <c r="A56" s="2" t="s">
        <v>1469</v>
      </c>
      <c r="B56" s="19" t="str">
        <f t="array" ref="B56">INDEX(Triagem!$N$2:$N451 , MATCH(A56,Triagem!$A$2:$A451,0))</f>
        <v>abrir</v>
      </c>
      <c r="C56" s="20">
        <f t="array" ref="C56">INDEX(Triagem!$B$2:$B451 , MATCH(A56,Triagem!$A$2:$A451,0))</f>
        <v>2007</v>
      </c>
      <c r="D56" s="2" t="s">
        <v>1471</v>
      </c>
      <c r="E56" s="2" t="s">
        <v>1472</v>
      </c>
      <c r="F56" s="2" t="str">
        <f t="array" ref="F56">IFERROR(INDEX(Triagem!$I$2:$I$451,MATCH($A56,Triagem!$A$2:$A$451,0))&amp;"","")</f>
        <v>Excluir</v>
      </c>
      <c r="G56" s="2" t="str">
        <f t="array" ref="G56">IFERROR(INDEX('Revisão_Gemini'!$H$7:$H$456,MATCH($A56,'Revisão_Gemini'!$A$7:$A$456,0))&amp;"","")</f>
        <v>Excluir</v>
      </c>
      <c r="H56" s="2" t="str">
        <f t="array" ref="H56">IFERROR(INDEX('Revisão_ChatGPT'!$H$7:$H$456,MATCH($A56,'Revisão_ChatGPT'!$A$7:$A$456,0))&amp;"","")</f>
        <v>Excluir</v>
      </c>
      <c r="I56" s="2" t="str">
        <f t="shared" si="1"/>
        <v>3/3</v>
      </c>
      <c r="J56" s="21"/>
      <c r="K56" s="21"/>
      <c r="L56" s="21"/>
      <c r="M56" s="22" t="b">
        <f t="shared" si="2"/>
        <v>0</v>
      </c>
      <c r="N56" s="21" t="s">
        <v>3175</v>
      </c>
      <c r="O56" s="2" t="str">
        <f t="shared" si="3"/>
        <v>Fora do recorte anual + Excluir</v>
      </c>
      <c r="P56" s="2" t="str">
        <f t="array" ref="P56">IF(O56&lt;&gt;"Incluir","",IF(K56&lt;&gt;"",K56,IF(IFERROR(INDEX(Triagem!$J$2:$J$451,MATCH($A56,Triagem!$A$2:$A$451,0))&amp;"","")&lt;&gt;"",IFERROR(INDEX(Triagem!$J$2:$J$451,MATCH($A56,Triagem!$A$2:$A$451,0))&amp;"",""),IF(IFERROR(INDEX('Revisão_Gemini'!$I$7:$I$456,MATCH($A56,'Revisão_Gemini'!$A$7:$A$456,0))&amp;"","")&lt;&gt;"",IFERROR(INDEX('Revisão_Gemini'!$I$7:$I$456,MATCH($A56,'Revisão_Gemini'!$A$7:$A$456,0))&amp;"",""),IFERROR(INDEX('Revisão_ChatGPT'!$I$7:$I$456,MATCH($A56,'Revisão_ChatGPT'!$A$7:$A$456,0))&amp;"","")))))</f>
        <v/>
      </c>
      <c r="Q56" s="2" t="str">
        <f t="array" ref="Q56">IF(O56&lt;&gt;"Excluir","",IF(L56&lt;&gt;"",L56,IF(F56="Excluir",IFERROR(INDEX(Triagem!$K$2:$K$451,MATCH($A56,Triagem!$A$2:$A$451,0))&amp;"",""),IF(G56="Excluir",IFERROR(INDEX('Revisão_Gemini'!$J$7:$J$456,MATCH($A56,'Revisão_Gemini'!$A$7:$A$456,0))&amp;"",""),IFERROR(INDEX('Revisão_ChatGPT'!$J$7:$J$456,MATCH($A56,'Revisão_ChatGPT'!$A$7:$A$456,0))&amp;"","")))))</f>
        <v/>
      </c>
    </row>
    <row r="57" ht="15.75" customHeight="1">
      <c r="A57" s="2" t="s">
        <v>1437</v>
      </c>
      <c r="B57" s="19" t="str">
        <f t="array" ref="B57">INDEX(Triagem!$N$2:$N451 , MATCH(A57,Triagem!$A$2:$A451,0))</f>
        <v>abrir</v>
      </c>
      <c r="C57" s="20">
        <f t="array" ref="C57">INDEX(Triagem!$B$2:$B451 , MATCH(A57,Triagem!$A$2:$A451,0))</f>
        <v>2008</v>
      </c>
      <c r="D57" s="2" t="s">
        <v>1439</v>
      </c>
      <c r="E57" s="2" t="s">
        <v>1440</v>
      </c>
      <c r="F57" s="2" t="str">
        <f t="array" ref="F57">IFERROR(INDEX(Triagem!$I$2:$I$451,MATCH($A57,Triagem!$A$2:$A$451,0))&amp;"","")</f>
        <v>Excluir</v>
      </c>
      <c r="G57" s="2" t="str">
        <f t="array" ref="G57">IFERROR(INDEX('Revisão_Gemini'!$H$7:$H$456,MATCH($A57,'Revisão_Gemini'!$A$7:$A$456,0))&amp;"","")</f>
        <v>Excluir</v>
      </c>
      <c r="H57" s="2" t="str">
        <f t="array" ref="H57">IFERROR(INDEX('Revisão_ChatGPT'!$H$7:$H$456,MATCH($A57,'Revisão_ChatGPT'!$A$7:$A$456,0))&amp;"","")</f>
        <v>Excluir</v>
      </c>
      <c r="I57" s="2" t="str">
        <f t="shared" si="1"/>
        <v>3/3</v>
      </c>
      <c r="J57" s="21" t="s">
        <v>694</v>
      </c>
      <c r="K57" s="21"/>
      <c r="L57" s="21"/>
      <c r="M57" s="22" t="b">
        <f t="shared" si="2"/>
        <v>0</v>
      </c>
      <c r="N57" s="21" t="s">
        <v>3176</v>
      </c>
      <c r="O57" s="2" t="str">
        <f t="shared" si="3"/>
        <v>Fora do recorte anual + Apoio</v>
      </c>
      <c r="P57" s="2" t="str">
        <f t="array" ref="P57">IF(O57&lt;&gt;"Incluir","",IF(K57&lt;&gt;"",K57,IF(IFERROR(INDEX(Triagem!$J$2:$J$451,MATCH($A57,Triagem!$A$2:$A$451,0))&amp;"","")&lt;&gt;"",IFERROR(INDEX(Triagem!$J$2:$J$451,MATCH($A57,Triagem!$A$2:$A$451,0))&amp;"",""),IF(IFERROR(INDEX('Revisão_Gemini'!$I$7:$I$456,MATCH($A57,'Revisão_Gemini'!$A$7:$A$456,0))&amp;"","")&lt;&gt;"",IFERROR(INDEX('Revisão_Gemini'!$I$7:$I$456,MATCH($A57,'Revisão_Gemini'!$A$7:$A$456,0))&amp;"",""),IFERROR(INDEX('Revisão_ChatGPT'!$I$7:$I$456,MATCH($A57,'Revisão_ChatGPT'!$A$7:$A$456,0))&amp;"","")))))</f>
        <v/>
      </c>
      <c r="Q57" s="2" t="str">
        <f t="array" ref="Q57">IF(O57&lt;&gt;"Excluir","",IF(L57&lt;&gt;"",L57,IF(F57="Excluir",IFERROR(INDEX(Triagem!$K$2:$K$451,MATCH($A57,Triagem!$A$2:$A$451,0))&amp;"",""),IF(G57="Excluir",IFERROR(INDEX('Revisão_Gemini'!$J$7:$J$456,MATCH($A57,'Revisão_Gemini'!$A$7:$A$456,0))&amp;"",""),IFERROR(INDEX('Revisão_ChatGPT'!$J$7:$J$456,MATCH($A57,'Revisão_ChatGPT'!$A$7:$A$456,0))&amp;"","")))))</f>
        <v/>
      </c>
    </row>
    <row r="58" ht="15.75" customHeight="1">
      <c r="A58" s="2" t="s">
        <v>2057</v>
      </c>
      <c r="B58" s="19" t="str">
        <f t="array" ref="B58">INDEX(Triagem!$N$2:$N451 , MATCH(A58,Triagem!$A$2:$A451,0))</f>
        <v>abrir</v>
      </c>
      <c r="C58" s="20">
        <f t="array" ref="C58">INDEX(Triagem!$B$2:$B451 , MATCH(A58,Triagem!$A$2:$A451,0))</f>
        <v>2007</v>
      </c>
      <c r="D58" s="2" t="s">
        <v>2059</v>
      </c>
      <c r="E58" s="2" t="s">
        <v>2060</v>
      </c>
      <c r="F58" s="2" t="str">
        <f t="array" ref="F58">IFERROR(INDEX(Triagem!$I$2:$I$451,MATCH($A58,Triagem!$A$2:$A$451,0))&amp;"","")</f>
        <v>Excluir</v>
      </c>
      <c r="G58" s="2" t="str">
        <f t="array" ref="G58">IFERROR(INDEX('Revisão_Gemini'!$H$7:$H$456,MATCH($A58,'Revisão_Gemini'!$A$7:$A$456,0))&amp;"","")</f>
        <v>Excluir</v>
      </c>
      <c r="H58" s="2" t="str">
        <f t="array" ref="H58">IFERROR(INDEX('Revisão_ChatGPT'!$H$7:$H$456,MATCH($A58,'Revisão_ChatGPT'!$A$7:$A$456,0))&amp;"","")</f>
        <v>Excluir</v>
      </c>
      <c r="I58" s="2" t="str">
        <f t="shared" si="1"/>
        <v>3/3</v>
      </c>
      <c r="J58" s="21"/>
      <c r="K58" s="21"/>
      <c r="L58" s="21"/>
      <c r="M58" s="22" t="b">
        <f t="shared" si="2"/>
        <v>0</v>
      </c>
      <c r="N58" s="21"/>
      <c r="O58" s="2" t="str">
        <f t="shared" si="3"/>
        <v>Fora do recorte anual + Excluir</v>
      </c>
      <c r="P58" s="2" t="str">
        <f t="array" ref="P58">IF(O58&lt;&gt;"Incluir","",IF(K58&lt;&gt;"",K58,IF(IFERROR(INDEX(Triagem!$J$2:$J$451,MATCH($A58,Triagem!$A$2:$A$451,0))&amp;"","")&lt;&gt;"",IFERROR(INDEX(Triagem!$J$2:$J$451,MATCH($A58,Triagem!$A$2:$A$451,0))&amp;"",""),IF(IFERROR(INDEX('Revisão_Gemini'!$I$7:$I$456,MATCH($A58,'Revisão_Gemini'!$A$7:$A$456,0))&amp;"","")&lt;&gt;"",IFERROR(INDEX('Revisão_Gemini'!$I$7:$I$456,MATCH($A58,'Revisão_Gemini'!$A$7:$A$456,0))&amp;"",""),IFERROR(INDEX('Revisão_ChatGPT'!$I$7:$I$456,MATCH($A58,'Revisão_ChatGPT'!$A$7:$A$456,0))&amp;"","")))))</f>
        <v/>
      </c>
      <c r="Q58" s="2" t="str">
        <f t="array" ref="Q58">IF(O58&lt;&gt;"Excluir","",IF(L58&lt;&gt;"",L58,IF(F58="Excluir",IFERROR(INDEX(Triagem!$K$2:$K$451,MATCH($A58,Triagem!$A$2:$A$451,0))&amp;"",""),IF(G58="Excluir",IFERROR(INDEX('Revisão_Gemini'!$J$7:$J$456,MATCH($A58,'Revisão_Gemini'!$A$7:$A$456,0))&amp;"",""),IFERROR(INDEX('Revisão_ChatGPT'!$J$7:$J$456,MATCH($A58,'Revisão_ChatGPT'!$A$7:$A$456,0))&amp;"","")))))</f>
        <v/>
      </c>
    </row>
    <row r="59" ht="15.75" customHeight="1">
      <c r="A59" s="2" t="s">
        <v>1824</v>
      </c>
      <c r="B59" s="19" t="str">
        <f t="array" ref="B59">INDEX(Triagem!$N$2:$N451 , MATCH(A59,Triagem!$A$2:$A451,0))</f>
        <v>abrir</v>
      </c>
      <c r="C59" s="20">
        <f t="array" ref="C59">INDEX(Triagem!$B$2:$B451 , MATCH(A59,Triagem!$A$2:$A451,0))</f>
        <v>2008</v>
      </c>
      <c r="D59" s="2" t="s">
        <v>1826</v>
      </c>
      <c r="E59" s="2" t="s">
        <v>1827</v>
      </c>
      <c r="F59" s="2" t="str">
        <f t="array" ref="F59">IFERROR(INDEX(Triagem!$I$2:$I$451,MATCH($A59,Triagem!$A$2:$A$451,0))&amp;"","")</f>
        <v>Excluir</v>
      </c>
      <c r="G59" s="2" t="str">
        <f t="array" ref="G59">IFERROR(INDEX('Revisão_Gemini'!$H$7:$H$456,MATCH($A59,'Revisão_Gemini'!$A$7:$A$456,0))&amp;"","")</f>
        <v>Excluir</v>
      </c>
      <c r="H59" s="2" t="str">
        <f t="array" ref="H59">IFERROR(INDEX('Revisão_ChatGPT'!$H$7:$H$456,MATCH($A59,'Revisão_ChatGPT'!$A$7:$A$456,0))&amp;"","")</f>
        <v>Excluir</v>
      </c>
      <c r="I59" s="2" t="str">
        <f t="shared" si="1"/>
        <v>3/3</v>
      </c>
      <c r="J59" s="21"/>
      <c r="K59" s="21"/>
      <c r="L59" s="21"/>
      <c r="M59" s="22" t="b">
        <f t="shared" si="2"/>
        <v>0</v>
      </c>
      <c r="N59" s="21"/>
      <c r="O59" s="2" t="str">
        <f t="shared" si="3"/>
        <v>Fora do recorte anual + Excluir</v>
      </c>
      <c r="P59" s="2" t="str">
        <f t="array" ref="P59">IF(O59&lt;&gt;"Incluir","",IF(K59&lt;&gt;"",K59,IF(IFERROR(INDEX(Triagem!$J$2:$J$451,MATCH($A59,Triagem!$A$2:$A$451,0))&amp;"","")&lt;&gt;"",IFERROR(INDEX(Triagem!$J$2:$J$451,MATCH($A59,Triagem!$A$2:$A$451,0))&amp;"",""),IF(IFERROR(INDEX('Revisão_Gemini'!$I$7:$I$456,MATCH($A59,'Revisão_Gemini'!$A$7:$A$456,0))&amp;"","")&lt;&gt;"",IFERROR(INDEX('Revisão_Gemini'!$I$7:$I$456,MATCH($A59,'Revisão_Gemini'!$A$7:$A$456,0))&amp;"",""),IFERROR(INDEX('Revisão_ChatGPT'!$I$7:$I$456,MATCH($A59,'Revisão_ChatGPT'!$A$7:$A$456,0))&amp;"","")))))</f>
        <v/>
      </c>
      <c r="Q59" s="2" t="str">
        <f t="array" ref="Q59">IF(O59&lt;&gt;"Excluir","",IF(L59&lt;&gt;"",L59,IF(F59="Excluir",IFERROR(INDEX(Triagem!$K$2:$K$451,MATCH($A59,Triagem!$A$2:$A$451,0))&amp;"",""),IF(G59="Excluir",IFERROR(INDEX('Revisão_Gemini'!$J$7:$J$456,MATCH($A59,'Revisão_Gemini'!$A$7:$A$456,0))&amp;"",""),IFERROR(INDEX('Revisão_ChatGPT'!$J$7:$J$456,MATCH($A59,'Revisão_ChatGPT'!$A$7:$A$456,0))&amp;"","")))))</f>
        <v/>
      </c>
    </row>
    <row r="60" ht="15.75" customHeight="1">
      <c r="A60" s="2" t="s">
        <v>989</v>
      </c>
      <c r="B60" s="19" t="str">
        <f t="array" ref="B60">INDEX(Triagem!$N$2:$N451 , MATCH(A60,Triagem!$A$2:$A451,0))</f>
        <v>abrir</v>
      </c>
      <c r="C60" s="20">
        <f t="array" ref="C60">INDEX(Triagem!$B$2:$B451 , MATCH(A60,Triagem!$A$2:$A451,0))</f>
        <v>2008</v>
      </c>
      <c r="D60" s="2" t="s">
        <v>990</v>
      </c>
      <c r="E60" s="2" t="s">
        <v>991</v>
      </c>
      <c r="F60" s="2" t="str">
        <f t="array" ref="F60">IFERROR(INDEX(Triagem!$I$2:$I$451,MATCH($A60,Triagem!$A$2:$A$451,0))&amp;"","")</f>
        <v>Excluir</v>
      </c>
      <c r="G60" s="2" t="str">
        <f t="array" ref="G60">IFERROR(INDEX('Revisão_Gemini'!$H$7:$H$456,MATCH($A60,'Revisão_Gemini'!$A$7:$A$456,0))&amp;"","")</f>
        <v>Excluir</v>
      </c>
      <c r="H60" s="2" t="str">
        <f t="array" ref="H60">IFERROR(INDEX('Revisão_ChatGPT'!$H$7:$H$456,MATCH($A60,'Revisão_ChatGPT'!$A$7:$A$456,0))&amp;"","")</f>
        <v>Excluir</v>
      </c>
      <c r="I60" s="2" t="str">
        <f t="shared" si="1"/>
        <v>3/3</v>
      </c>
      <c r="J60" s="21"/>
      <c r="K60" s="21"/>
      <c r="L60" s="21"/>
      <c r="M60" s="22" t="b">
        <f t="shared" si="2"/>
        <v>0</v>
      </c>
      <c r="N60" s="21" t="s">
        <v>3177</v>
      </c>
      <c r="O60" s="2" t="str">
        <f t="shared" si="3"/>
        <v>Fora do recorte anual + Excluir</v>
      </c>
      <c r="P60" s="2" t="str">
        <f t="array" ref="P60">IF(O60&lt;&gt;"Incluir","",IF(K60&lt;&gt;"",K60,IF(IFERROR(INDEX(Triagem!$J$2:$J$451,MATCH($A60,Triagem!$A$2:$A$451,0))&amp;"","")&lt;&gt;"",IFERROR(INDEX(Triagem!$J$2:$J$451,MATCH($A60,Triagem!$A$2:$A$451,0))&amp;"",""),IF(IFERROR(INDEX('Revisão_Gemini'!$I$7:$I$456,MATCH($A60,'Revisão_Gemini'!$A$7:$A$456,0))&amp;"","")&lt;&gt;"",IFERROR(INDEX('Revisão_Gemini'!$I$7:$I$456,MATCH($A60,'Revisão_Gemini'!$A$7:$A$456,0))&amp;"",""),IFERROR(INDEX('Revisão_ChatGPT'!$I$7:$I$456,MATCH($A60,'Revisão_ChatGPT'!$A$7:$A$456,0))&amp;"","")))))</f>
        <v/>
      </c>
      <c r="Q60" s="2" t="str">
        <f t="array" ref="Q60">IF(O60&lt;&gt;"Excluir","",IF(L60&lt;&gt;"",L60,IF(F60="Excluir",IFERROR(INDEX(Triagem!$K$2:$K$451,MATCH($A60,Triagem!$A$2:$A$451,0))&amp;"",""),IF(G60="Excluir",IFERROR(INDEX('Revisão_Gemini'!$J$7:$J$456,MATCH($A60,'Revisão_Gemini'!$A$7:$A$456,0))&amp;"",""),IFERROR(INDEX('Revisão_ChatGPT'!$J$7:$J$456,MATCH($A60,'Revisão_ChatGPT'!$A$7:$A$456,0))&amp;"","")))))</f>
        <v/>
      </c>
    </row>
    <row r="61" ht="15.75" customHeight="1">
      <c r="A61" s="2" t="s">
        <v>621</v>
      </c>
      <c r="B61" s="19" t="str">
        <f t="array" ref="B61">INDEX(Triagem!$N$2:$N451 , MATCH(A61,Triagem!$A$2:$A451,0))</f>
        <v>abrir</v>
      </c>
      <c r="C61" s="20">
        <f t="array" ref="C61">INDEX(Triagem!$B$2:$B451 , MATCH(A61,Triagem!$A$2:$A451,0))</f>
        <v>2008</v>
      </c>
      <c r="D61" s="2" t="s">
        <v>623</v>
      </c>
      <c r="E61" s="2" t="s">
        <v>624</v>
      </c>
      <c r="F61" s="2" t="str">
        <f t="array" ref="F61">IFERROR(INDEX(Triagem!$I$2:$I$451,MATCH($A61,Triagem!$A$2:$A$451,0))&amp;"","")</f>
        <v>Incluir</v>
      </c>
      <c r="G61" s="2" t="str">
        <f t="array" ref="G61">IFERROR(INDEX('Revisão_Gemini'!$H$7:$H$456,MATCH($A61,'Revisão_Gemini'!$A$7:$A$456,0))&amp;"","")</f>
        <v>Incluir</v>
      </c>
      <c r="H61" s="2" t="str">
        <f t="array" ref="H61">IFERROR(INDEX('Revisão_ChatGPT'!$H$7:$H$456,MATCH($A61,'Revisão_ChatGPT'!$A$7:$A$456,0))&amp;"","")</f>
        <v>Incluir</v>
      </c>
      <c r="I61" s="2" t="str">
        <f t="shared" si="1"/>
        <v>3/3</v>
      </c>
      <c r="J61" s="21"/>
      <c r="K61" s="21"/>
      <c r="L61" s="21"/>
      <c r="M61" s="22" t="b">
        <f t="shared" si="2"/>
        <v>0</v>
      </c>
      <c r="N61" s="21"/>
      <c r="O61" s="2" t="str">
        <f t="shared" si="3"/>
        <v>Fora do recorte anual + Incluir</v>
      </c>
      <c r="P61" s="2" t="str">
        <f t="array" ref="P61">IF(O61&lt;&gt;"Incluir","",IF(K61&lt;&gt;"",K61,IF(IFERROR(INDEX(Triagem!$J$2:$J$451,MATCH($A61,Triagem!$A$2:$A$451,0))&amp;"","")&lt;&gt;"",IFERROR(INDEX(Triagem!$J$2:$J$451,MATCH($A61,Triagem!$A$2:$A$451,0))&amp;"",""),IF(IFERROR(INDEX('Revisão_Gemini'!$I$7:$I$456,MATCH($A61,'Revisão_Gemini'!$A$7:$A$456,0))&amp;"","")&lt;&gt;"",IFERROR(INDEX('Revisão_Gemini'!$I$7:$I$456,MATCH($A61,'Revisão_Gemini'!$A$7:$A$456,0))&amp;"",""),IFERROR(INDEX('Revisão_ChatGPT'!$I$7:$I$456,MATCH($A61,'Revisão_ChatGPT'!$A$7:$A$456,0))&amp;"","")))))</f>
        <v/>
      </c>
      <c r="Q61" s="2" t="str">
        <f t="array" ref="Q61">IF(O61&lt;&gt;"Excluir","",IF(L61&lt;&gt;"",L61,IF(F61="Excluir",IFERROR(INDEX(Triagem!$K$2:$K$451,MATCH($A61,Triagem!$A$2:$A$451,0))&amp;"",""),IF(G61="Excluir",IFERROR(INDEX('Revisão_Gemini'!$J$7:$J$456,MATCH($A61,'Revisão_Gemini'!$A$7:$A$456,0))&amp;"",""),IFERROR(INDEX('Revisão_ChatGPT'!$J$7:$J$456,MATCH($A61,'Revisão_ChatGPT'!$A$7:$A$456,0))&amp;"","")))))</f>
        <v/>
      </c>
    </row>
    <row r="62" ht="15.75" customHeight="1">
      <c r="A62" s="2" t="s">
        <v>625</v>
      </c>
      <c r="B62" s="19" t="str">
        <f t="array" ref="B62">INDEX(Triagem!$N$2:$N451 , MATCH(A62,Triagem!$A$2:$A451,0))</f>
        <v>abrir</v>
      </c>
      <c r="C62" s="20">
        <f t="array" ref="C62">INDEX(Triagem!$B$2:$B451 , MATCH(A62,Triagem!$A$2:$A451,0))</f>
        <v>2008</v>
      </c>
      <c r="D62" s="2" t="s">
        <v>627</v>
      </c>
      <c r="E62" s="2" t="s">
        <v>628</v>
      </c>
      <c r="F62" s="2" t="str">
        <f t="array" ref="F62">IFERROR(INDEX(Triagem!$I$2:$I$451,MATCH($A62,Triagem!$A$2:$A$451,0))&amp;"","")</f>
        <v>Incluir</v>
      </c>
      <c r="G62" s="2" t="str">
        <f t="array" ref="G62">IFERROR(INDEX('Revisão_Gemini'!$H$7:$H$456,MATCH($A62,'Revisão_Gemini'!$A$7:$A$456,0))&amp;"","")</f>
        <v>Incluir</v>
      </c>
      <c r="H62" s="2" t="str">
        <f t="array" ref="H62">IFERROR(INDEX('Revisão_ChatGPT'!$H$7:$H$456,MATCH($A62,'Revisão_ChatGPT'!$A$7:$A$456,0))&amp;"","")</f>
        <v>Incluir</v>
      </c>
      <c r="I62" s="2" t="str">
        <f t="shared" si="1"/>
        <v>3/3</v>
      </c>
      <c r="J62" s="21"/>
      <c r="K62" s="21"/>
      <c r="L62" s="21"/>
      <c r="M62" s="22" t="b">
        <f t="shared" si="2"/>
        <v>0</v>
      </c>
      <c r="N62" s="21"/>
      <c r="O62" s="2" t="str">
        <f t="shared" si="3"/>
        <v>Fora do recorte anual + Incluir</v>
      </c>
      <c r="P62" s="2" t="str">
        <f t="array" ref="P62">IF(O62&lt;&gt;"Incluir","",IF(K62&lt;&gt;"",K62,IF(IFERROR(INDEX(Triagem!$J$2:$J$451,MATCH($A62,Triagem!$A$2:$A$451,0))&amp;"","")&lt;&gt;"",IFERROR(INDEX(Triagem!$J$2:$J$451,MATCH($A62,Triagem!$A$2:$A$451,0))&amp;"",""),IF(IFERROR(INDEX('Revisão_Gemini'!$I$7:$I$456,MATCH($A62,'Revisão_Gemini'!$A$7:$A$456,0))&amp;"","")&lt;&gt;"",IFERROR(INDEX('Revisão_Gemini'!$I$7:$I$456,MATCH($A62,'Revisão_Gemini'!$A$7:$A$456,0))&amp;"",""),IFERROR(INDEX('Revisão_ChatGPT'!$I$7:$I$456,MATCH($A62,'Revisão_ChatGPT'!$A$7:$A$456,0))&amp;"","")))))</f>
        <v/>
      </c>
      <c r="Q62" s="2" t="str">
        <f t="array" ref="Q62">IF(O62&lt;&gt;"Excluir","",IF(L62&lt;&gt;"",L62,IF(F62="Excluir",IFERROR(INDEX(Triagem!$K$2:$K$451,MATCH($A62,Triagem!$A$2:$A$451,0))&amp;"",""),IF(G62="Excluir",IFERROR(INDEX('Revisão_Gemini'!$J$7:$J$456,MATCH($A62,'Revisão_Gemini'!$A$7:$A$456,0))&amp;"",""),IFERROR(INDEX('Revisão_ChatGPT'!$J$7:$J$456,MATCH($A62,'Revisão_ChatGPT'!$A$7:$A$456,0))&amp;"","")))))</f>
        <v/>
      </c>
    </row>
    <row r="63" ht="15.75" customHeight="1">
      <c r="A63" s="2" t="s">
        <v>629</v>
      </c>
      <c r="B63" s="19" t="str">
        <f t="array" ref="B63">INDEX(Triagem!$N$2:$N451 , MATCH(A63,Triagem!$A$2:$A451,0))</f>
        <v>abrir</v>
      </c>
      <c r="C63" s="20">
        <f t="array" ref="C63">INDEX(Triagem!$B$2:$B451 , MATCH(A63,Triagem!$A$2:$A451,0))</f>
        <v>2008</v>
      </c>
      <c r="D63" s="2" t="s">
        <v>630</v>
      </c>
      <c r="E63" s="2" t="s">
        <v>631</v>
      </c>
      <c r="F63" s="2" t="str">
        <f t="array" ref="F63">IFERROR(INDEX(Triagem!$I$2:$I$451,MATCH($A63,Triagem!$A$2:$A$451,0))&amp;"","")</f>
        <v>Incluir</v>
      </c>
      <c r="G63" s="2" t="str">
        <f t="array" ref="G63">IFERROR(INDEX('Revisão_Gemini'!$H$7:$H$456,MATCH($A63,'Revisão_Gemini'!$A$7:$A$456,0))&amp;"","")</f>
        <v>Incluir</v>
      </c>
      <c r="H63" s="2" t="str">
        <f t="array" ref="H63">IFERROR(INDEX('Revisão_ChatGPT'!$H$7:$H$456,MATCH($A63,'Revisão_ChatGPT'!$A$7:$A$456,0))&amp;"","")</f>
        <v>Excluir</v>
      </c>
      <c r="I63" s="2" t="str">
        <f t="shared" si="1"/>
        <v>2/3</v>
      </c>
      <c r="J63" s="21" t="s">
        <v>694</v>
      </c>
      <c r="K63" s="21"/>
      <c r="L63" s="21"/>
      <c r="M63" s="22" t="b">
        <f t="shared" si="2"/>
        <v>0</v>
      </c>
      <c r="N63" s="21"/>
      <c r="O63" s="2" t="str">
        <f t="shared" si="3"/>
        <v>Fora do recorte anual + Apoio</v>
      </c>
      <c r="P63" s="2" t="str">
        <f t="array" ref="P63">IF(O63&lt;&gt;"Incluir","",IF(K63&lt;&gt;"",K63,IF(IFERROR(INDEX(Triagem!$J$2:$J$451,MATCH($A63,Triagem!$A$2:$A$451,0))&amp;"","")&lt;&gt;"",IFERROR(INDEX(Triagem!$J$2:$J$451,MATCH($A63,Triagem!$A$2:$A$451,0))&amp;"",""),IF(IFERROR(INDEX('Revisão_Gemini'!$I$7:$I$456,MATCH($A63,'Revisão_Gemini'!$A$7:$A$456,0))&amp;"","")&lt;&gt;"",IFERROR(INDEX('Revisão_Gemini'!$I$7:$I$456,MATCH($A63,'Revisão_Gemini'!$A$7:$A$456,0))&amp;"",""),IFERROR(INDEX('Revisão_ChatGPT'!$I$7:$I$456,MATCH($A63,'Revisão_ChatGPT'!$A$7:$A$456,0))&amp;"","")))))</f>
        <v/>
      </c>
      <c r="Q63" s="2" t="str">
        <f t="array" ref="Q63">IF(O63&lt;&gt;"Excluir","",IF(L63&lt;&gt;"",L63,IF(F63="Excluir",IFERROR(INDEX(Triagem!$K$2:$K$451,MATCH($A63,Triagem!$A$2:$A$451,0))&amp;"",""),IF(G63="Excluir",IFERROR(INDEX('Revisão_Gemini'!$J$7:$J$456,MATCH($A63,'Revisão_Gemini'!$A$7:$A$456,0))&amp;"",""),IFERROR(INDEX('Revisão_ChatGPT'!$J$7:$J$456,MATCH($A63,'Revisão_ChatGPT'!$A$7:$A$456,0))&amp;"","")))))</f>
        <v/>
      </c>
    </row>
    <row r="64" ht="15.75" customHeight="1">
      <c r="A64" s="2" t="s">
        <v>1828</v>
      </c>
      <c r="B64" s="19" t="str">
        <f t="array" ref="B64">INDEX(Triagem!$N$2:$N451 , MATCH(A64,Triagem!$A$2:$A451,0))</f>
        <v>abrir</v>
      </c>
      <c r="C64" s="20">
        <f t="array" ref="C64">INDEX(Triagem!$B$2:$B451 , MATCH(A64,Triagem!$A$2:$A451,0))</f>
        <v>2008</v>
      </c>
      <c r="D64" s="2" t="s">
        <v>1830</v>
      </c>
      <c r="E64" s="2" t="s">
        <v>1831</v>
      </c>
      <c r="F64" s="2" t="str">
        <f t="array" ref="F64">IFERROR(INDEX(Triagem!$I$2:$I$451,MATCH($A64,Triagem!$A$2:$A$451,0))&amp;"","")</f>
        <v>Excluir</v>
      </c>
      <c r="G64" s="2" t="str">
        <f t="array" ref="G64">IFERROR(INDEX('Revisão_Gemini'!$H$7:$H$456,MATCH($A64,'Revisão_Gemini'!$A$7:$A$456,0))&amp;"","")</f>
        <v>Excluir</v>
      </c>
      <c r="H64" s="2" t="str">
        <f t="array" ref="H64">IFERROR(INDEX('Revisão_ChatGPT'!$H$7:$H$456,MATCH($A64,'Revisão_ChatGPT'!$A$7:$A$456,0))&amp;"","")</f>
        <v>Excluir</v>
      </c>
      <c r="I64" s="2" t="str">
        <f t="shared" si="1"/>
        <v>3/3</v>
      </c>
      <c r="J64" s="21"/>
      <c r="K64" s="21"/>
      <c r="L64" s="21"/>
      <c r="M64" s="22" t="b">
        <f t="shared" si="2"/>
        <v>0</v>
      </c>
      <c r="N64" s="21"/>
      <c r="O64" s="2" t="str">
        <f t="shared" si="3"/>
        <v>Fora do recorte anual + Excluir</v>
      </c>
      <c r="P64" s="2" t="str">
        <f t="array" ref="P64">IF(O64&lt;&gt;"Incluir","",IF(K64&lt;&gt;"",K64,IF(IFERROR(INDEX(Triagem!$J$2:$J$451,MATCH($A64,Triagem!$A$2:$A$451,0))&amp;"","")&lt;&gt;"",IFERROR(INDEX(Triagem!$J$2:$J$451,MATCH($A64,Triagem!$A$2:$A$451,0))&amp;"",""),IF(IFERROR(INDEX('Revisão_Gemini'!$I$7:$I$456,MATCH($A64,'Revisão_Gemini'!$A$7:$A$456,0))&amp;"","")&lt;&gt;"",IFERROR(INDEX('Revisão_Gemini'!$I$7:$I$456,MATCH($A64,'Revisão_Gemini'!$A$7:$A$456,0))&amp;"",""),IFERROR(INDEX('Revisão_ChatGPT'!$I$7:$I$456,MATCH($A64,'Revisão_ChatGPT'!$A$7:$A$456,0))&amp;"","")))))</f>
        <v/>
      </c>
      <c r="Q64" s="2" t="str">
        <f t="array" ref="Q64">IF(O64&lt;&gt;"Excluir","",IF(L64&lt;&gt;"",L64,IF(F64="Excluir",IFERROR(INDEX(Triagem!$K$2:$K$451,MATCH($A64,Triagem!$A$2:$A$451,0))&amp;"",""),IF(G64="Excluir",IFERROR(INDEX('Revisão_Gemini'!$J$7:$J$456,MATCH($A64,'Revisão_Gemini'!$A$7:$A$456,0))&amp;"",""),IFERROR(INDEX('Revisão_ChatGPT'!$J$7:$J$456,MATCH($A64,'Revisão_ChatGPT'!$A$7:$A$456,0))&amp;"","")))))</f>
        <v/>
      </c>
    </row>
    <row r="65" ht="15.75" customHeight="1">
      <c r="A65" s="2" t="s">
        <v>1442</v>
      </c>
      <c r="B65" s="19" t="str">
        <f t="array" ref="B65">INDEX(Triagem!$N$2:$N451 , MATCH(A65,Triagem!$A$2:$A451,0))</f>
        <v>abrir</v>
      </c>
      <c r="C65" s="20">
        <f t="array" ref="C65">INDEX(Triagem!$B$2:$B451 , MATCH(A65,Triagem!$A$2:$A451,0))</f>
        <v>2008</v>
      </c>
      <c r="D65" s="2" t="s">
        <v>1444</v>
      </c>
      <c r="E65" s="2" t="s">
        <v>1445</v>
      </c>
      <c r="F65" s="2" t="str">
        <f t="array" ref="F65">IFERROR(INDEX(Triagem!$I$2:$I$451,MATCH($A65,Triagem!$A$2:$A$451,0))&amp;"","")</f>
        <v>Excluir</v>
      </c>
      <c r="G65" s="2" t="str">
        <f t="array" ref="G65">IFERROR(INDEX('Revisão_Gemini'!$H$7:$H$456,MATCH($A65,'Revisão_Gemini'!$A$7:$A$456,0))&amp;"","")</f>
        <v>Excluir</v>
      </c>
      <c r="H65" s="2" t="str">
        <f t="array" ref="H65">IFERROR(INDEX('Revisão_ChatGPT'!$H$7:$H$456,MATCH($A65,'Revisão_ChatGPT'!$A$7:$A$456,0))&amp;"","")</f>
        <v>Excluir</v>
      </c>
      <c r="I65" s="2" t="str">
        <f t="shared" si="1"/>
        <v>3/3</v>
      </c>
      <c r="J65" s="21"/>
      <c r="K65" s="21"/>
      <c r="L65" s="21"/>
      <c r="M65" s="22" t="b">
        <f t="shared" si="2"/>
        <v>0</v>
      </c>
      <c r="N65" s="21" t="s">
        <v>3178</v>
      </c>
      <c r="O65" s="2" t="str">
        <f t="shared" si="3"/>
        <v>Fora do recorte anual + Excluir</v>
      </c>
      <c r="P65" s="2" t="str">
        <f t="array" ref="P65">IF(O65&lt;&gt;"Incluir","",IF(K65&lt;&gt;"",K65,IF(IFERROR(INDEX(Triagem!$J$2:$J$451,MATCH($A65,Triagem!$A$2:$A$451,0))&amp;"","")&lt;&gt;"",IFERROR(INDEX(Triagem!$J$2:$J$451,MATCH($A65,Triagem!$A$2:$A$451,0))&amp;"",""),IF(IFERROR(INDEX('Revisão_Gemini'!$I$7:$I$456,MATCH($A65,'Revisão_Gemini'!$A$7:$A$456,0))&amp;"","")&lt;&gt;"",IFERROR(INDEX('Revisão_Gemini'!$I$7:$I$456,MATCH($A65,'Revisão_Gemini'!$A$7:$A$456,0))&amp;"",""),IFERROR(INDEX('Revisão_ChatGPT'!$I$7:$I$456,MATCH($A65,'Revisão_ChatGPT'!$A$7:$A$456,0))&amp;"","")))))</f>
        <v/>
      </c>
      <c r="Q65" s="2" t="str">
        <f t="array" ref="Q65">IF(O65&lt;&gt;"Excluir","",IF(L65&lt;&gt;"",L65,IF(F65="Excluir",IFERROR(INDEX(Triagem!$K$2:$K$451,MATCH($A65,Triagem!$A$2:$A$451,0))&amp;"",""),IF(G65="Excluir",IFERROR(INDEX('Revisão_Gemini'!$J$7:$J$456,MATCH($A65,'Revisão_Gemini'!$A$7:$A$456,0))&amp;"",""),IFERROR(INDEX('Revisão_ChatGPT'!$J$7:$J$456,MATCH($A65,'Revisão_ChatGPT'!$A$7:$A$456,0))&amp;"","")))))</f>
        <v/>
      </c>
    </row>
    <row r="66" ht="15.75" customHeight="1">
      <c r="A66" s="2" t="s">
        <v>1447</v>
      </c>
      <c r="B66" s="19" t="str">
        <f t="array" ref="B66">INDEX(Triagem!$N$2:$N451 , MATCH(A66,Triagem!$A$2:$A451,0))</f>
        <v>abrir</v>
      </c>
      <c r="C66" s="20">
        <f t="array" ref="C66">INDEX(Triagem!$B$2:$B451 , MATCH(A66,Triagem!$A$2:$A451,0))</f>
        <v>2008</v>
      </c>
      <c r="D66" s="2" t="s">
        <v>1449</v>
      </c>
      <c r="E66" s="2" t="s">
        <v>1450</v>
      </c>
      <c r="F66" s="2" t="str">
        <f t="array" ref="F66">IFERROR(INDEX(Triagem!$I$2:$I$451,MATCH($A66,Triagem!$A$2:$A$451,0))&amp;"","")</f>
        <v>Excluir</v>
      </c>
      <c r="G66" s="2" t="str">
        <f t="array" ref="G66">IFERROR(INDEX('Revisão_Gemini'!$H$7:$H$456,MATCH($A66,'Revisão_Gemini'!$A$7:$A$456,0))&amp;"","")</f>
        <v>Excluir</v>
      </c>
      <c r="H66" s="2" t="str">
        <f t="array" ref="H66">IFERROR(INDEX('Revisão_ChatGPT'!$H$7:$H$456,MATCH($A66,'Revisão_ChatGPT'!$A$7:$A$456,0))&amp;"","")</f>
        <v>Excluir</v>
      </c>
      <c r="I66" s="2" t="str">
        <f t="shared" si="1"/>
        <v>3/3</v>
      </c>
      <c r="J66" s="21"/>
      <c r="K66" s="21"/>
      <c r="L66" s="21"/>
      <c r="M66" s="22" t="b">
        <f t="shared" si="2"/>
        <v>0</v>
      </c>
      <c r="N66" s="21"/>
      <c r="O66" s="2" t="str">
        <f t="shared" si="3"/>
        <v>Fora do recorte anual + Excluir</v>
      </c>
      <c r="P66" s="2" t="str">
        <f t="array" ref="P66">IF(O66&lt;&gt;"Incluir","",IF(K66&lt;&gt;"",K66,IF(IFERROR(INDEX(Triagem!$J$2:$J$451,MATCH($A66,Triagem!$A$2:$A$451,0))&amp;"","")&lt;&gt;"",IFERROR(INDEX(Triagem!$J$2:$J$451,MATCH($A66,Triagem!$A$2:$A$451,0))&amp;"",""),IF(IFERROR(INDEX('Revisão_Gemini'!$I$7:$I$456,MATCH($A66,'Revisão_Gemini'!$A$7:$A$456,0))&amp;"","")&lt;&gt;"",IFERROR(INDEX('Revisão_Gemini'!$I$7:$I$456,MATCH($A66,'Revisão_Gemini'!$A$7:$A$456,0))&amp;"",""),IFERROR(INDEX('Revisão_ChatGPT'!$I$7:$I$456,MATCH($A66,'Revisão_ChatGPT'!$A$7:$A$456,0))&amp;"","")))))</f>
        <v/>
      </c>
      <c r="Q66" s="2" t="str">
        <f t="array" ref="Q66">IF(O66&lt;&gt;"Excluir","",IF(L66&lt;&gt;"",L66,IF(F66="Excluir",IFERROR(INDEX(Triagem!$K$2:$K$451,MATCH($A66,Triagem!$A$2:$A$451,0))&amp;"",""),IF(G66="Excluir",IFERROR(INDEX('Revisão_Gemini'!$J$7:$J$456,MATCH($A66,'Revisão_Gemini'!$A$7:$A$456,0))&amp;"",""),IFERROR(INDEX('Revisão_ChatGPT'!$J$7:$J$456,MATCH($A66,'Revisão_ChatGPT'!$A$7:$A$456,0))&amp;"","")))))</f>
        <v/>
      </c>
    </row>
    <row r="67" ht="15.75" customHeight="1">
      <c r="A67" s="2" t="s">
        <v>1451</v>
      </c>
      <c r="B67" s="19" t="str">
        <f t="array" ref="B67">INDEX(Triagem!$N$2:$N451 , MATCH(A67,Triagem!$A$2:$A451,0))</f>
        <v>abrir</v>
      </c>
      <c r="C67" s="20">
        <f t="array" ref="C67">INDEX(Triagem!$B$2:$B451 , MATCH(A67,Triagem!$A$2:$A451,0))</f>
        <v>2008</v>
      </c>
      <c r="D67" s="2" t="s">
        <v>1453</v>
      </c>
      <c r="E67" s="2" t="s">
        <v>1454</v>
      </c>
      <c r="F67" s="2" t="str">
        <f t="array" ref="F67">IFERROR(INDEX(Triagem!$I$2:$I$451,MATCH($A67,Triagem!$A$2:$A$451,0))&amp;"","")</f>
        <v>Excluir</v>
      </c>
      <c r="G67" s="2" t="str">
        <f t="array" ref="G67">IFERROR(INDEX('Revisão_Gemini'!$H$7:$H$456,MATCH($A67,'Revisão_Gemini'!$A$7:$A$456,0))&amp;"","")</f>
        <v>Excluir</v>
      </c>
      <c r="H67" s="2" t="str">
        <f t="array" ref="H67">IFERROR(INDEX('Revisão_ChatGPT'!$H$7:$H$456,MATCH($A67,'Revisão_ChatGPT'!$A$7:$A$456,0))&amp;"","")</f>
        <v>Excluir</v>
      </c>
      <c r="I67" s="2" t="str">
        <f t="shared" si="1"/>
        <v>3/3</v>
      </c>
      <c r="J67" s="21"/>
      <c r="K67" s="21"/>
      <c r="L67" s="21"/>
      <c r="M67" s="22" t="b">
        <f t="shared" si="2"/>
        <v>0</v>
      </c>
      <c r="N67" s="21" t="s">
        <v>3179</v>
      </c>
      <c r="O67" s="2" t="str">
        <f t="shared" si="3"/>
        <v>Fora do recorte anual + Excluir</v>
      </c>
      <c r="P67" s="2" t="str">
        <f t="array" ref="P67">IF(O67&lt;&gt;"Incluir","",IF(K67&lt;&gt;"",K67,IF(IFERROR(INDEX(Triagem!$J$2:$J$451,MATCH($A67,Triagem!$A$2:$A$451,0))&amp;"","")&lt;&gt;"",IFERROR(INDEX(Triagem!$J$2:$J$451,MATCH($A67,Triagem!$A$2:$A$451,0))&amp;"",""),IF(IFERROR(INDEX('Revisão_Gemini'!$I$7:$I$456,MATCH($A67,'Revisão_Gemini'!$A$7:$A$456,0))&amp;"","")&lt;&gt;"",IFERROR(INDEX('Revisão_Gemini'!$I$7:$I$456,MATCH($A67,'Revisão_Gemini'!$A$7:$A$456,0))&amp;"",""),IFERROR(INDEX('Revisão_ChatGPT'!$I$7:$I$456,MATCH($A67,'Revisão_ChatGPT'!$A$7:$A$456,0))&amp;"","")))))</f>
        <v/>
      </c>
      <c r="Q67" s="2" t="str">
        <f t="array" ref="Q67">IF(O67&lt;&gt;"Excluir","",IF(L67&lt;&gt;"",L67,IF(F67="Excluir",IFERROR(INDEX(Triagem!$K$2:$K$451,MATCH($A67,Triagem!$A$2:$A$451,0))&amp;"",""),IF(G67="Excluir",IFERROR(INDEX('Revisão_Gemini'!$J$7:$J$456,MATCH($A67,'Revisão_Gemini'!$A$7:$A$456,0))&amp;"",""),IFERROR(INDEX('Revisão_ChatGPT'!$J$7:$J$456,MATCH($A67,'Revisão_ChatGPT'!$A$7:$A$456,0))&amp;"","")))))</f>
        <v/>
      </c>
    </row>
    <row r="68" ht="15.75" customHeight="1">
      <c r="A68" s="2" t="s">
        <v>1941</v>
      </c>
      <c r="B68" s="19" t="str">
        <f t="array" ref="B68">INDEX(Triagem!$N$2:$N451 , MATCH(A68,Triagem!$A$2:$A451,0))</f>
        <v>abrir</v>
      </c>
      <c r="C68" s="20">
        <f t="array" ref="C68">INDEX(Triagem!$B$2:$B451 , MATCH(A68,Triagem!$A$2:$A451,0))</f>
        <v>2008</v>
      </c>
      <c r="D68" s="2" t="s">
        <v>1943</v>
      </c>
      <c r="E68" s="2" t="s">
        <v>1944</v>
      </c>
      <c r="F68" s="2" t="str">
        <f t="array" ref="F68">IFERROR(INDEX(Triagem!$I$2:$I$451,MATCH($A68,Triagem!$A$2:$A$451,0))&amp;"","")</f>
        <v>Excluir</v>
      </c>
      <c r="G68" s="2" t="str">
        <f t="array" ref="G68">IFERROR(INDEX('Revisão_Gemini'!$H$7:$H$456,MATCH($A68,'Revisão_Gemini'!$A$7:$A$456,0))&amp;"","")</f>
        <v>Excluir</v>
      </c>
      <c r="H68" s="2" t="str">
        <f t="array" ref="H68">IFERROR(INDEX('Revisão_ChatGPT'!$H$7:$H$456,MATCH($A68,'Revisão_ChatGPT'!$A$7:$A$456,0))&amp;"","")</f>
        <v>Apoio</v>
      </c>
      <c r="I68" s="2" t="str">
        <f t="shared" si="1"/>
        <v>2/3</v>
      </c>
      <c r="J68" s="21" t="s">
        <v>906</v>
      </c>
      <c r="K68" s="21"/>
      <c r="L68" s="21"/>
      <c r="M68" s="22" t="b">
        <f t="shared" si="2"/>
        <v>0</v>
      </c>
      <c r="N68" s="21"/>
      <c r="O68" s="2" t="str">
        <f t="shared" si="3"/>
        <v>Fora do recorte anual + Excluir</v>
      </c>
      <c r="P68" s="2" t="str">
        <f t="array" ref="P68">IF(O68&lt;&gt;"Incluir","",IF(K68&lt;&gt;"",K68,IF(IFERROR(INDEX(Triagem!$J$2:$J$451,MATCH($A68,Triagem!$A$2:$A$451,0))&amp;"","")&lt;&gt;"",IFERROR(INDEX(Triagem!$J$2:$J$451,MATCH($A68,Triagem!$A$2:$A$451,0))&amp;"",""),IF(IFERROR(INDEX('Revisão_Gemini'!$I$7:$I$456,MATCH($A68,'Revisão_Gemini'!$A$7:$A$456,0))&amp;"","")&lt;&gt;"",IFERROR(INDEX('Revisão_Gemini'!$I$7:$I$456,MATCH($A68,'Revisão_Gemini'!$A$7:$A$456,0))&amp;"",""),IFERROR(INDEX('Revisão_ChatGPT'!$I$7:$I$456,MATCH($A68,'Revisão_ChatGPT'!$A$7:$A$456,0))&amp;"","")))))</f>
        <v/>
      </c>
      <c r="Q68" s="2" t="str">
        <f t="array" ref="Q68">IF(O68&lt;&gt;"Excluir","",IF(L68&lt;&gt;"",L68,IF(F68="Excluir",IFERROR(INDEX(Triagem!$K$2:$K$451,MATCH($A68,Triagem!$A$2:$A$451,0))&amp;"",""),IF(G68="Excluir",IFERROR(INDEX('Revisão_Gemini'!$J$7:$J$456,MATCH($A68,'Revisão_Gemini'!$A$7:$A$456,0))&amp;"",""),IFERROR(INDEX('Revisão_ChatGPT'!$J$7:$J$456,MATCH($A68,'Revisão_ChatGPT'!$A$7:$A$456,0))&amp;"","")))))</f>
        <v/>
      </c>
    </row>
    <row r="69" ht="15.75" customHeight="1">
      <c r="A69" s="2" t="s">
        <v>984</v>
      </c>
      <c r="B69" s="19" t="str">
        <f t="array" ref="B69">INDEX(Triagem!$N$2:$N451 , MATCH(A69,Triagem!$A$2:$A451,0))</f>
        <v>abrir</v>
      </c>
      <c r="C69" s="20">
        <f t="array" ref="C69">INDEX(Triagem!$B$2:$B451 , MATCH(A69,Triagem!$A$2:$A451,0))</f>
        <v>2009</v>
      </c>
      <c r="D69" s="2" t="s">
        <v>986</v>
      </c>
      <c r="E69" s="2" t="s">
        <v>987</v>
      </c>
      <c r="F69" s="2" t="str">
        <f t="array" ref="F69">IFERROR(INDEX(Triagem!$I$2:$I$451,MATCH($A69,Triagem!$A$2:$A$451,0))&amp;"","")</f>
        <v>Excluir</v>
      </c>
      <c r="G69" s="2" t="str">
        <f t="array" ref="G69">IFERROR(INDEX('Revisão_Gemini'!$H$7:$H$456,MATCH($A69,'Revisão_Gemini'!$A$7:$A$456,0))&amp;"","")</f>
        <v>Excluir</v>
      </c>
      <c r="H69" s="2" t="str">
        <f t="array" ref="H69">IFERROR(INDEX('Revisão_ChatGPT'!$H$7:$H$456,MATCH($A69,'Revisão_ChatGPT'!$A$7:$A$456,0))&amp;"","")</f>
        <v>Excluir</v>
      </c>
      <c r="I69" s="2" t="str">
        <f t="shared" si="1"/>
        <v>3/3</v>
      </c>
      <c r="J69" s="21"/>
      <c r="K69" s="21"/>
      <c r="L69" s="21"/>
      <c r="M69" s="22" t="b">
        <f t="shared" si="2"/>
        <v>0</v>
      </c>
      <c r="N69" s="21"/>
      <c r="O69" s="2" t="str">
        <f t="shared" si="3"/>
        <v>Fora do recorte anual + Excluir</v>
      </c>
      <c r="P69" s="2" t="str">
        <f t="array" ref="P69">IF(O69&lt;&gt;"Incluir","",IF(K69&lt;&gt;"",K69,IF(IFERROR(INDEX(Triagem!$J$2:$J$451,MATCH($A69,Triagem!$A$2:$A$451,0))&amp;"","")&lt;&gt;"",IFERROR(INDEX(Triagem!$J$2:$J$451,MATCH($A69,Triagem!$A$2:$A$451,0))&amp;"",""),IF(IFERROR(INDEX('Revisão_Gemini'!$I$7:$I$456,MATCH($A69,'Revisão_Gemini'!$A$7:$A$456,0))&amp;"","")&lt;&gt;"",IFERROR(INDEX('Revisão_Gemini'!$I$7:$I$456,MATCH($A69,'Revisão_Gemini'!$A$7:$A$456,0))&amp;"",""),IFERROR(INDEX('Revisão_ChatGPT'!$I$7:$I$456,MATCH($A69,'Revisão_ChatGPT'!$A$7:$A$456,0))&amp;"","")))))</f>
        <v/>
      </c>
      <c r="Q69" s="2" t="str">
        <f t="array" ref="Q69">IF(O69&lt;&gt;"Excluir","",IF(L69&lt;&gt;"",L69,IF(F69="Excluir",IFERROR(INDEX(Triagem!$K$2:$K$451,MATCH($A69,Triagem!$A$2:$A$451,0))&amp;"",""),IF(G69="Excluir",IFERROR(INDEX('Revisão_Gemini'!$J$7:$J$456,MATCH($A69,'Revisão_Gemini'!$A$7:$A$456,0))&amp;"",""),IFERROR(INDEX('Revisão_ChatGPT'!$J$7:$J$456,MATCH($A69,'Revisão_ChatGPT'!$A$7:$A$456,0))&amp;"","")))))</f>
        <v/>
      </c>
    </row>
    <row r="70" ht="15.75" customHeight="1">
      <c r="A70" s="2" t="s">
        <v>613</v>
      </c>
      <c r="B70" s="19" t="str">
        <f t="array" ref="B70">INDEX(Triagem!$N$2:$N451 , MATCH(A70,Triagem!$A$2:$A451,0))</f>
        <v>abrir</v>
      </c>
      <c r="C70" s="20">
        <f t="array" ref="C70">INDEX(Triagem!$B$2:$B451 , MATCH(A70,Triagem!$A$2:$A451,0))</f>
        <v>2009</v>
      </c>
      <c r="D70" s="2" t="s">
        <v>615</v>
      </c>
      <c r="E70" s="2" t="s">
        <v>616</v>
      </c>
      <c r="F70" s="2" t="str">
        <f t="array" ref="F70">IFERROR(INDEX(Triagem!$I$2:$I$451,MATCH($A70,Triagem!$A$2:$A$451,0))&amp;"","")</f>
        <v>Incluir</v>
      </c>
      <c r="G70" s="2" t="str">
        <f t="array" ref="G70">IFERROR(INDEX('Revisão_Gemini'!$H$7:$H$456,MATCH($A70,'Revisão_Gemini'!$A$7:$A$456,0))&amp;"","")</f>
        <v>Incluir</v>
      </c>
      <c r="H70" s="2" t="str">
        <f t="array" ref="H70">IFERROR(INDEX('Revisão_ChatGPT'!$H$7:$H$456,MATCH($A70,'Revisão_ChatGPT'!$A$7:$A$456,0))&amp;"","")</f>
        <v>Incluir</v>
      </c>
      <c r="I70" s="2" t="str">
        <f t="shared" si="1"/>
        <v>3/3</v>
      </c>
      <c r="J70" s="21"/>
      <c r="K70" s="21"/>
      <c r="L70" s="21"/>
      <c r="M70" s="22" t="b">
        <f t="shared" si="2"/>
        <v>0</v>
      </c>
      <c r="N70" s="21"/>
      <c r="O70" s="2" t="str">
        <f t="shared" si="3"/>
        <v>Fora do recorte anual + Incluir</v>
      </c>
      <c r="P70" s="2" t="str">
        <f t="array" ref="P70">IF(O70&lt;&gt;"Incluir","",IF(K70&lt;&gt;"",K70,IF(IFERROR(INDEX(Triagem!$J$2:$J$451,MATCH($A70,Triagem!$A$2:$A$451,0))&amp;"","")&lt;&gt;"",IFERROR(INDEX(Triagem!$J$2:$J$451,MATCH($A70,Triagem!$A$2:$A$451,0))&amp;"",""),IF(IFERROR(INDEX('Revisão_Gemini'!$I$7:$I$456,MATCH($A70,'Revisão_Gemini'!$A$7:$A$456,0))&amp;"","")&lt;&gt;"",IFERROR(INDEX('Revisão_Gemini'!$I$7:$I$456,MATCH($A70,'Revisão_Gemini'!$A$7:$A$456,0))&amp;"",""),IFERROR(INDEX('Revisão_ChatGPT'!$I$7:$I$456,MATCH($A70,'Revisão_ChatGPT'!$A$7:$A$456,0))&amp;"","")))))</f>
        <v/>
      </c>
      <c r="Q70" s="2" t="str">
        <f t="array" ref="Q70">IF(O70&lt;&gt;"Excluir","",IF(L70&lt;&gt;"",L70,IF(F70="Excluir",IFERROR(INDEX(Triagem!$K$2:$K$451,MATCH($A70,Triagem!$A$2:$A$451,0))&amp;"",""),IF(G70="Excluir",IFERROR(INDEX('Revisão_Gemini'!$J$7:$J$456,MATCH($A70,'Revisão_Gemini'!$A$7:$A$456,0))&amp;"",""),IFERROR(INDEX('Revisão_ChatGPT'!$J$7:$J$456,MATCH($A70,'Revisão_ChatGPT'!$A$7:$A$456,0))&amp;"","")))))</f>
        <v/>
      </c>
    </row>
    <row r="71" ht="15.75" customHeight="1">
      <c r="A71" s="2" t="s">
        <v>1434</v>
      </c>
      <c r="B71" s="19" t="str">
        <f t="array" ref="B71">INDEX(Triagem!$N$2:$N451 , MATCH(A71,Triagem!$A$2:$A451,0))</f>
        <v>abrir</v>
      </c>
      <c r="C71" s="20">
        <f t="array" ref="C71">INDEX(Triagem!$B$2:$B451 , MATCH(A71,Triagem!$A$2:$A451,0))</f>
        <v>2009</v>
      </c>
      <c r="D71" s="2" t="s">
        <v>1435</v>
      </c>
      <c r="E71" s="2" t="s">
        <v>1436</v>
      </c>
      <c r="F71" s="2" t="str">
        <f t="array" ref="F71">IFERROR(INDEX(Triagem!$I$2:$I$451,MATCH($A71,Triagem!$A$2:$A$451,0))&amp;"","")</f>
        <v>Excluir</v>
      </c>
      <c r="G71" s="2" t="str">
        <f t="array" ref="G71">IFERROR(INDEX('Revisão_Gemini'!$H$7:$H$456,MATCH($A71,'Revisão_Gemini'!$A$7:$A$456,0))&amp;"","")</f>
        <v>Excluir</v>
      </c>
      <c r="H71" s="2" t="str">
        <f t="array" ref="H71">IFERROR(INDEX('Revisão_ChatGPT'!$H$7:$H$456,MATCH($A71,'Revisão_ChatGPT'!$A$7:$A$456,0))&amp;"","")</f>
        <v>Excluir</v>
      </c>
      <c r="I71" s="2" t="str">
        <f t="shared" si="1"/>
        <v>3/3</v>
      </c>
      <c r="J71" s="21"/>
      <c r="K71" s="21"/>
      <c r="L71" s="21"/>
      <c r="M71" s="22" t="b">
        <f t="shared" si="2"/>
        <v>0</v>
      </c>
      <c r="N71" s="21" t="s">
        <v>3180</v>
      </c>
      <c r="O71" s="2" t="str">
        <f t="shared" si="3"/>
        <v>Fora do recorte anual + Excluir</v>
      </c>
      <c r="P71" s="2" t="str">
        <f t="array" ref="P71">IF(O71&lt;&gt;"Incluir","",IF(K71&lt;&gt;"",K71,IF(IFERROR(INDEX(Triagem!$J$2:$J$451,MATCH($A71,Triagem!$A$2:$A$451,0))&amp;"","")&lt;&gt;"",IFERROR(INDEX(Triagem!$J$2:$J$451,MATCH($A71,Triagem!$A$2:$A$451,0))&amp;"",""),IF(IFERROR(INDEX('Revisão_Gemini'!$I$7:$I$456,MATCH($A71,'Revisão_Gemini'!$A$7:$A$456,0))&amp;"","")&lt;&gt;"",IFERROR(INDEX('Revisão_Gemini'!$I$7:$I$456,MATCH($A71,'Revisão_Gemini'!$A$7:$A$456,0))&amp;"",""),IFERROR(INDEX('Revisão_ChatGPT'!$I$7:$I$456,MATCH($A71,'Revisão_ChatGPT'!$A$7:$A$456,0))&amp;"","")))))</f>
        <v/>
      </c>
      <c r="Q71" s="2" t="str">
        <f t="array" ref="Q71">IF(O71&lt;&gt;"Excluir","",IF(L71&lt;&gt;"",L71,IF(F71="Excluir",IFERROR(INDEX(Triagem!$K$2:$K$451,MATCH($A71,Triagem!$A$2:$A$451,0))&amp;"",""),IF(G71="Excluir",IFERROR(INDEX('Revisão_Gemini'!$J$7:$J$456,MATCH($A71,'Revisão_Gemini'!$A$7:$A$456,0))&amp;"",""),IFERROR(INDEX('Revisão_ChatGPT'!$J$7:$J$456,MATCH($A71,'Revisão_ChatGPT'!$A$7:$A$456,0))&amp;"","")))))</f>
        <v/>
      </c>
    </row>
    <row r="72" ht="15.75" customHeight="1">
      <c r="A72" s="2" t="s">
        <v>1815</v>
      </c>
      <c r="B72" s="19" t="str">
        <f t="array" ref="B72">INDEX(Triagem!$N$2:$N451 , MATCH(A72,Triagem!$A$2:$A451,0))</f>
        <v>abrir</v>
      </c>
      <c r="C72" s="20">
        <f t="array" ref="C72">INDEX(Triagem!$B$2:$B451 , MATCH(A72,Triagem!$A$2:$A451,0))</f>
        <v>2009</v>
      </c>
      <c r="D72" s="2" t="s">
        <v>1817</v>
      </c>
      <c r="E72" s="2" t="s">
        <v>1818</v>
      </c>
      <c r="F72" s="2" t="str">
        <f t="array" ref="F72">IFERROR(INDEX(Triagem!$I$2:$I$451,MATCH($A72,Triagem!$A$2:$A$451,0))&amp;"","")</f>
        <v>Excluir</v>
      </c>
      <c r="G72" s="2" t="str">
        <f t="array" ref="G72">IFERROR(INDEX('Revisão_Gemini'!$H$7:$H$456,MATCH($A72,'Revisão_Gemini'!$A$7:$A$456,0))&amp;"","")</f>
        <v>Excluir</v>
      </c>
      <c r="H72" s="2" t="str">
        <f t="array" ref="H72">IFERROR(INDEX('Revisão_ChatGPT'!$H$7:$H$456,MATCH($A72,'Revisão_ChatGPT'!$A$7:$A$456,0))&amp;"","")</f>
        <v>Excluir</v>
      </c>
      <c r="I72" s="2" t="str">
        <f t="shared" si="1"/>
        <v>3/3</v>
      </c>
      <c r="J72" s="21"/>
      <c r="K72" s="21"/>
      <c r="L72" s="21"/>
      <c r="M72" s="22" t="b">
        <f t="shared" si="2"/>
        <v>0</v>
      </c>
      <c r="N72" s="21" t="s">
        <v>3181</v>
      </c>
      <c r="O72" s="2" t="str">
        <f t="shared" si="3"/>
        <v>Fora do recorte anual + Excluir</v>
      </c>
      <c r="P72" s="2" t="str">
        <f t="array" ref="P72">IF(O72&lt;&gt;"Incluir","",IF(K72&lt;&gt;"",K72,IF(IFERROR(INDEX(Triagem!$J$2:$J$451,MATCH($A72,Triagem!$A$2:$A$451,0))&amp;"","")&lt;&gt;"",IFERROR(INDEX(Triagem!$J$2:$J$451,MATCH($A72,Triagem!$A$2:$A$451,0))&amp;"",""),IF(IFERROR(INDEX('Revisão_Gemini'!$I$7:$I$456,MATCH($A72,'Revisão_Gemini'!$A$7:$A$456,0))&amp;"","")&lt;&gt;"",IFERROR(INDEX('Revisão_Gemini'!$I$7:$I$456,MATCH($A72,'Revisão_Gemini'!$A$7:$A$456,0))&amp;"",""),IFERROR(INDEX('Revisão_ChatGPT'!$I$7:$I$456,MATCH($A72,'Revisão_ChatGPT'!$A$7:$A$456,0))&amp;"","")))))</f>
        <v/>
      </c>
      <c r="Q72" s="2" t="str">
        <f t="array" ref="Q72">IF(O72&lt;&gt;"Excluir","",IF(L72&lt;&gt;"",L72,IF(F72="Excluir",IFERROR(INDEX(Triagem!$K$2:$K$451,MATCH($A72,Triagem!$A$2:$A$451,0))&amp;"",""),IF(G72="Excluir",IFERROR(INDEX('Revisão_Gemini'!$J$7:$J$456,MATCH($A72,'Revisão_Gemini'!$A$7:$A$456,0))&amp;"",""),IFERROR(INDEX('Revisão_ChatGPT'!$J$7:$J$456,MATCH($A72,'Revisão_ChatGPT'!$A$7:$A$456,0))&amp;"","")))))</f>
        <v/>
      </c>
    </row>
    <row r="73" ht="15.75" customHeight="1">
      <c r="A73" s="2" t="s">
        <v>1820</v>
      </c>
      <c r="B73" s="19" t="str">
        <f t="array" ref="B73">INDEX(Triagem!$N$2:$N451 , MATCH(A73,Triagem!$A$2:$A451,0))</f>
        <v>abrir</v>
      </c>
      <c r="C73" s="20">
        <f t="array" ref="C73">INDEX(Triagem!$B$2:$B451 , MATCH(A73,Triagem!$A$2:$A451,0))</f>
        <v>2009</v>
      </c>
      <c r="D73" s="2" t="s">
        <v>1822</v>
      </c>
      <c r="E73" s="2" t="s">
        <v>1823</v>
      </c>
      <c r="F73" s="2" t="str">
        <f t="array" ref="F73">IFERROR(INDEX(Triagem!$I$2:$I$451,MATCH($A73,Triagem!$A$2:$A$451,0))&amp;"","")</f>
        <v>Excluir</v>
      </c>
      <c r="G73" s="2" t="str">
        <f t="array" ref="G73">IFERROR(INDEX('Revisão_Gemini'!$H$7:$H$456,MATCH($A73,'Revisão_Gemini'!$A$7:$A$456,0))&amp;"","")</f>
        <v>Excluir</v>
      </c>
      <c r="H73" s="2" t="str">
        <f t="array" ref="H73">IFERROR(INDEX('Revisão_ChatGPT'!$H$7:$H$456,MATCH($A73,'Revisão_ChatGPT'!$A$7:$A$456,0))&amp;"","")</f>
        <v>Excluir</v>
      </c>
      <c r="I73" s="2" t="str">
        <f t="shared" si="1"/>
        <v>3/3</v>
      </c>
      <c r="J73" s="21"/>
      <c r="K73" s="21"/>
      <c r="L73" s="21"/>
      <c r="M73" s="22" t="b">
        <f t="shared" si="2"/>
        <v>0</v>
      </c>
      <c r="N73" s="21" t="s">
        <v>3182</v>
      </c>
      <c r="O73" s="2" t="str">
        <f t="shared" si="3"/>
        <v>Fora do recorte anual + Excluir</v>
      </c>
      <c r="P73" s="2" t="str">
        <f t="array" ref="P73">IF(O73&lt;&gt;"Incluir","",IF(K73&lt;&gt;"",K73,IF(IFERROR(INDEX(Triagem!$J$2:$J$451,MATCH($A73,Triagem!$A$2:$A$451,0))&amp;"","")&lt;&gt;"",IFERROR(INDEX(Triagem!$J$2:$J$451,MATCH($A73,Triagem!$A$2:$A$451,0))&amp;"",""),IF(IFERROR(INDEX('Revisão_Gemini'!$I$7:$I$456,MATCH($A73,'Revisão_Gemini'!$A$7:$A$456,0))&amp;"","")&lt;&gt;"",IFERROR(INDEX('Revisão_Gemini'!$I$7:$I$456,MATCH($A73,'Revisão_Gemini'!$A$7:$A$456,0))&amp;"",""),IFERROR(INDEX('Revisão_ChatGPT'!$I$7:$I$456,MATCH($A73,'Revisão_ChatGPT'!$A$7:$A$456,0))&amp;"","")))))</f>
        <v/>
      </c>
      <c r="Q73" s="2" t="str">
        <f t="array" ref="Q73">IF(O73&lt;&gt;"Excluir","",IF(L73&lt;&gt;"",L73,IF(F73="Excluir",IFERROR(INDEX(Triagem!$K$2:$K$451,MATCH($A73,Triagem!$A$2:$A$451,0))&amp;"",""),IF(G73="Excluir",IFERROR(INDEX('Revisão_Gemini'!$J$7:$J$456,MATCH($A73,'Revisão_Gemini'!$A$7:$A$456,0))&amp;"",""),IFERROR(INDEX('Revisão_ChatGPT'!$J$7:$J$456,MATCH($A73,'Revisão_ChatGPT'!$A$7:$A$456,0))&amp;"","")))))</f>
        <v/>
      </c>
    </row>
    <row r="74" ht="15.75" customHeight="1">
      <c r="A74" s="2" t="s">
        <v>617</v>
      </c>
      <c r="B74" s="19" t="str">
        <f t="array" ref="B74">INDEX(Triagem!$N$2:$N451 , MATCH(A74,Triagem!$A$2:$A451,0))</f>
        <v>abrir</v>
      </c>
      <c r="C74" s="20">
        <f t="array" ref="C74">INDEX(Triagem!$B$2:$B451 , MATCH(A74,Triagem!$A$2:$A451,0))</f>
        <v>2009</v>
      </c>
      <c r="D74" s="2" t="s">
        <v>619</v>
      </c>
      <c r="E74" s="2" t="s">
        <v>620</v>
      </c>
      <c r="F74" s="2" t="str">
        <f t="array" ref="F74">IFERROR(INDEX(Triagem!$I$2:$I$451,MATCH($A74,Triagem!$A$2:$A$451,0))&amp;"","")</f>
        <v>Incluir</v>
      </c>
      <c r="G74" s="2" t="str">
        <f t="array" ref="G74">IFERROR(INDEX('Revisão_Gemini'!$H$7:$H$456,MATCH($A74,'Revisão_Gemini'!$A$7:$A$456,0))&amp;"","")</f>
        <v>Incluir</v>
      </c>
      <c r="H74" s="2" t="str">
        <f t="array" ref="H74">IFERROR(INDEX('Revisão_ChatGPT'!$H$7:$H$456,MATCH($A74,'Revisão_ChatGPT'!$A$7:$A$456,0))&amp;"","")</f>
        <v>Incluir</v>
      </c>
      <c r="I74" s="2" t="str">
        <f t="shared" si="1"/>
        <v>3/3</v>
      </c>
      <c r="J74" s="21"/>
      <c r="K74" s="21"/>
      <c r="L74" s="21"/>
      <c r="M74" s="22" t="b">
        <f t="shared" si="2"/>
        <v>0</v>
      </c>
      <c r="N74" s="21" t="s">
        <v>3183</v>
      </c>
      <c r="O74" s="2" t="str">
        <f t="shared" si="3"/>
        <v>Fora do recorte anual + Incluir</v>
      </c>
      <c r="P74" s="2" t="str">
        <f t="array" ref="P74">IF(O74&lt;&gt;"Incluir","",IF(K74&lt;&gt;"",K74,IF(IFERROR(INDEX(Triagem!$J$2:$J$451,MATCH($A74,Triagem!$A$2:$A$451,0))&amp;"","")&lt;&gt;"",IFERROR(INDEX(Triagem!$J$2:$J$451,MATCH($A74,Triagem!$A$2:$A$451,0))&amp;"",""),IF(IFERROR(INDEX('Revisão_Gemini'!$I$7:$I$456,MATCH($A74,'Revisão_Gemini'!$A$7:$A$456,0))&amp;"","")&lt;&gt;"",IFERROR(INDEX('Revisão_Gemini'!$I$7:$I$456,MATCH($A74,'Revisão_Gemini'!$A$7:$A$456,0))&amp;"",""),IFERROR(INDEX('Revisão_ChatGPT'!$I$7:$I$456,MATCH($A74,'Revisão_ChatGPT'!$A$7:$A$456,0))&amp;"","")))))</f>
        <v/>
      </c>
      <c r="Q74" s="2" t="str">
        <f t="array" ref="Q74">IF(O74&lt;&gt;"Excluir","",IF(L74&lt;&gt;"",L74,IF(F74="Excluir",IFERROR(INDEX(Triagem!$K$2:$K$451,MATCH($A74,Triagem!$A$2:$A$451,0))&amp;"",""),IF(G74="Excluir",IFERROR(INDEX('Revisão_Gemini'!$J$7:$J$456,MATCH($A74,'Revisão_Gemini'!$A$7:$A$456,0))&amp;"",""),IFERROR(INDEX('Revisão_ChatGPT'!$J$7:$J$456,MATCH($A74,'Revisão_ChatGPT'!$A$7:$A$456,0))&amp;"","")))))</f>
        <v/>
      </c>
    </row>
    <row r="75" ht="15.75" customHeight="1">
      <c r="A75" s="2" t="s">
        <v>2101</v>
      </c>
      <c r="B75" s="19" t="str">
        <f t="array" ref="B75">INDEX(Triagem!$N$2:$N451 , MATCH(A75,Triagem!$A$2:$A451,0))</f>
        <v>abrir</v>
      </c>
      <c r="C75" s="20">
        <f t="array" ref="C75">INDEX(Triagem!$B$2:$B451 , MATCH(A75,Triagem!$A$2:$A451,0))</f>
        <v>2009</v>
      </c>
      <c r="D75" s="2" t="s">
        <v>2103</v>
      </c>
      <c r="E75" s="2" t="s">
        <v>2104</v>
      </c>
      <c r="F75" s="2" t="str">
        <f t="array" ref="F75">IFERROR(INDEX(Triagem!$I$2:$I$451,MATCH($A75,Triagem!$A$2:$A$451,0))&amp;"","")</f>
        <v>Excluir</v>
      </c>
      <c r="G75" s="2" t="str">
        <f t="array" ref="G75">IFERROR(INDEX('Revisão_Gemini'!$H$7:$H$456,MATCH($A75,'Revisão_Gemini'!$A$7:$A$456,0))&amp;"","")</f>
        <v>Excluir</v>
      </c>
      <c r="H75" s="2" t="str">
        <f t="array" ref="H75">IFERROR(INDEX('Revisão_ChatGPT'!$H$7:$H$456,MATCH($A75,'Revisão_ChatGPT'!$A$7:$A$456,0))&amp;"","")</f>
        <v>Excluir</v>
      </c>
      <c r="I75" s="2" t="str">
        <f t="shared" si="1"/>
        <v>3/3</v>
      </c>
      <c r="J75" s="21"/>
      <c r="K75" s="21"/>
      <c r="L75" s="21"/>
      <c r="M75" s="22" t="b">
        <f t="shared" si="2"/>
        <v>0</v>
      </c>
      <c r="N75" s="21" t="s">
        <v>3184</v>
      </c>
      <c r="O75" s="2" t="str">
        <f t="shared" si="3"/>
        <v>Fora do recorte anual + Excluir</v>
      </c>
      <c r="P75" s="2" t="str">
        <f t="array" ref="P75">IF(O75&lt;&gt;"Incluir","",IF(K75&lt;&gt;"",K75,IF(IFERROR(INDEX(Triagem!$J$2:$J$451,MATCH($A75,Triagem!$A$2:$A$451,0))&amp;"","")&lt;&gt;"",IFERROR(INDEX(Triagem!$J$2:$J$451,MATCH($A75,Triagem!$A$2:$A$451,0))&amp;"",""),IF(IFERROR(INDEX('Revisão_Gemini'!$I$7:$I$456,MATCH($A75,'Revisão_Gemini'!$A$7:$A$456,0))&amp;"","")&lt;&gt;"",IFERROR(INDEX('Revisão_Gemini'!$I$7:$I$456,MATCH($A75,'Revisão_Gemini'!$A$7:$A$456,0))&amp;"",""),IFERROR(INDEX('Revisão_ChatGPT'!$I$7:$I$456,MATCH($A75,'Revisão_ChatGPT'!$A$7:$A$456,0))&amp;"","")))))</f>
        <v/>
      </c>
      <c r="Q75" s="2" t="str">
        <f t="array" ref="Q75">IF(O75&lt;&gt;"Excluir","",IF(L75&lt;&gt;"",L75,IF(F75="Excluir",IFERROR(INDEX(Triagem!$K$2:$K$451,MATCH($A75,Triagem!$A$2:$A$451,0))&amp;"",""),IF(G75="Excluir",IFERROR(INDEX('Revisão_Gemini'!$J$7:$J$456,MATCH($A75,'Revisão_Gemini'!$A$7:$A$456,0))&amp;"",""),IFERROR(INDEX('Revisão_ChatGPT'!$J$7:$J$456,MATCH($A75,'Revisão_ChatGPT'!$A$7:$A$456,0))&amp;"","")))))</f>
        <v/>
      </c>
    </row>
    <row r="76" ht="15.75" customHeight="1">
      <c r="A76" s="2" t="s">
        <v>593</v>
      </c>
      <c r="B76" s="19" t="str">
        <f t="array" ref="B76">INDEX(Triagem!$N$2:$N451 , MATCH(A76,Triagem!$A$2:$A451,0))</f>
        <v>abrir</v>
      </c>
      <c r="C76" s="20">
        <f t="array" ref="C76">INDEX(Triagem!$B$2:$B451 , MATCH(A76,Triagem!$A$2:$A451,0))</f>
        <v>2010</v>
      </c>
      <c r="D76" s="2" t="s">
        <v>595</v>
      </c>
      <c r="E76" s="2" t="s">
        <v>596</v>
      </c>
      <c r="F76" s="2" t="str">
        <f t="array" ref="F76">IFERROR(INDEX(Triagem!$I$2:$I$451,MATCH($A76,Triagem!$A$2:$A$451,0))&amp;"","")</f>
        <v>Incluir</v>
      </c>
      <c r="G76" s="2" t="str">
        <f t="array" ref="G76">IFERROR(INDEX('Revisão_Gemini'!$H$7:$H$456,MATCH($A76,'Revisão_Gemini'!$A$7:$A$456,0))&amp;"","")</f>
        <v>Excluir</v>
      </c>
      <c r="H76" s="2" t="str">
        <f t="array" ref="H76">IFERROR(INDEX('Revisão_ChatGPT'!$H$7:$H$456,MATCH($A76,'Revisão_ChatGPT'!$A$7:$A$456,0))&amp;"","")</f>
        <v>Excluir</v>
      </c>
      <c r="I76" s="2" t="str">
        <f t="shared" si="1"/>
        <v>2/3</v>
      </c>
      <c r="J76" s="21" t="s">
        <v>694</v>
      </c>
      <c r="K76" s="21"/>
      <c r="L76" s="21"/>
      <c r="M76" s="22" t="b">
        <f t="shared" si="2"/>
        <v>0</v>
      </c>
      <c r="N76" s="21" t="s">
        <v>3185</v>
      </c>
      <c r="O76" s="2" t="str">
        <f t="shared" si="3"/>
        <v>Fora do recorte anual + Apoio</v>
      </c>
      <c r="P76" s="2" t="str">
        <f t="array" ref="P76">IF(O76&lt;&gt;"Incluir","",IF(K76&lt;&gt;"",K76,IF(IFERROR(INDEX(Triagem!$J$2:$J$451,MATCH($A76,Triagem!$A$2:$A$451,0))&amp;"","")&lt;&gt;"",IFERROR(INDEX(Triagem!$J$2:$J$451,MATCH($A76,Triagem!$A$2:$A$451,0))&amp;"",""),IF(IFERROR(INDEX('Revisão_Gemini'!$I$7:$I$456,MATCH($A76,'Revisão_Gemini'!$A$7:$A$456,0))&amp;"","")&lt;&gt;"",IFERROR(INDEX('Revisão_Gemini'!$I$7:$I$456,MATCH($A76,'Revisão_Gemini'!$A$7:$A$456,0))&amp;"",""),IFERROR(INDEX('Revisão_ChatGPT'!$I$7:$I$456,MATCH($A76,'Revisão_ChatGPT'!$A$7:$A$456,0))&amp;"","")))))</f>
        <v/>
      </c>
      <c r="Q76" s="2" t="str">
        <f t="array" ref="Q76">IF(O76&lt;&gt;"Excluir","",IF(L76&lt;&gt;"",L76,IF(F76="Excluir",IFERROR(INDEX(Triagem!$K$2:$K$451,MATCH($A76,Triagem!$A$2:$A$451,0))&amp;"",""),IF(G76="Excluir",IFERROR(INDEX('Revisão_Gemini'!$J$7:$J$456,MATCH($A76,'Revisão_Gemini'!$A$7:$A$456,0))&amp;"",""),IFERROR(INDEX('Revisão_ChatGPT'!$J$7:$J$456,MATCH($A76,'Revisão_ChatGPT'!$A$7:$A$456,0))&amp;"","")))))</f>
        <v/>
      </c>
    </row>
    <row r="77" ht="15.75" customHeight="1">
      <c r="A77" s="2" t="s">
        <v>979</v>
      </c>
      <c r="B77" s="19" t="str">
        <f t="array" ref="B77">INDEX(Triagem!$N$2:$N451 , MATCH(A77,Triagem!$A$2:$A451,0))</f>
        <v>abrir</v>
      </c>
      <c r="C77" s="20">
        <f t="array" ref="C77">INDEX(Triagem!$B$2:$B451 , MATCH(A77,Triagem!$A$2:$A451,0))</f>
        <v>2010</v>
      </c>
      <c r="D77" s="2" t="s">
        <v>981</v>
      </c>
      <c r="E77" s="2" t="s">
        <v>982</v>
      </c>
      <c r="F77" s="2" t="str">
        <f t="array" ref="F77">IFERROR(INDEX(Triagem!$I$2:$I$451,MATCH($A77,Triagem!$A$2:$A$451,0))&amp;"","")</f>
        <v>Excluir</v>
      </c>
      <c r="G77" s="2" t="str">
        <f t="array" ref="G77">IFERROR(INDEX('Revisão_Gemini'!$H$7:$H$456,MATCH($A77,'Revisão_Gemini'!$A$7:$A$456,0))&amp;"","")</f>
        <v>Excluir</v>
      </c>
      <c r="H77" s="2" t="str">
        <f t="array" ref="H77">IFERROR(INDEX('Revisão_ChatGPT'!$H$7:$H$456,MATCH($A77,'Revisão_ChatGPT'!$A$7:$A$456,0))&amp;"","")</f>
        <v>Excluir</v>
      </c>
      <c r="I77" s="2" t="str">
        <f t="shared" si="1"/>
        <v>3/3</v>
      </c>
      <c r="J77" s="21"/>
      <c r="K77" s="21"/>
      <c r="L77" s="21"/>
      <c r="M77" s="22" t="b">
        <f t="shared" si="2"/>
        <v>0</v>
      </c>
      <c r="N77" s="21"/>
      <c r="O77" s="2" t="str">
        <f t="shared" si="3"/>
        <v>Fora do recorte anual + Excluir</v>
      </c>
      <c r="P77" s="2" t="str">
        <f t="array" ref="P77">IF(O77&lt;&gt;"Incluir","",IF(K77&lt;&gt;"",K77,IF(IFERROR(INDEX(Triagem!$J$2:$J$451,MATCH($A77,Triagem!$A$2:$A$451,0))&amp;"","")&lt;&gt;"",IFERROR(INDEX(Triagem!$J$2:$J$451,MATCH($A77,Triagem!$A$2:$A$451,0))&amp;"",""),IF(IFERROR(INDEX('Revisão_Gemini'!$I$7:$I$456,MATCH($A77,'Revisão_Gemini'!$A$7:$A$456,0))&amp;"","")&lt;&gt;"",IFERROR(INDEX('Revisão_Gemini'!$I$7:$I$456,MATCH($A77,'Revisão_Gemini'!$A$7:$A$456,0))&amp;"",""),IFERROR(INDEX('Revisão_ChatGPT'!$I$7:$I$456,MATCH($A77,'Revisão_ChatGPT'!$A$7:$A$456,0))&amp;"","")))))</f>
        <v/>
      </c>
      <c r="Q77" s="2" t="str">
        <f t="array" ref="Q77">IF(O77&lt;&gt;"Excluir","",IF(L77&lt;&gt;"",L77,IF(F77="Excluir",IFERROR(INDEX(Triagem!$K$2:$K$451,MATCH($A77,Triagem!$A$2:$A$451,0))&amp;"",""),IF(G77="Excluir",IFERROR(INDEX('Revisão_Gemini'!$J$7:$J$456,MATCH($A77,'Revisão_Gemini'!$A$7:$A$456,0))&amp;"",""),IFERROR(INDEX('Revisão_ChatGPT'!$J$7:$J$456,MATCH($A77,'Revisão_ChatGPT'!$A$7:$A$456,0))&amp;"","")))))</f>
        <v/>
      </c>
    </row>
    <row r="78" ht="15.75" customHeight="1">
      <c r="A78" s="2" t="s">
        <v>598</v>
      </c>
      <c r="B78" s="19" t="str">
        <f t="array" ref="B78">INDEX(Triagem!$N$2:$N451 , MATCH(A78,Triagem!$A$2:$A451,0))</f>
        <v>abrir</v>
      </c>
      <c r="C78" s="20">
        <f t="array" ref="C78">INDEX(Triagem!$B$2:$B451 , MATCH(A78,Triagem!$A$2:$A451,0))</f>
        <v>2010</v>
      </c>
      <c r="D78" s="2" t="s">
        <v>600</v>
      </c>
      <c r="E78" s="2" t="s">
        <v>601</v>
      </c>
      <c r="F78" s="2" t="str">
        <f t="array" ref="F78">IFERROR(INDEX(Triagem!$I$2:$I$451,MATCH($A78,Triagem!$A$2:$A$451,0))&amp;"","")</f>
        <v>Incluir</v>
      </c>
      <c r="G78" s="2" t="str">
        <f t="array" ref="G78">IFERROR(INDEX('Revisão_Gemini'!$H$7:$H$456,MATCH($A78,'Revisão_Gemini'!$A$7:$A$456,0))&amp;"","")</f>
        <v>Incluir</v>
      </c>
      <c r="H78" s="2" t="str">
        <f t="array" ref="H78">IFERROR(INDEX('Revisão_ChatGPT'!$H$7:$H$456,MATCH($A78,'Revisão_ChatGPT'!$A$7:$A$456,0))&amp;"","")</f>
        <v>Incluir</v>
      </c>
      <c r="I78" s="2" t="str">
        <f t="shared" si="1"/>
        <v>3/3</v>
      </c>
      <c r="J78" s="21"/>
      <c r="K78" s="21"/>
      <c r="L78" s="21"/>
      <c r="M78" s="22" t="b">
        <f t="shared" si="2"/>
        <v>0</v>
      </c>
      <c r="N78" s="21"/>
      <c r="O78" s="2" t="str">
        <f t="shared" si="3"/>
        <v>Fora do recorte anual + Incluir</v>
      </c>
      <c r="P78" s="2" t="str">
        <f t="array" ref="P78">IF(O78&lt;&gt;"Incluir","",IF(K78&lt;&gt;"",K78,IF(IFERROR(INDEX(Triagem!$J$2:$J$451,MATCH($A78,Triagem!$A$2:$A$451,0))&amp;"","")&lt;&gt;"",IFERROR(INDEX(Triagem!$J$2:$J$451,MATCH($A78,Triagem!$A$2:$A$451,0))&amp;"",""),IF(IFERROR(INDEX('Revisão_Gemini'!$I$7:$I$456,MATCH($A78,'Revisão_Gemini'!$A$7:$A$456,0))&amp;"","")&lt;&gt;"",IFERROR(INDEX('Revisão_Gemini'!$I$7:$I$456,MATCH($A78,'Revisão_Gemini'!$A$7:$A$456,0))&amp;"",""),IFERROR(INDEX('Revisão_ChatGPT'!$I$7:$I$456,MATCH($A78,'Revisão_ChatGPT'!$A$7:$A$456,0))&amp;"","")))))</f>
        <v/>
      </c>
      <c r="Q78" s="2" t="str">
        <f t="array" ref="Q78">IF(O78&lt;&gt;"Excluir","",IF(L78&lt;&gt;"",L78,IF(F78="Excluir",IFERROR(INDEX(Triagem!$K$2:$K$451,MATCH($A78,Triagem!$A$2:$A$451,0))&amp;"",""),IF(G78="Excluir",IFERROR(INDEX('Revisão_Gemini'!$J$7:$J$456,MATCH($A78,'Revisão_Gemini'!$A$7:$A$456,0))&amp;"",""),IFERROR(INDEX('Revisão_ChatGPT'!$J$7:$J$456,MATCH($A78,'Revisão_ChatGPT'!$A$7:$A$456,0))&amp;"","")))))</f>
        <v/>
      </c>
    </row>
    <row r="79" ht="15.75" customHeight="1">
      <c r="A79" s="2" t="s">
        <v>2053</v>
      </c>
      <c r="B79" s="19" t="str">
        <f t="array" ref="B79">INDEX(Triagem!$N$2:$N451 , MATCH(A79,Triagem!$A$2:$A451,0))</f>
        <v>abrir</v>
      </c>
      <c r="C79" s="20">
        <f t="array" ref="C79">INDEX(Triagem!$B$2:$B451 , MATCH(A79,Triagem!$A$2:$A451,0))</f>
        <v>2010</v>
      </c>
      <c r="D79" s="2" t="s">
        <v>2054</v>
      </c>
      <c r="E79" s="2" t="s">
        <v>2055</v>
      </c>
      <c r="F79" s="2" t="str">
        <f t="array" ref="F79">IFERROR(INDEX(Triagem!$I$2:$I$451,MATCH($A79,Triagem!$A$2:$A$451,0))&amp;"","")</f>
        <v>Excluir</v>
      </c>
      <c r="G79" s="2" t="str">
        <f t="array" ref="G79">IFERROR(INDEX('Revisão_Gemini'!$H$7:$H$456,MATCH($A79,'Revisão_Gemini'!$A$7:$A$456,0))&amp;"","")</f>
        <v>Incluir</v>
      </c>
      <c r="H79" s="2" t="str">
        <f t="array" ref="H79">IFERROR(INDEX('Revisão_ChatGPT'!$H$7:$H$456,MATCH($A79,'Revisão_ChatGPT'!$A$7:$A$456,0))&amp;"","")</f>
        <v>Incluir</v>
      </c>
      <c r="I79" s="2" t="str">
        <f t="shared" si="1"/>
        <v>2/3</v>
      </c>
      <c r="J79" s="21" t="s">
        <v>694</v>
      </c>
      <c r="K79" s="21"/>
      <c r="L79" s="21"/>
      <c r="M79" s="22" t="b">
        <f t="shared" si="2"/>
        <v>0</v>
      </c>
      <c r="N79" s="21" t="s">
        <v>3186</v>
      </c>
      <c r="O79" s="2" t="str">
        <f t="shared" si="3"/>
        <v>Fora do recorte anual + Apoio</v>
      </c>
      <c r="P79" s="2" t="str">
        <f t="array" ref="P79">IF(O79&lt;&gt;"Incluir","",IF(K79&lt;&gt;"",K79,IF(IFERROR(INDEX(Triagem!$J$2:$J$451,MATCH($A79,Triagem!$A$2:$A$451,0))&amp;"","")&lt;&gt;"",IFERROR(INDEX(Triagem!$J$2:$J$451,MATCH($A79,Triagem!$A$2:$A$451,0))&amp;"",""),IF(IFERROR(INDEX('Revisão_Gemini'!$I$7:$I$456,MATCH($A79,'Revisão_Gemini'!$A$7:$A$456,0))&amp;"","")&lt;&gt;"",IFERROR(INDEX('Revisão_Gemini'!$I$7:$I$456,MATCH($A79,'Revisão_Gemini'!$A$7:$A$456,0))&amp;"",""),IFERROR(INDEX('Revisão_ChatGPT'!$I$7:$I$456,MATCH($A79,'Revisão_ChatGPT'!$A$7:$A$456,0))&amp;"","")))))</f>
        <v/>
      </c>
      <c r="Q79" s="2" t="str">
        <f t="array" ref="Q79">IF(O79&lt;&gt;"Excluir","",IF(L79&lt;&gt;"",L79,IF(F79="Excluir",IFERROR(INDEX(Triagem!$K$2:$K$451,MATCH($A79,Triagem!$A$2:$A$451,0))&amp;"",""),IF(G79="Excluir",IFERROR(INDEX('Revisão_Gemini'!$J$7:$J$456,MATCH($A79,'Revisão_Gemini'!$A$7:$A$456,0))&amp;"",""),IFERROR(INDEX('Revisão_ChatGPT'!$J$7:$J$456,MATCH($A79,'Revisão_ChatGPT'!$A$7:$A$456,0))&amp;"","")))))</f>
        <v/>
      </c>
    </row>
    <row r="80" ht="15.75" customHeight="1">
      <c r="A80" s="2" t="s">
        <v>572</v>
      </c>
      <c r="B80" s="19" t="str">
        <f t="array" ref="B80">INDEX(Triagem!$N$2:$N451 , MATCH(A80,Triagem!$A$2:$A451,0))</f>
        <v>abrir</v>
      </c>
      <c r="C80" s="20">
        <f t="array" ref="C80">INDEX(Triagem!$B$2:$B451 , MATCH(A80,Triagem!$A$2:$A451,0))</f>
        <v>2011</v>
      </c>
      <c r="D80" s="2" t="s">
        <v>574</v>
      </c>
      <c r="E80" s="2" t="s">
        <v>575</v>
      </c>
      <c r="F80" s="2" t="str">
        <f t="array" ref="F80">IFERROR(INDEX(Triagem!$I$2:$I$451,MATCH($A80,Triagem!$A$2:$A$451,0))&amp;"","")</f>
        <v>Incluir</v>
      </c>
      <c r="G80" s="2" t="str">
        <f t="array" ref="G80">IFERROR(INDEX('Revisão_Gemini'!$H$7:$H$456,MATCH($A80,'Revisão_Gemini'!$A$7:$A$456,0))&amp;"","")</f>
        <v>Incluir</v>
      </c>
      <c r="H80" s="2" t="str">
        <f t="array" ref="H80">IFERROR(INDEX('Revisão_ChatGPT'!$H$7:$H$456,MATCH($A80,'Revisão_ChatGPT'!$A$7:$A$456,0))&amp;"","")</f>
        <v>Incluir</v>
      </c>
      <c r="I80" s="2" t="str">
        <f t="shared" si="1"/>
        <v>3/3</v>
      </c>
      <c r="J80" s="21"/>
      <c r="K80" s="21"/>
      <c r="L80" s="21"/>
      <c r="M80" s="22" t="b">
        <f t="shared" si="2"/>
        <v>0</v>
      </c>
      <c r="N80" s="21" t="s">
        <v>3187</v>
      </c>
      <c r="O80" s="2" t="str">
        <f t="shared" si="3"/>
        <v>Fora do recorte anual + Incluir</v>
      </c>
      <c r="P80" s="2" t="str">
        <f t="array" ref="P80">IF(O80&lt;&gt;"Incluir","",IF(K80&lt;&gt;"",K80,IF(IFERROR(INDEX(Triagem!$J$2:$J$451,MATCH($A80,Triagem!$A$2:$A$451,0))&amp;"","")&lt;&gt;"",IFERROR(INDEX(Triagem!$J$2:$J$451,MATCH($A80,Triagem!$A$2:$A$451,0))&amp;"",""),IF(IFERROR(INDEX('Revisão_Gemini'!$I$7:$I$456,MATCH($A80,'Revisão_Gemini'!$A$7:$A$456,0))&amp;"","")&lt;&gt;"",IFERROR(INDEX('Revisão_Gemini'!$I$7:$I$456,MATCH($A80,'Revisão_Gemini'!$A$7:$A$456,0))&amp;"",""),IFERROR(INDEX('Revisão_ChatGPT'!$I$7:$I$456,MATCH($A80,'Revisão_ChatGPT'!$A$7:$A$456,0))&amp;"","")))))</f>
        <v/>
      </c>
      <c r="Q80" s="2" t="str">
        <f t="array" ref="Q80">IF(O80&lt;&gt;"Excluir","",IF(L80&lt;&gt;"",L80,IF(F80="Excluir",IFERROR(INDEX(Triagem!$K$2:$K$451,MATCH($A80,Triagem!$A$2:$A$451,0))&amp;"",""),IF(G80="Excluir",IFERROR(INDEX('Revisão_Gemini'!$J$7:$J$456,MATCH($A80,'Revisão_Gemini'!$A$7:$A$456,0))&amp;"",""),IFERROR(INDEX('Revisão_ChatGPT'!$J$7:$J$456,MATCH($A80,'Revisão_ChatGPT'!$A$7:$A$456,0))&amp;"","")))))</f>
        <v/>
      </c>
    </row>
    <row r="81" ht="15.75" customHeight="1">
      <c r="A81" s="2" t="s">
        <v>603</v>
      </c>
      <c r="B81" s="19" t="str">
        <f t="array" ref="B81">INDEX(Triagem!$N$2:$N451 , MATCH(A81,Triagem!$A$2:$A451,0))</f>
        <v>abrir</v>
      </c>
      <c r="C81" s="20">
        <f t="array" ref="C81">INDEX(Triagem!$B$2:$B451 , MATCH(A81,Triagem!$A$2:$A451,0))</f>
        <v>2010</v>
      </c>
      <c r="D81" s="2" t="s">
        <v>605</v>
      </c>
      <c r="E81" s="2" t="s">
        <v>606</v>
      </c>
      <c r="F81" s="2" t="str">
        <f t="array" ref="F81">IFERROR(INDEX(Triagem!$I$2:$I$451,MATCH($A81,Triagem!$A$2:$A$451,0))&amp;"","")</f>
        <v>Incluir</v>
      </c>
      <c r="G81" s="2" t="str">
        <f t="array" ref="G81">IFERROR(INDEX('Revisão_Gemini'!$H$7:$H$456,MATCH($A81,'Revisão_Gemini'!$A$7:$A$456,0))&amp;"","")</f>
        <v>Incluir</v>
      </c>
      <c r="H81" s="2" t="str">
        <f t="array" ref="H81">IFERROR(INDEX('Revisão_ChatGPT'!$H$7:$H$456,MATCH($A81,'Revisão_ChatGPT'!$A$7:$A$456,0))&amp;"","")</f>
        <v>Incluir</v>
      </c>
      <c r="I81" s="2" t="str">
        <f t="shared" si="1"/>
        <v>3/3</v>
      </c>
      <c r="J81" s="21"/>
      <c r="K81" s="21"/>
      <c r="L81" s="21"/>
      <c r="M81" s="22" t="b">
        <f t="shared" si="2"/>
        <v>0</v>
      </c>
      <c r="N81" s="21" t="s">
        <v>3188</v>
      </c>
      <c r="O81" s="2" t="str">
        <f t="shared" si="3"/>
        <v>Fora do recorte anual + Incluir</v>
      </c>
      <c r="P81" s="2" t="str">
        <f t="array" ref="P81">IF(O81&lt;&gt;"Incluir","",IF(K81&lt;&gt;"",K81,IF(IFERROR(INDEX(Triagem!$J$2:$J$451,MATCH($A81,Triagem!$A$2:$A$451,0))&amp;"","")&lt;&gt;"",IFERROR(INDEX(Triagem!$J$2:$J$451,MATCH($A81,Triagem!$A$2:$A$451,0))&amp;"",""),IF(IFERROR(INDEX('Revisão_Gemini'!$I$7:$I$456,MATCH($A81,'Revisão_Gemini'!$A$7:$A$456,0))&amp;"","")&lt;&gt;"",IFERROR(INDEX('Revisão_Gemini'!$I$7:$I$456,MATCH($A81,'Revisão_Gemini'!$A$7:$A$456,0))&amp;"",""),IFERROR(INDEX('Revisão_ChatGPT'!$I$7:$I$456,MATCH($A81,'Revisão_ChatGPT'!$A$7:$A$456,0))&amp;"","")))))</f>
        <v/>
      </c>
      <c r="Q81" s="2" t="str">
        <f t="array" ref="Q81">IF(O81&lt;&gt;"Excluir","",IF(L81&lt;&gt;"",L81,IF(F81="Excluir",IFERROR(INDEX(Triagem!$K$2:$K$451,MATCH($A81,Triagem!$A$2:$A$451,0))&amp;"",""),IF(G81="Excluir",IFERROR(INDEX('Revisão_Gemini'!$J$7:$J$456,MATCH($A81,'Revisão_Gemini'!$A$7:$A$456,0))&amp;"",""),IFERROR(INDEX('Revisão_ChatGPT'!$J$7:$J$456,MATCH($A81,'Revisão_ChatGPT'!$A$7:$A$456,0))&amp;"","")))))</f>
        <v/>
      </c>
    </row>
    <row r="82" ht="15.75" customHeight="1">
      <c r="A82" s="2" t="s">
        <v>1811</v>
      </c>
      <c r="B82" s="19" t="str">
        <f t="array" ref="B82">INDEX(Triagem!$N$2:$N451 , MATCH(A82,Triagem!$A$2:$A451,0))</f>
        <v>abrir</v>
      </c>
      <c r="C82" s="20">
        <f t="array" ref="C82">INDEX(Triagem!$B$2:$B451 , MATCH(A82,Triagem!$A$2:$A451,0))</f>
        <v>2010</v>
      </c>
      <c r="D82" s="2" t="s">
        <v>1813</v>
      </c>
      <c r="E82" s="2" t="s">
        <v>1814</v>
      </c>
      <c r="F82" s="2" t="str">
        <f t="array" ref="F82">IFERROR(INDEX(Triagem!$I$2:$I$451,MATCH($A82,Triagem!$A$2:$A$451,0))&amp;"","")</f>
        <v>Excluir</v>
      </c>
      <c r="G82" s="2" t="str">
        <f t="array" ref="G82">IFERROR(INDEX('Revisão_Gemini'!$H$7:$H$456,MATCH($A82,'Revisão_Gemini'!$A$7:$A$456,0))&amp;"","")</f>
        <v>Excluir</v>
      </c>
      <c r="H82" s="2" t="str">
        <f t="array" ref="H82">IFERROR(INDEX('Revisão_ChatGPT'!$H$7:$H$456,MATCH($A82,'Revisão_ChatGPT'!$A$7:$A$456,0))&amp;"","")</f>
        <v>Excluir</v>
      </c>
      <c r="I82" s="2" t="str">
        <f t="shared" si="1"/>
        <v>3/3</v>
      </c>
      <c r="J82" s="21"/>
      <c r="K82" s="21"/>
      <c r="L82" s="21"/>
      <c r="M82" s="22" t="b">
        <f t="shared" si="2"/>
        <v>0</v>
      </c>
      <c r="N82" s="21" t="s">
        <v>3189</v>
      </c>
      <c r="O82" s="2" t="str">
        <f t="shared" si="3"/>
        <v>Fora do recorte anual + Excluir</v>
      </c>
      <c r="P82" s="2" t="str">
        <f t="array" ref="P82">IF(O82&lt;&gt;"Incluir","",IF(K82&lt;&gt;"",K82,IF(IFERROR(INDEX(Triagem!$J$2:$J$451,MATCH($A82,Triagem!$A$2:$A$451,0))&amp;"","")&lt;&gt;"",IFERROR(INDEX(Triagem!$J$2:$J$451,MATCH($A82,Triagem!$A$2:$A$451,0))&amp;"",""),IF(IFERROR(INDEX('Revisão_Gemini'!$I$7:$I$456,MATCH($A82,'Revisão_Gemini'!$A$7:$A$456,0))&amp;"","")&lt;&gt;"",IFERROR(INDEX('Revisão_Gemini'!$I$7:$I$456,MATCH($A82,'Revisão_Gemini'!$A$7:$A$456,0))&amp;"",""),IFERROR(INDEX('Revisão_ChatGPT'!$I$7:$I$456,MATCH($A82,'Revisão_ChatGPT'!$A$7:$A$456,0))&amp;"","")))))</f>
        <v/>
      </c>
      <c r="Q82" s="2" t="str">
        <f t="array" ref="Q82">IF(O82&lt;&gt;"Excluir","",IF(L82&lt;&gt;"",L82,IF(F82="Excluir",IFERROR(INDEX(Triagem!$K$2:$K$451,MATCH($A82,Triagem!$A$2:$A$451,0))&amp;"",""),IF(G82="Excluir",IFERROR(INDEX('Revisão_Gemini'!$J$7:$J$456,MATCH($A82,'Revisão_Gemini'!$A$7:$A$456,0))&amp;"",""),IFERROR(INDEX('Revisão_ChatGPT'!$J$7:$J$456,MATCH($A82,'Revisão_ChatGPT'!$A$7:$A$456,0))&amp;"","")))))</f>
        <v/>
      </c>
    </row>
    <row r="83" ht="15.75" customHeight="1">
      <c r="A83" s="2" t="s">
        <v>2170</v>
      </c>
      <c r="B83" s="19" t="str">
        <f t="array" ref="B83">INDEX(Triagem!$N$2:$N451 , MATCH(A83,Triagem!$A$2:$A451,0))</f>
        <v>abrir</v>
      </c>
      <c r="C83" s="20">
        <f t="array" ref="C83">INDEX(Triagem!$B$2:$B451 , MATCH(A83,Triagem!$A$2:$A451,0))</f>
        <v>2010</v>
      </c>
      <c r="D83" s="2" t="s">
        <v>2172</v>
      </c>
      <c r="E83" s="2" t="s">
        <v>2173</v>
      </c>
      <c r="F83" s="2" t="str">
        <f t="array" ref="F83">IFERROR(INDEX(Triagem!$I$2:$I$451,MATCH($A83,Triagem!$A$2:$A$451,0))&amp;"","")</f>
        <v>Excluir</v>
      </c>
      <c r="G83" s="2" t="str">
        <f t="array" ref="G83">IFERROR(INDEX('Revisão_Gemini'!$H$7:$H$456,MATCH($A83,'Revisão_Gemini'!$A$7:$A$456,0))&amp;"","")</f>
        <v>Excluir</v>
      </c>
      <c r="H83" s="2" t="str">
        <f t="array" ref="H83">IFERROR(INDEX('Revisão_ChatGPT'!$H$7:$H$456,MATCH($A83,'Revisão_ChatGPT'!$A$7:$A$456,0))&amp;"","")</f>
        <v>Excluir</v>
      </c>
      <c r="I83" s="2" t="str">
        <f t="shared" si="1"/>
        <v>3/3</v>
      </c>
      <c r="J83" s="21"/>
      <c r="K83" s="21"/>
      <c r="L83" s="21"/>
      <c r="M83" s="22" t="b">
        <f t="shared" si="2"/>
        <v>0</v>
      </c>
      <c r="N83" s="21" t="s">
        <v>3190</v>
      </c>
      <c r="O83" s="2" t="str">
        <f t="shared" si="3"/>
        <v>Fora do recorte anual + Excluir</v>
      </c>
      <c r="P83" s="2" t="str">
        <f t="array" ref="P83">IF(O83&lt;&gt;"Incluir","",IF(K83&lt;&gt;"",K83,IF(IFERROR(INDEX(Triagem!$J$2:$J$451,MATCH($A83,Triagem!$A$2:$A$451,0))&amp;"","")&lt;&gt;"",IFERROR(INDEX(Triagem!$J$2:$J$451,MATCH($A83,Triagem!$A$2:$A$451,0))&amp;"",""),IF(IFERROR(INDEX('Revisão_Gemini'!$I$7:$I$456,MATCH($A83,'Revisão_Gemini'!$A$7:$A$456,0))&amp;"","")&lt;&gt;"",IFERROR(INDEX('Revisão_Gemini'!$I$7:$I$456,MATCH($A83,'Revisão_Gemini'!$A$7:$A$456,0))&amp;"",""),IFERROR(INDEX('Revisão_ChatGPT'!$I$7:$I$456,MATCH($A83,'Revisão_ChatGPT'!$A$7:$A$456,0))&amp;"","")))))</f>
        <v/>
      </c>
      <c r="Q83" s="2" t="str">
        <f t="array" ref="Q83">IF(O83&lt;&gt;"Excluir","",IF(L83&lt;&gt;"",L83,IF(F83="Excluir",IFERROR(INDEX(Triagem!$K$2:$K$451,MATCH($A83,Triagem!$A$2:$A$451,0))&amp;"",""),IF(G83="Excluir",IFERROR(INDEX('Revisão_Gemini'!$J$7:$J$456,MATCH($A83,'Revisão_Gemini'!$A$7:$A$456,0))&amp;"",""),IFERROR(INDEX('Revisão_ChatGPT'!$J$7:$J$456,MATCH($A83,'Revisão_ChatGPT'!$A$7:$A$456,0))&amp;"","")))))</f>
        <v/>
      </c>
    </row>
    <row r="84" ht="15.75" customHeight="1">
      <c r="A84" s="2" t="s">
        <v>608</v>
      </c>
      <c r="B84" s="19" t="str">
        <f t="array" ref="B84">INDEX(Triagem!$N$2:$N451 , MATCH(A84,Triagem!$A$2:$A451,0))</f>
        <v>abrir</v>
      </c>
      <c r="C84" s="20">
        <f t="array" ref="C84">INDEX(Triagem!$B$2:$B451 , MATCH(A84,Triagem!$A$2:$A451,0))</f>
        <v>2010</v>
      </c>
      <c r="D84" s="2" t="s">
        <v>610</v>
      </c>
      <c r="E84" s="2" t="s">
        <v>611</v>
      </c>
      <c r="F84" s="2" t="str">
        <f t="array" ref="F84">IFERROR(INDEX(Triagem!$I$2:$I$451,MATCH($A84,Triagem!$A$2:$A$451,0))&amp;"","")</f>
        <v>Incluir</v>
      </c>
      <c r="G84" s="2" t="str">
        <f t="array" ref="G84">IFERROR(INDEX('Revisão_Gemini'!$H$7:$H$456,MATCH($A84,'Revisão_Gemini'!$A$7:$A$456,0))&amp;"","")</f>
        <v>Incluir</v>
      </c>
      <c r="H84" s="2" t="str">
        <f t="array" ref="H84">IFERROR(INDEX('Revisão_ChatGPT'!$H$7:$H$456,MATCH($A84,'Revisão_ChatGPT'!$A$7:$A$456,0))&amp;"","")</f>
        <v>Incluir</v>
      </c>
      <c r="I84" s="2" t="str">
        <f t="shared" si="1"/>
        <v>3/3</v>
      </c>
      <c r="J84" s="21"/>
      <c r="K84" s="21"/>
      <c r="L84" s="21"/>
      <c r="M84" s="22" t="b">
        <f t="shared" si="2"/>
        <v>0</v>
      </c>
      <c r="N84" s="21" t="s">
        <v>3191</v>
      </c>
      <c r="O84" s="2" t="str">
        <f t="shared" si="3"/>
        <v>Fora do recorte anual + Incluir</v>
      </c>
      <c r="P84" s="2" t="str">
        <f t="array" ref="P84">IF(O84&lt;&gt;"Incluir","",IF(K84&lt;&gt;"",K84,IF(IFERROR(INDEX(Triagem!$J$2:$J$451,MATCH($A84,Triagem!$A$2:$A$451,0))&amp;"","")&lt;&gt;"",IFERROR(INDEX(Triagem!$J$2:$J$451,MATCH($A84,Triagem!$A$2:$A$451,0))&amp;"",""),IF(IFERROR(INDEX('Revisão_Gemini'!$I$7:$I$456,MATCH($A84,'Revisão_Gemini'!$A$7:$A$456,0))&amp;"","")&lt;&gt;"",IFERROR(INDEX('Revisão_Gemini'!$I$7:$I$456,MATCH($A84,'Revisão_Gemini'!$A$7:$A$456,0))&amp;"",""),IFERROR(INDEX('Revisão_ChatGPT'!$I$7:$I$456,MATCH($A84,'Revisão_ChatGPT'!$A$7:$A$456,0))&amp;"","")))))</f>
        <v/>
      </c>
      <c r="Q84" s="2" t="str">
        <f t="array" ref="Q84">IF(O84&lt;&gt;"Excluir","",IF(L84&lt;&gt;"",L84,IF(F84="Excluir",IFERROR(INDEX(Triagem!$K$2:$K$451,MATCH($A84,Triagem!$A$2:$A$451,0))&amp;"",""),IF(G84="Excluir",IFERROR(INDEX('Revisão_Gemini'!$J$7:$J$456,MATCH($A84,'Revisão_Gemini'!$A$7:$A$456,0))&amp;"",""),IFERROR(INDEX('Revisão_ChatGPT'!$J$7:$J$456,MATCH($A84,'Revisão_ChatGPT'!$A$7:$A$456,0))&amp;"","")))))</f>
        <v/>
      </c>
    </row>
    <row r="85" ht="15.75" customHeight="1">
      <c r="A85" s="2" t="s">
        <v>1421</v>
      </c>
      <c r="B85" s="19" t="str">
        <f t="array" ref="B85">INDEX(Triagem!$N$2:$N451 , MATCH(A85,Triagem!$A$2:$A451,0))</f>
        <v>abrir</v>
      </c>
      <c r="C85" s="20">
        <f t="array" ref="C85">INDEX(Triagem!$B$2:$B451 , MATCH(A85,Triagem!$A$2:$A451,0))</f>
        <v>2010</v>
      </c>
      <c r="D85" s="2" t="s">
        <v>1423</v>
      </c>
      <c r="E85" s="2" t="s">
        <v>1424</v>
      </c>
      <c r="F85" s="2" t="str">
        <f t="array" ref="F85">IFERROR(INDEX(Triagem!$I$2:$I$451,MATCH($A85,Triagem!$A$2:$A$451,0))&amp;"","")</f>
        <v>Excluir</v>
      </c>
      <c r="G85" s="2" t="str">
        <f t="array" ref="G85">IFERROR(INDEX('Revisão_Gemini'!$H$7:$H$456,MATCH($A85,'Revisão_Gemini'!$A$7:$A$456,0))&amp;"","")</f>
        <v>Excluir</v>
      </c>
      <c r="H85" s="2" t="str">
        <f t="array" ref="H85">IFERROR(INDEX('Revisão_ChatGPT'!$H$7:$H$456,MATCH($A85,'Revisão_ChatGPT'!$A$7:$A$456,0))&amp;"","")</f>
        <v>Excluir</v>
      </c>
      <c r="I85" s="2" t="str">
        <f t="shared" si="1"/>
        <v>3/3</v>
      </c>
      <c r="J85" s="21"/>
      <c r="K85" s="21"/>
      <c r="L85" s="21"/>
      <c r="M85" s="22" t="b">
        <f t="shared" si="2"/>
        <v>0</v>
      </c>
      <c r="N85" s="21" t="s">
        <v>3192</v>
      </c>
      <c r="O85" s="2" t="str">
        <f t="shared" si="3"/>
        <v>Fora do recorte anual + Excluir</v>
      </c>
      <c r="P85" s="2" t="str">
        <f t="array" ref="P85">IF(O85&lt;&gt;"Incluir","",IF(K85&lt;&gt;"",K85,IF(IFERROR(INDEX(Triagem!$J$2:$J$451,MATCH($A85,Triagem!$A$2:$A$451,0))&amp;"","")&lt;&gt;"",IFERROR(INDEX(Triagem!$J$2:$J$451,MATCH($A85,Triagem!$A$2:$A$451,0))&amp;"",""),IF(IFERROR(INDEX('Revisão_Gemini'!$I$7:$I$456,MATCH($A85,'Revisão_Gemini'!$A$7:$A$456,0))&amp;"","")&lt;&gt;"",IFERROR(INDEX('Revisão_Gemini'!$I$7:$I$456,MATCH($A85,'Revisão_Gemini'!$A$7:$A$456,0))&amp;"",""),IFERROR(INDEX('Revisão_ChatGPT'!$I$7:$I$456,MATCH($A85,'Revisão_ChatGPT'!$A$7:$A$456,0))&amp;"","")))))</f>
        <v/>
      </c>
      <c r="Q85" s="2" t="str">
        <f t="array" ref="Q85">IF(O85&lt;&gt;"Excluir","",IF(L85&lt;&gt;"",L85,IF(F85="Excluir",IFERROR(INDEX(Triagem!$K$2:$K$451,MATCH($A85,Triagem!$A$2:$A$451,0))&amp;"",""),IF(G85="Excluir",IFERROR(INDEX('Revisão_Gemini'!$J$7:$J$456,MATCH($A85,'Revisão_Gemini'!$A$7:$A$456,0))&amp;"",""),IFERROR(INDEX('Revisão_ChatGPT'!$J$7:$J$456,MATCH($A85,'Revisão_ChatGPT'!$A$7:$A$456,0))&amp;"","")))))</f>
        <v/>
      </c>
    </row>
    <row r="86" ht="15.75" customHeight="1">
      <c r="A86" s="2" t="s">
        <v>969</v>
      </c>
      <c r="B86" s="19" t="str">
        <f t="array" ref="B86">INDEX(Triagem!$N$2:$N451 , MATCH(A86,Triagem!$A$2:$A451,0))</f>
        <v>abrir</v>
      </c>
      <c r="C86" s="20">
        <f t="array" ref="C86">INDEX(Triagem!$B$2:$B451 , MATCH(A86,Triagem!$A$2:$A451,0))</f>
        <v>2011</v>
      </c>
      <c r="D86" s="2" t="s">
        <v>971</v>
      </c>
      <c r="E86" s="2" t="s">
        <v>972</v>
      </c>
      <c r="F86" s="2" t="str">
        <f t="array" ref="F86">IFERROR(INDEX(Triagem!$I$2:$I$451,MATCH($A86,Triagem!$A$2:$A$451,0))&amp;"","")</f>
        <v>Excluir</v>
      </c>
      <c r="G86" s="2" t="str">
        <f t="array" ref="G86">IFERROR(INDEX('Revisão_Gemini'!$H$7:$H$456,MATCH($A86,'Revisão_Gemini'!$A$7:$A$456,0))&amp;"","")</f>
        <v>Excluir</v>
      </c>
      <c r="H86" s="2" t="str">
        <f t="array" ref="H86">IFERROR(INDEX('Revisão_ChatGPT'!$H$7:$H$456,MATCH($A86,'Revisão_ChatGPT'!$A$7:$A$456,0))&amp;"","")</f>
        <v>Excluir</v>
      </c>
      <c r="I86" s="2" t="str">
        <f t="shared" si="1"/>
        <v>3/3</v>
      </c>
      <c r="J86" s="21"/>
      <c r="K86" s="21"/>
      <c r="L86" s="21"/>
      <c r="M86" s="22" t="b">
        <f t="shared" si="2"/>
        <v>0</v>
      </c>
      <c r="N86" s="21" t="s">
        <v>3193</v>
      </c>
      <c r="O86" s="2" t="str">
        <f t="shared" si="3"/>
        <v>Fora do recorte anual + Excluir</v>
      </c>
      <c r="P86" s="2" t="str">
        <f t="array" ref="P86">IF(O86&lt;&gt;"Incluir","",IF(K86&lt;&gt;"",K86,IF(IFERROR(INDEX(Triagem!$J$2:$J$451,MATCH($A86,Triagem!$A$2:$A$451,0))&amp;"","")&lt;&gt;"",IFERROR(INDEX(Triagem!$J$2:$J$451,MATCH($A86,Triagem!$A$2:$A$451,0))&amp;"",""),IF(IFERROR(INDEX('Revisão_Gemini'!$I$7:$I$456,MATCH($A86,'Revisão_Gemini'!$A$7:$A$456,0))&amp;"","")&lt;&gt;"",IFERROR(INDEX('Revisão_Gemini'!$I$7:$I$456,MATCH($A86,'Revisão_Gemini'!$A$7:$A$456,0))&amp;"",""),IFERROR(INDEX('Revisão_ChatGPT'!$I$7:$I$456,MATCH($A86,'Revisão_ChatGPT'!$A$7:$A$456,0))&amp;"","")))))</f>
        <v/>
      </c>
      <c r="Q86" s="2" t="str">
        <f t="array" ref="Q86">IF(O86&lt;&gt;"Excluir","",IF(L86&lt;&gt;"",L86,IF(F86="Excluir",IFERROR(INDEX(Triagem!$K$2:$K$451,MATCH($A86,Triagem!$A$2:$A$451,0))&amp;"",""),IF(G86="Excluir",IFERROR(INDEX('Revisão_Gemini'!$J$7:$J$456,MATCH($A86,'Revisão_Gemini'!$A$7:$A$456,0))&amp;"",""),IFERROR(INDEX('Revisão_ChatGPT'!$J$7:$J$456,MATCH($A86,'Revisão_ChatGPT'!$A$7:$A$456,0))&amp;"","")))))</f>
        <v/>
      </c>
    </row>
    <row r="87" ht="15.75" customHeight="1">
      <c r="A87" s="2" t="s">
        <v>1795</v>
      </c>
      <c r="B87" s="19" t="str">
        <f t="array" ref="B87">INDEX(Triagem!$N$2:$N451 , MATCH(A87,Triagem!$A$2:$A451,0))</f>
        <v>abrir</v>
      </c>
      <c r="C87" s="20">
        <f t="array" ref="C87">INDEX(Triagem!$B$2:$B451 , MATCH(A87,Triagem!$A$2:$A451,0))</f>
        <v>2011</v>
      </c>
      <c r="D87" s="2" t="s">
        <v>1797</v>
      </c>
      <c r="E87" s="2" t="s">
        <v>1798</v>
      </c>
      <c r="F87" s="2" t="str">
        <f t="array" ref="F87">IFERROR(INDEX(Triagem!$I$2:$I$451,MATCH($A87,Triagem!$A$2:$A$451,0))&amp;"","")</f>
        <v>Excluir</v>
      </c>
      <c r="G87" s="2" t="str">
        <f t="array" ref="G87">IFERROR(INDEX('Revisão_Gemini'!$H$7:$H$456,MATCH($A87,'Revisão_Gemini'!$A$7:$A$456,0))&amp;"","")</f>
        <v>Excluir</v>
      </c>
      <c r="H87" s="2" t="str">
        <f t="array" ref="H87">IFERROR(INDEX('Revisão_ChatGPT'!$H$7:$H$456,MATCH($A87,'Revisão_ChatGPT'!$A$7:$A$456,0))&amp;"","")</f>
        <v>Excluir</v>
      </c>
      <c r="I87" s="2" t="str">
        <f t="shared" si="1"/>
        <v>3/3</v>
      </c>
      <c r="J87" s="21"/>
      <c r="K87" s="21"/>
      <c r="L87" s="21"/>
      <c r="M87" s="22" t="b">
        <f t="shared" si="2"/>
        <v>0</v>
      </c>
      <c r="N87" s="21" t="s">
        <v>3194</v>
      </c>
      <c r="O87" s="2" t="str">
        <f t="shared" si="3"/>
        <v>Fora do recorte anual + Excluir</v>
      </c>
      <c r="P87" s="2" t="str">
        <f t="array" ref="P87">IF(O87&lt;&gt;"Incluir","",IF(K87&lt;&gt;"",K87,IF(IFERROR(INDEX(Triagem!$J$2:$J$451,MATCH($A87,Triagem!$A$2:$A$451,0))&amp;"","")&lt;&gt;"",IFERROR(INDEX(Triagem!$J$2:$J$451,MATCH($A87,Triagem!$A$2:$A$451,0))&amp;"",""),IF(IFERROR(INDEX('Revisão_Gemini'!$I$7:$I$456,MATCH($A87,'Revisão_Gemini'!$A$7:$A$456,0))&amp;"","")&lt;&gt;"",IFERROR(INDEX('Revisão_Gemini'!$I$7:$I$456,MATCH($A87,'Revisão_Gemini'!$A$7:$A$456,0))&amp;"",""),IFERROR(INDEX('Revisão_ChatGPT'!$I$7:$I$456,MATCH($A87,'Revisão_ChatGPT'!$A$7:$A$456,0))&amp;"","")))))</f>
        <v/>
      </c>
      <c r="Q87" s="2" t="str">
        <f t="array" ref="Q87">IF(O87&lt;&gt;"Excluir","",IF(L87&lt;&gt;"",L87,IF(F87="Excluir",IFERROR(INDEX(Triagem!$K$2:$K$451,MATCH($A87,Triagem!$A$2:$A$451,0))&amp;"",""),IF(G87="Excluir",IFERROR(INDEX('Revisão_Gemini'!$J$7:$J$456,MATCH($A87,'Revisão_Gemini'!$A$7:$A$456,0))&amp;"",""),IFERROR(INDEX('Revisão_ChatGPT'!$J$7:$J$456,MATCH($A87,'Revisão_ChatGPT'!$A$7:$A$456,0))&amp;"","")))))</f>
        <v/>
      </c>
    </row>
    <row r="88" ht="15.75" customHeight="1">
      <c r="A88" s="2" t="s">
        <v>1425</v>
      </c>
      <c r="B88" s="19" t="str">
        <f t="array" ref="B88">INDEX(Triagem!$N$2:$N451 , MATCH(A88,Triagem!$A$2:$A451,0))</f>
        <v>abrir</v>
      </c>
      <c r="C88" s="20">
        <f t="array" ref="C88">INDEX(Triagem!$B$2:$B451 , MATCH(A88,Triagem!$A$2:$A451,0))</f>
        <v>2010</v>
      </c>
      <c r="D88" s="2" t="s">
        <v>1427</v>
      </c>
      <c r="E88" s="2" t="s">
        <v>1428</v>
      </c>
      <c r="F88" s="2" t="str">
        <f t="array" ref="F88">IFERROR(INDEX(Triagem!$I$2:$I$451,MATCH($A88,Triagem!$A$2:$A$451,0))&amp;"","")</f>
        <v>Excluir</v>
      </c>
      <c r="G88" s="2" t="str">
        <f t="array" ref="G88">IFERROR(INDEX('Revisão_Gemini'!$H$7:$H$456,MATCH($A88,'Revisão_Gemini'!$A$7:$A$456,0))&amp;"","")</f>
        <v>Excluir</v>
      </c>
      <c r="H88" s="2" t="str">
        <f t="array" ref="H88">IFERROR(INDEX('Revisão_ChatGPT'!$H$7:$H$456,MATCH($A88,'Revisão_ChatGPT'!$A$7:$A$456,0))&amp;"","")</f>
        <v>Excluir</v>
      </c>
      <c r="I88" s="2" t="str">
        <f t="shared" si="1"/>
        <v>3/3</v>
      </c>
      <c r="J88" s="21"/>
      <c r="K88" s="21"/>
      <c r="L88" s="21"/>
      <c r="M88" s="22" t="b">
        <f t="shared" si="2"/>
        <v>0</v>
      </c>
      <c r="N88" s="21" t="s">
        <v>3195</v>
      </c>
      <c r="O88" s="2" t="str">
        <f t="shared" si="3"/>
        <v>Fora do recorte anual + Excluir</v>
      </c>
      <c r="P88" s="2" t="str">
        <f t="array" ref="P88">IF(O88&lt;&gt;"Incluir","",IF(K88&lt;&gt;"",K88,IF(IFERROR(INDEX(Triagem!$J$2:$J$451,MATCH($A88,Triagem!$A$2:$A$451,0))&amp;"","")&lt;&gt;"",IFERROR(INDEX(Triagem!$J$2:$J$451,MATCH($A88,Triagem!$A$2:$A$451,0))&amp;"",""),IF(IFERROR(INDEX('Revisão_Gemini'!$I$7:$I$456,MATCH($A88,'Revisão_Gemini'!$A$7:$A$456,0))&amp;"","")&lt;&gt;"",IFERROR(INDEX('Revisão_Gemini'!$I$7:$I$456,MATCH($A88,'Revisão_Gemini'!$A$7:$A$456,0))&amp;"",""),IFERROR(INDEX('Revisão_ChatGPT'!$I$7:$I$456,MATCH($A88,'Revisão_ChatGPT'!$A$7:$A$456,0))&amp;"","")))))</f>
        <v/>
      </c>
      <c r="Q88" s="2" t="str">
        <f t="array" ref="Q88">IF(O88&lt;&gt;"Excluir","",IF(L88&lt;&gt;"",L88,IF(F88="Excluir",IFERROR(INDEX(Triagem!$K$2:$K$451,MATCH($A88,Triagem!$A$2:$A$451,0))&amp;"",""),IF(G88="Excluir",IFERROR(INDEX('Revisão_Gemini'!$J$7:$J$456,MATCH($A88,'Revisão_Gemini'!$A$7:$A$456,0))&amp;"",""),IFERROR(INDEX('Revisão_ChatGPT'!$J$7:$J$456,MATCH($A88,'Revisão_ChatGPT'!$A$7:$A$456,0))&amp;"","")))))</f>
        <v/>
      </c>
    </row>
    <row r="89" ht="15.75" customHeight="1">
      <c r="A89" s="2" t="s">
        <v>2048</v>
      </c>
      <c r="B89" s="19" t="str">
        <f t="array" ref="B89">INDEX(Triagem!$N$2:$N451 , MATCH(A89,Triagem!$A$2:$A451,0))</f>
        <v>abrir</v>
      </c>
      <c r="C89" s="20">
        <f t="array" ref="C89">INDEX(Triagem!$B$2:$B451 , MATCH(A89,Triagem!$A$2:$A451,0))</f>
        <v>2011</v>
      </c>
      <c r="D89" s="2" t="s">
        <v>2050</v>
      </c>
      <c r="E89" s="2" t="s">
        <v>2051</v>
      </c>
      <c r="F89" s="2" t="str">
        <f t="array" ref="F89">IFERROR(INDEX(Triagem!$I$2:$I$451,MATCH($A89,Triagem!$A$2:$A$451,0))&amp;"","")</f>
        <v>Excluir</v>
      </c>
      <c r="G89" s="2" t="str">
        <f t="array" ref="G89">IFERROR(INDEX('Revisão_Gemini'!$H$7:$H$456,MATCH($A89,'Revisão_Gemini'!$A$7:$A$456,0))&amp;"","")</f>
        <v>Excluir</v>
      </c>
      <c r="H89" s="2" t="str">
        <f t="array" ref="H89">IFERROR(INDEX('Revisão_ChatGPT'!$H$7:$H$456,MATCH($A89,'Revisão_ChatGPT'!$A$7:$A$456,0))&amp;"","")</f>
        <v>Excluir</v>
      </c>
      <c r="I89" s="2" t="str">
        <f t="shared" si="1"/>
        <v>3/3</v>
      </c>
      <c r="J89" s="21"/>
      <c r="K89" s="21"/>
      <c r="L89" s="21"/>
      <c r="M89" s="22" t="b">
        <f t="shared" si="2"/>
        <v>0</v>
      </c>
      <c r="N89" s="21"/>
      <c r="O89" s="2" t="str">
        <f t="shared" si="3"/>
        <v>Fora do recorte anual + Excluir</v>
      </c>
      <c r="P89" s="2" t="str">
        <f t="array" ref="P89">IF(O89&lt;&gt;"Incluir","",IF(K89&lt;&gt;"",K89,IF(IFERROR(INDEX(Triagem!$J$2:$J$451,MATCH($A89,Triagem!$A$2:$A$451,0))&amp;"","")&lt;&gt;"",IFERROR(INDEX(Triagem!$J$2:$J$451,MATCH($A89,Triagem!$A$2:$A$451,0))&amp;"",""),IF(IFERROR(INDEX('Revisão_Gemini'!$I$7:$I$456,MATCH($A89,'Revisão_Gemini'!$A$7:$A$456,0))&amp;"","")&lt;&gt;"",IFERROR(INDEX('Revisão_Gemini'!$I$7:$I$456,MATCH($A89,'Revisão_Gemini'!$A$7:$A$456,0))&amp;"",""),IFERROR(INDEX('Revisão_ChatGPT'!$I$7:$I$456,MATCH($A89,'Revisão_ChatGPT'!$A$7:$A$456,0))&amp;"","")))))</f>
        <v/>
      </c>
      <c r="Q89" s="2" t="str">
        <f t="array" ref="Q89">IF(O89&lt;&gt;"Excluir","",IF(L89&lt;&gt;"",L89,IF(F89="Excluir",IFERROR(INDEX(Triagem!$K$2:$K$451,MATCH($A89,Triagem!$A$2:$A$451,0))&amp;"",""),IF(G89="Excluir",IFERROR(INDEX('Revisão_Gemini'!$J$7:$J$456,MATCH($A89,'Revisão_Gemini'!$A$7:$A$456,0))&amp;"",""),IFERROR(INDEX('Revisão_ChatGPT'!$J$7:$J$456,MATCH($A89,'Revisão_ChatGPT'!$A$7:$A$456,0))&amp;"","")))))</f>
        <v/>
      </c>
    </row>
    <row r="90" ht="15.75" customHeight="1">
      <c r="A90" s="2" t="s">
        <v>577</v>
      </c>
      <c r="B90" s="19" t="str">
        <f t="array" ref="B90">INDEX(Triagem!$N$2:$N451 , MATCH(A90,Triagem!$A$2:$A451,0))</f>
        <v>abrir</v>
      </c>
      <c r="C90" s="20">
        <f t="array" ref="C90">INDEX(Triagem!$B$2:$B451 , MATCH(A90,Triagem!$A$2:$A451,0))</f>
        <v>2011</v>
      </c>
      <c r="D90" s="2" t="s">
        <v>579</v>
      </c>
      <c r="E90" s="2" t="s">
        <v>580</v>
      </c>
      <c r="F90" s="2" t="str">
        <f t="array" ref="F90">IFERROR(INDEX(Triagem!$I$2:$I$451,MATCH($A90,Triagem!$A$2:$A$451,0))&amp;"","")</f>
        <v>Incluir</v>
      </c>
      <c r="G90" s="2" t="str">
        <f t="array" ref="G90">IFERROR(INDEX('Revisão_Gemini'!$H$7:$H$456,MATCH($A90,'Revisão_Gemini'!$A$7:$A$456,0))&amp;"","")</f>
        <v>Incluir</v>
      </c>
      <c r="H90" s="2" t="str">
        <f t="array" ref="H90">IFERROR(INDEX('Revisão_ChatGPT'!$H$7:$H$456,MATCH($A90,'Revisão_ChatGPT'!$A$7:$A$456,0))&amp;"","")</f>
        <v>Incluir</v>
      </c>
      <c r="I90" s="2" t="str">
        <f t="shared" si="1"/>
        <v>3/3</v>
      </c>
      <c r="J90" s="21"/>
      <c r="K90" s="21"/>
      <c r="L90" s="21"/>
      <c r="M90" s="22" t="b">
        <f t="shared" si="2"/>
        <v>0</v>
      </c>
      <c r="N90" s="21" t="s">
        <v>3196</v>
      </c>
      <c r="O90" s="2" t="str">
        <f t="shared" si="3"/>
        <v>Fora do recorte anual + Incluir</v>
      </c>
      <c r="P90" s="2" t="str">
        <f t="array" ref="P90">IF(O90&lt;&gt;"Incluir","",IF(K90&lt;&gt;"",K90,IF(IFERROR(INDEX(Triagem!$J$2:$J$451,MATCH($A90,Triagem!$A$2:$A$451,0))&amp;"","")&lt;&gt;"",IFERROR(INDEX(Triagem!$J$2:$J$451,MATCH($A90,Triagem!$A$2:$A$451,0))&amp;"",""),IF(IFERROR(INDEX('Revisão_Gemini'!$I$7:$I$456,MATCH($A90,'Revisão_Gemini'!$A$7:$A$456,0))&amp;"","")&lt;&gt;"",IFERROR(INDEX('Revisão_Gemini'!$I$7:$I$456,MATCH($A90,'Revisão_Gemini'!$A$7:$A$456,0))&amp;"",""),IFERROR(INDEX('Revisão_ChatGPT'!$I$7:$I$456,MATCH($A90,'Revisão_ChatGPT'!$A$7:$A$456,0))&amp;"","")))))</f>
        <v/>
      </c>
      <c r="Q90" s="2" t="str">
        <f t="array" ref="Q90">IF(O90&lt;&gt;"Excluir","",IF(L90&lt;&gt;"",L90,IF(F90="Excluir",IFERROR(INDEX(Triagem!$K$2:$K$451,MATCH($A90,Triagem!$A$2:$A$451,0))&amp;"",""),IF(G90="Excluir",IFERROR(INDEX('Revisão_Gemini'!$J$7:$J$456,MATCH($A90,'Revisão_Gemini'!$A$7:$A$456,0))&amp;"",""),IFERROR(INDEX('Revisão_ChatGPT'!$J$7:$J$456,MATCH($A90,'Revisão_ChatGPT'!$A$7:$A$456,0))&amp;"","")))))</f>
        <v/>
      </c>
    </row>
    <row r="91" ht="15.75" customHeight="1">
      <c r="A91" s="2" t="s">
        <v>1799</v>
      </c>
      <c r="B91" s="19" t="str">
        <f t="array" ref="B91">INDEX(Triagem!$N$2:$N451 , MATCH(A91,Triagem!$A$2:$A451,0))</f>
        <v>abrir</v>
      </c>
      <c r="C91" s="20">
        <f t="array" ref="C91">INDEX(Triagem!$B$2:$B451 , MATCH(A91,Triagem!$A$2:$A451,0))</f>
        <v>2011</v>
      </c>
      <c r="D91" s="2" t="s">
        <v>1801</v>
      </c>
      <c r="E91" s="2" t="s">
        <v>1802</v>
      </c>
      <c r="F91" s="2" t="str">
        <f t="array" ref="F91">IFERROR(INDEX(Triagem!$I$2:$I$451,MATCH($A91,Triagem!$A$2:$A$451,0))&amp;"","")</f>
        <v>Excluir</v>
      </c>
      <c r="G91" s="2" t="str">
        <f t="array" ref="G91">IFERROR(INDEX('Revisão_Gemini'!$H$7:$H$456,MATCH($A91,'Revisão_Gemini'!$A$7:$A$456,0))&amp;"","")</f>
        <v>Excluir</v>
      </c>
      <c r="H91" s="2" t="str">
        <f t="array" ref="H91">IFERROR(INDEX('Revisão_ChatGPT'!$H$7:$H$456,MATCH($A91,'Revisão_ChatGPT'!$A$7:$A$456,0))&amp;"","")</f>
        <v>Excluir</v>
      </c>
      <c r="I91" s="2" t="str">
        <f t="shared" si="1"/>
        <v>3/3</v>
      </c>
      <c r="J91" s="21"/>
      <c r="K91" s="21"/>
      <c r="L91" s="21"/>
      <c r="M91" s="22" t="b">
        <f t="shared" si="2"/>
        <v>0</v>
      </c>
      <c r="N91" s="21" t="s">
        <v>3197</v>
      </c>
      <c r="O91" s="2" t="str">
        <f t="shared" si="3"/>
        <v>Fora do recorte anual + Excluir</v>
      </c>
      <c r="P91" s="2" t="str">
        <f t="array" ref="P91">IF(O91&lt;&gt;"Incluir","",IF(K91&lt;&gt;"",K91,IF(IFERROR(INDEX(Triagem!$J$2:$J$451,MATCH($A91,Triagem!$A$2:$A$451,0))&amp;"","")&lt;&gt;"",IFERROR(INDEX(Triagem!$J$2:$J$451,MATCH($A91,Triagem!$A$2:$A$451,0))&amp;"",""),IF(IFERROR(INDEX('Revisão_Gemini'!$I$7:$I$456,MATCH($A91,'Revisão_Gemini'!$A$7:$A$456,0))&amp;"","")&lt;&gt;"",IFERROR(INDEX('Revisão_Gemini'!$I$7:$I$456,MATCH($A91,'Revisão_Gemini'!$A$7:$A$456,0))&amp;"",""),IFERROR(INDEX('Revisão_ChatGPT'!$I$7:$I$456,MATCH($A91,'Revisão_ChatGPT'!$A$7:$A$456,0))&amp;"","")))))</f>
        <v/>
      </c>
      <c r="Q91" s="2" t="str">
        <f t="array" ref="Q91">IF(O91&lt;&gt;"Excluir","",IF(L91&lt;&gt;"",L91,IF(F91="Excluir",IFERROR(INDEX(Triagem!$K$2:$K$451,MATCH($A91,Triagem!$A$2:$A$451,0))&amp;"",""),IF(G91="Excluir",IFERROR(INDEX('Revisão_Gemini'!$J$7:$J$456,MATCH($A91,'Revisão_Gemini'!$A$7:$A$456,0))&amp;"",""),IFERROR(INDEX('Revisão_ChatGPT'!$J$7:$J$456,MATCH($A91,'Revisão_ChatGPT'!$A$7:$A$456,0))&amp;"","")))))</f>
        <v/>
      </c>
    </row>
    <row r="92" ht="15.75" customHeight="1">
      <c r="A92" s="2" t="s">
        <v>1416</v>
      </c>
      <c r="B92" s="19" t="str">
        <f t="array" ref="B92">INDEX(Triagem!$N$2:$N451 , MATCH(A92,Triagem!$A$2:$A451,0))</f>
        <v>abrir</v>
      </c>
      <c r="C92" s="20">
        <f t="array" ref="C92">INDEX(Triagem!$B$2:$B451 , MATCH(A92,Triagem!$A$2:$A451,0))</f>
        <v>2011</v>
      </c>
      <c r="D92" s="2" t="s">
        <v>1418</v>
      </c>
      <c r="E92" s="2" t="s">
        <v>1419</v>
      </c>
      <c r="F92" s="2" t="str">
        <f t="array" ref="F92">IFERROR(INDEX(Triagem!$I$2:$I$451,MATCH($A92,Triagem!$A$2:$A$451,0))&amp;"","")</f>
        <v>Excluir</v>
      </c>
      <c r="G92" s="2" t="str">
        <f t="array" ref="G92">IFERROR(INDEX('Revisão_Gemini'!$H$7:$H$456,MATCH($A92,'Revisão_Gemini'!$A$7:$A$456,0))&amp;"","")</f>
        <v>Excluir</v>
      </c>
      <c r="H92" s="2" t="str">
        <f t="array" ref="H92">IFERROR(INDEX('Revisão_ChatGPT'!$H$7:$H$456,MATCH($A92,'Revisão_ChatGPT'!$A$7:$A$456,0))&amp;"","")</f>
        <v>Excluir</v>
      </c>
      <c r="I92" s="2" t="str">
        <f t="shared" si="1"/>
        <v>3/3</v>
      </c>
      <c r="J92" s="21"/>
      <c r="K92" s="21"/>
      <c r="L92" s="21"/>
      <c r="M92" s="22" t="b">
        <f t="shared" si="2"/>
        <v>0</v>
      </c>
      <c r="N92" s="21" t="s">
        <v>3198</v>
      </c>
      <c r="O92" s="2" t="str">
        <f t="shared" si="3"/>
        <v>Fora do recorte anual + Excluir</v>
      </c>
      <c r="P92" s="2" t="str">
        <f t="array" ref="P92">IF(O92&lt;&gt;"Incluir","",IF(K92&lt;&gt;"",K92,IF(IFERROR(INDEX(Triagem!$J$2:$J$451,MATCH($A92,Triagem!$A$2:$A$451,0))&amp;"","")&lt;&gt;"",IFERROR(INDEX(Triagem!$J$2:$J$451,MATCH($A92,Triagem!$A$2:$A$451,0))&amp;"",""),IF(IFERROR(INDEX('Revisão_Gemini'!$I$7:$I$456,MATCH($A92,'Revisão_Gemini'!$A$7:$A$456,0))&amp;"","")&lt;&gt;"",IFERROR(INDEX('Revisão_Gemini'!$I$7:$I$456,MATCH($A92,'Revisão_Gemini'!$A$7:$A$456,0))&amp;"",""),IFERROR(INDEX('Revisão_ChatGPT'!$I$7:$I$456,MATCH($A92,'Revisão_ChatGPT'!$A$7:$A$456,0))&amp;"","")))))</f>
        <v/>
      </c>
      <c r="Q92" s="2" t="str">
        <f t="array" ref="Q92">IF(O92&lt;&gt;"Excluir","",IF(L92&lt;&gt;"",L92,IF(F92="Excluir",IFERROR(INDEX(Triagem!$K$2:$K$451,MATCH($A92,Triagem!$A$2:$A$451,0))&amp;"",""),IF(G92="Excluir",IFERROR(INDEX('Revisão_Gemini'!$J$7:$J$456,MATCH($A92,'Revisão_Gemini'!$A$7:$A$456,0))&amp;"",""),IFERROR(INDEX('Revisão_ChatGPT'!$J$7:$J$456,MATCH($A92,'Revisão_ChatGPT'!$A$7:$A$456,0))&amp;"","")))))</f>
        <v/>
      </c>
    </row>
    <row r="93" ht="15.75" customHeight="1">
      <c r="A93" s="2" t="s">
        <v>2043</v>
      </c>
      <c r="B93" s="19" t="str">
        <f t="array" ref="B93">INDEX(Triagem!$N$2:$N451 , MATCH(A93,Triagem!$A$2:$A451,0))</f>
        <v>abrir</v>
      </c>
      <c r="C93" s="20">
        <f t="array" ref="C93">INDEX(Triagem!$B$2:$B451 , MATCH(A93,Triagem!$A$2:$A451,0))</f>
        <v>2012</v>
      </c>
      <c r="D93" s="2" t="s">
        <v>2045</v>
      </c>
      <c r="E93" s="2" t="s">
        <v>2046</v>
      </c>
      <c r="F93" s="2" t="str">
        <f t="array" ref="F93">IFERROR(INDEX(Triagem!$I$2:$I$451,MATCH($A93,Triagem!$A$2:$A$451,0))&amp;"","")</f>
        <v>Excluir</v>
      </c>
      <c r="G93" s="2" t="str">
        <f t="array" ref="G93">IFERROR(INDEX('Revisão_Gemini'!$H$7:$H$456,MATCH($A93,'Revisão_Gemini'!$A$7:$A$456,0))&amp;"","")</f>
        <v>Excluir</v>
      </c>
      <c r="H93" s="2" t="str">
        <f t="array" ref="H93">IFERROR(INDEX('Revisão_ChatGPT'!$H$7:$H$456,MATCH($A93,'Revisão_ChatGPT'!$A$7:$A$456,0))&amp;"","")</f>
        <v>Excluir</v>
      </c>
      <c r="I93" s="2" t="str">
        <f t="shared" si="1"/>
        <v>3/3</v>
      </c>
      <c r="J93" s="21"/>
      <c r="K93" s="21"/>
      <c r="L93" s="21"/>
      <c r="M93" s="22" t="b">
        <f t="shared" si="2"/>
        <v>0</v>
      </c>
      <c r="N93" s="21" t="s">
        <v>3199</v>
      </c>
      <c r="O93" s="2" t="str">
        <f t="shared" si="3"/>
        <v>Fora do recorte anual + Excluir</v>
      </c>
      <c r="P93" s="2" t="str">
        <f t="array" ref="P93">IF(O93&lt;&gt;"Incluir","",IF(K93&lt;&gt;"",K93,IF(IFERROR(INDEX(Triagem!$J$2:$J$451,MATCH($A93,Triagem!$A$2:$A$451,0))&amp;"","")&lt;&gt;"",IFERROR(INDEX(Triagem!$J$2:$J$451,MATCH($A93,Triagem!$A$2:$A$451,0))&amp;"",""),IF(IFERROR(INDEX('Revisão_Gemini'!$I$7:$I$456,MATCH($A93,'Revisão_Gemini'!$A$7:$A$456,0))&amp;"","")&lt;&gt;"",IFERROR(INDEX('Revisão_Gemini'!$I$7:$I$456,MATCH($A93,'Revisão_Gemini'!$A$7:$A$456,0))&amp;"",""),IFERROR(INDEX('Revisão_ChatGPT'!$I$7:$I$456,MATCH($A93,'Revisão_ChatGPT'!$A$7:$A$456,0))&amp;"","")))))</f>
        <v/>
      </c>
      <c r="Q93" s="2" t="str">
        <f t="array" ref="Q93">IF(O93&lt;&gt;"Excluir","",IF(L93&lt;&gt;"",L93,IF(F93="Excluir",IFERROR(INDEX(Triagem!$K$2:$K$451,MATCH($A93,Triagem!$A$2:$A$451,0))&amp;"",""),IF(G93="Excluir",IFERROR(INDEX('Revisão_Gemini'!$J$7:$J$456,MATCH($A93,'Revisão_Gemini'!$A$7:$A$456,0))&amp;"",""),IFERROR(INDEX('Revisão_ChatGPT'!$J$7:$J$456,MATCH($A93,'Revisão_ChatGPT'!$A$7:$A$456,0))&amp;"","")))))</f>
        <v/>
      </c>
    </row>
    <row r="94" ht="15.75" customHeight="1">
      <c r="A94" s="2" t="s">
        <v>581</v>
      </c>
      <c r="B94" s="19" t="str">
        <f t="array" ref="B94">INDEX(Triagem!$N$2:$N451 , MATCH(A94,Triagem!$A$2:$A451,0))</f>
        <v>abrir</v>
      </c>
      <c r="C94" s="20">
        <f t="array" ref="C94">INDEX(Triagem!$B$2:$B451 , MATCH(A94,Triagem!$A$2:$A451,0))</f>
        <v>2011</v>
      </c>
      <c r="D94" s="2" t="s">
        <v>583</v>
      </c>
      <c r="E94" s="2" t="s">
        <v>584</v>
      </c>
      <c r="F94" s="2" t="str">
        <f t="array" ref="F94">IFERROR(INDEX(Triagem!$I$2:$I$451,MATCH($A94,Triagem!$A$2:$A$451,0))&amp;"","")</f>
        <v>Incluir</v>
      </c>
      <c r="G94" s="2" t="str">
        <f t="array" ref="G94">IFERROR(INDEX('Revisão_Gemini'!$H$7:$H$456,MATCH($A94,'Revisão_Gemini'!$A$7:$A$456,0))&amp;"","")</f>
        <v>Incluir</v>
      </c>
      <c r="H94" s="2" t="str">
        <f t="array" ref="H94">IFERROR(INDEX('Revisão_ChatGPT'!$H$7:$H$456,MATCH($A94,'Revisão_ChatGPT'!$A$7:$A$456,0))&amp;"","")</f>
        <v>Incluir</v>
      </c>
      <c r="I94" s="2" t="str">
        <f t="shared" si="1"/>
        <v>3/3</v>
      </c>
      <c r="J94" s="21"/>
      <c r="K94" s="21"/>
      <c r="L94" s="21"/>
      <c r="M94" s="22" t="b">
        <f t="shared" si="2"/>
        <v>0</v>
      </c>
      <c r="N94" s="21"/>
      <c r="O94" s="2" t="str">
        <f t="shared" si="3"/>
        <v>Fora do recorte anual + Incluir</v>
      </c>
      <c r="P94" s="2" t="str">
        <f t="array" ref="P94">IF(O94&lt;&gt;"Incluir","",IF(K94&lt;&gt;"",K94,IF(IFERROR(INDEX(Triagem!$J$2:$J$451,MATCH($A94,Triagem!$A$2:$A$451,0))&amp;"","")&lt;&gt;"",IFERROR(INDEX(Triagem!$J$2:$J$451,MATCH($A94,Triagem!$A$2:$A$451,0))&amp;"",""),IF(IFERROR(INDEX('Revisão_Gemini'!$I$7:$I$456,MATCH($A94,'Revisão_Gemini'!$A$7:$A$456,0))&amp;"","")&lt;&gt;"",IFERROR(INDEX('Revisão_Gemini'!$I$7:$I$456,MATCH($A94,'Revisão_Gemini'!$A$7:$A$456,0))&amp;"",""),IFERROR(INDEX('Revisão_ChatGPT'!$I$7:$I$456,MATCH($A94,'Revisão_ChatGPT'!$A$7:$A$456,0))&amp;"","")))))</f>
        <v/>
      </c>
      <c r="Q94" s="2" t="str">
        <f t="array" ref="Q94">IF(O94&lt;&gt;"Excluir","",IF(L94&lt;&gt;"",L94,IF(F94="Excluir",IFERROR(INDEX(Triagem!$K$2:$K$451,MATCH($A94,Triagem!$A$2:$A$451,0))&amp;"",""),IF(G94="Excluir",IFERROR(INDEX('Revisão_Gemini'!$J$7:$J$456,MATCH($A94,'Revisão_Gemini'!$A$7:$A$456,0))&amp;"",""),IFERROR(INDEX('Revisão_ChatGPT'!$J$7:$J$456,MATCH($A94,'Revisão_ChatGPT'!$A$7:$A$456,0))&amp;"","")))))</f>
        <v/>
      </c>
    </row>
    <row r="95" ht="15.75" customHeight="1">
      <c r="A95" s="2" t="s">
        <v>1803</v>
      </c>
      <c r="B95" s="19" t="str">
        <f t="array" ref="B95">INDEX(Triagem!$N$2:$N451 , MATCH(A95,Triagem!$A$2:$A451,0))</f>
        <v>abrir</v>
      </c>
      <c r="C95" s="20">
        <f t="array" ref="C95">INDEX(Triagem!$B$2:$B451 , MATCH(A95,Triagem!$A$2:$A451,0))</f>
        <v>2011</v>
      </c>
      <c r="D95" s="2" t="s">
        <v>1805</v>
      </c>
      <c r="E95" s="2" t="s">
        <v>1806</v>
      </c>
      <c r="F95" s="2" t="str">
        <f t="array" ref="F95">IFERROR(INDEX(Triagem!$I$2:$I$451,MATCH($A95,Triagem!$A$2:$A$451,0))&amp;"","")</f>
        <v>Excluir</v>
      </c>
      <c r="G95" s="2" t="str">
        <f t="array" ref="G95">IFERROR(INDEX('Revisão_Gemini'!$H$7:$H$456,MATCH($A95,'Revisão_Gemini'!$A$7:$A$456,0))&amp;"","")</f>
        <v>Excluir</v>
      </c>
      <c r="H95" s="2" t="str">
        <f t="array" ref="H95">IFERROR(INDEX('Revisão_ChatGPT'!$H$7:$H$456,MATCH($A95,'Revisão_ChatGPT'!$A$7:$A$456,0))&amp;"","")</f>
        <v>Excluir</v>
      </c>
      <c r="I95" s="2" t="str">
        <f t="shared" si="1"/>
        <v>3/3</v>
      </c>
      <c r="J95" s="21"/>
      <c r="K95" s="21"/>
      <c r="L95" s="21"/>
      <c r="M95" s="22" t="b">
        <f t="shared" si="2"/>
        <v>0</v>
      </c>
      <c r="N95" s="21" t="s">
        <v>3200</v>
      </c>
      <c r="O95" s="2" t="str">
        <f t="shared" si="3"/>
        <v>Fora do recorte anual + Excluir</v>
      </c>
      <c r="P95" s="2" t="str">
        <f t="array" ref="P95">IF(O95&lt;&gt;"Incluir","",IF(K95&lt;&gt;"",K95,IF(IFERROR(INDEX(Triagem!$J$2:$J$451,MATCH($A95,Triagem!$A$2:$A$451,0))&amp;"","")&lt;&gt;"",IFERROR(INDEX(Triagem!$J$2:$J$451,MATCH($A95,Triagem!$A$2:$A$451,0))&amp;"",""),IF(IFERROR(INDEX('Revisão_Gemini'!$I$7:$I$456,MATCH($A95,'Revisão_Gemini'!$A$7:$A$456,0))&amp;"","")&lt;&gt;"",IFERROR(INDEX('Revisão_Gemini'!$I$7:$I$456,MATCH($A95,'Revisão_Gemini'!$A$7:$A$456,0))&amp;"",""),IFERROR(INDEX('Revisão_ChatGPT'!$I$7:$I$456,MATCH($A95,'Revisão_ChatGPT'!$A$7:$A$456,0))&amp;"","")))))</f>
        <v/>
      </c>
      <c r="Q95" s="2" t="str">
        <f t="array" ref="Q95">IF(O95&lt;&gt;"Excluir","",IF(L95&lt;&gt;"",L95,IF(F95="Excluir",IFERROR(INDEX(Triagem!$K$2:$K$451,MATCH($A95,Triagem!$A$2:$A$451,0))&amp;"",""),IF(G95="Excluir",IFERROR(INDEX('Revisão_Gemini'!$J$7:$J$456,MATCH($A95,'Revisão_Gemini'!$A$7:$A$456,0))&amp;"",""),IFERROR(INDEX('Revisão_ChatGPT'!$J$7:$J$456,MATCH($A95,'Revisão_ChatGPT'!$A$7:$A$456,0))&amp;"","")))))</f>
        <v/>
      </c>
    </row>
    <row r="96" ht="15.75" customHeight="1">
      <c r="A96" s="2" t="s">
        <v>1807</v>
      </c>
      <c r="B96" s="19" t="str">
        <f t="array" ref="B96">INDEX(Triagem!$N$2:$N451 , MATCH(A96,Triagem!$A$2:$A451,0))</f>
        <v>abrir</v>
      </c>
      <c r="C96" s="20">
        <f t="array" ref="C96">INDEX(Triagem!$B$2:$B451 , MATCH(A96,Triagem!$A$2:$A451,0))</f>
        <v>2011</v>
      </c>
      <c r="D96" s="2" t="s">
        <v>1809</v>
      </c>
      <c r="E96" s="2" t="s">
        <v>1810</v>
      </c>
      <c r="F96" s="2" t="str">
        <f t="array" ref="F96">IFERROR(INDEX(Triagem!$I$2:$I$451,MATCH($A96,Triagem!$A$2:$A$451,0))&amp;"","")</f>
        <v>Excluir</v>
      </c>
      <c r="G96" s="2" t="str">
        <f t="array" ref="G96">IFERROR(INDEX('Revisão_Gemini'!$H$7:$H$456,MATCH($A96,'Revisão_Gemini'!$A$7:$A$456,0))&amp;"","")</f>
        <v>Excluir</v>
      </c>
      <c r="H96" s="2" t="str">
        <f t="array" ref="H96">IFERROR(INDEX('Revisão_ChatGPT'!$H$7:$H$456,MATCH($A96,'Revisão_ChatGPT'!$A$7:$A$456,0))&amp;"","")</f>
        <v>Excluir</v>
      </c>
      <c r="I96" s="2" t="str">
        <f t="shared" si="1"/>
        <v>3/3</v>
      </c>
      <c r="J96" s="21"/>
      <c r="K96" s="21"/>
      <c r="L96" s="21"/>
      <c r="M96" s="22" t="b">
        <f t="shared" si="2"/>
        <v>0</v>
      </c>
      <c r="N96" s="21"/>
      <c r="O96" s="2" t="str">
        <f t="shared" si="3"/>
        <v>Fora do recorte anual + Excluir</v>
      </c>
      <c r="P96" s="2" t="str">
        <f t="array" ref="P96">IF(O96&lt;&gt;"Incluir","",IF(K96&lt;&gt;"",K96,IF(IFERROR(INDEX(Triagem!$J$2:$J$451,MATCH($A96,Triagem!$A$2:$A$451,0))&amp;"","")&lt;&gt;"",IFERROR(INDEX(Triagem!$J$2:$J$451,MATCH($A96,Triagem!$A$2:$A$451,0))&amp;"",""),IF(IFERROR(INDEX('Revisão_Gemini'!$I$7:$I$456,MATCH($A96,'Revisão_Gemini'!$A$7:$A$456,0))&amp;"","")&lt;&gt;"",IFERROR(INDEX('Revisão_Gemini'!$I$7:$I$456,MATCH($A96,'Revisão_Gemini'!$A$7:$A$456,0))&amp;"",""),IFERROR(INDEX('Revisão_ChatGPT'!$I$7:$I$456,MATCH($A96,'Revisão_ChatGPT'!$A$7:$A$456,0))&amp;"","")))))</f>
        <v/>
      </c>
      <c r="Q96" s="2" t="str">
        <f t="array" ref="Q96">IF(O96&lt;&gt;"Excluir","",IF(L96&lt;&gt;"",L96,IF(F96="Excluir",IFERROR(INDEX(Triagem!$K$2:$K$451,MATCH($A96,Triagem!$A$2:$A$451,0))&amp;"",""),IF(G96="Excluir",IFERROR(INDEX('Revisão_Gemini'!$J$7:$J$456,MATCH($A96,'Revisão_Gemini'!$A$7:$A$456,0))&amp;"",""),IFERROR(INDEX('Revisão_ChatGPT'!$J$7:$J$456,MATCH($A96,'Revisão_ChatGPT'!$A$7:$A$456,0))&amp;"","")))))</f>
        <v/>
      </c>
    </row>
    <row r="97" ht="15.75" customHeight="1">
      <c r="A97" s="2" t="s">
        <v>974</v>
      </c>
      <c r="B97" s="19" t="str">
        <f t="array" ref="B97">INDEX(Triagem!$N$2:$N451 , MATCH(A97,Triagem!$A$2:$A451,0))</f>
        <v>abrir</v>
      </c>
      <c r="C97" s="20">
        <f t="array" ref="C97">INDEX(Triagem!$B$2:$B451 , MATCH(A97,Triagem!$A$2:$A451,0))</f>
        <v>2011</v>
      </c>
      <c r="D97" s="2" t="s">
        <v>976</v>
      </c>
      <c r="E97" s="2" t="s">
        <v>977</v>
      </c>
      <c r="F97" s="2" t="str">
        <f t="array" ref="F97">IFERROR(INDEX(Triagem!$I$2:$I$451,MATCH($A97,Triagem!$A$2:$A$451,0))&amp;"","")</f>
        <v>Excluir</v>
      </c>
      <c r="G97" s="2" t="str">
        <f t="array" ref="G97">IFERROR(INDEX('Revisão_Gemini'!$H$7:$H$456,MATCH($A97,'Revisão_Gemini'!$A$7:$A$456,0))&amp;"","")</f>
        <v>Excluir</v>
      </c>
      <c r="H97" s="2" t="str">
        <f t="array" ref="H97">IFERROR(INDEX('Revisão_ChatGPT'!$H$7:$H$456,MATCH($A97,'Revisão_ChatGPT'!$A$7:$A$456,0))&amp;"","")</f>
        <v>Excluir</v>
      </c>
      <c r="I97" s="2" t="str">
        <f t="shared" si="1"/>
        <v>3/3</v>
      </c>
      <c r="J97" s="21"/>
      <c r="K97" s="21"/>
      <c r="L97" s="21"/>
      <c r="M97" s="22" t="b">
        <f t="shared" si="2"/>
        <v>0</v>
      </c>
      <c r="N97" s="21" t="s">
        <v>3201</v>
      </c>
      <c r="O97" s="2" t="str">
        <f t="shared" si="3"/>
        <v>Fora do recorte anual + Excluir</v>
      </c>
      <c r="P97" s="2" t="str">
        <f t="array" ref="P97">IF(O97&lt;&gt;"Incluir","",IF(K97&lt;&gt;"",K97,IF(IFERROR(INDEX(Triagem!$J$2:$J$451,MATCH($A97,Triagem!$A$2:$A$451,0))&amp;"","")&lt;&gt;"",IFERROR(INDEX(Triagem!$J$2:$J$451,MATCH($A97,Triagem!$A$2:$A$451,0))&amp;"",""),IF(IFERROR(INDEX('Revisão_Gemini'!$I$7:$I$456,MATCH($A97,'Revisão_Gemini'!$A$7:$A$456,0))&amp;"","")&lt;&gt;"",IFERROR(INDEX('Revisão_Gemini'!$I$7:$I$456,MATCH($A97,'Revisão_Gemini'!$A$7:$A$456,0))&amp;"",""),IFERROR(INDEX('Revisão_ChatGPT'!$I$7:$I$456,MATCH($A97,'Revisão_ChatGPT'!$A$7:$A$456,0))&amp;"","")))))</f>
        <v/>
      </c>
      <c r="Q97" s="2" t="str">
        <f t="array" ref="Q97">IF(O97&lt;&gt;"Excluir","",IF(L97&lt;&gt;"",L97,IF(F97="Excluir",IFERROR(INDEX(Triagem!$K$2:$K$451,MATCH($A97,Triagem!$A$2:$A$451,0))&amp;"",""),IF(G97="Excluir",IFERROR(INDEX('Revisão_Gemini'!$J$7:$J$456,MATCH($A97,'Revisão_Gemini'!$A$7:$A$456,0))&amp;"",""),IFERROR(INDEX('Revisão_ChatGPT'!$J$7:$J$456,MATCH($A97,'Revisão_ChatGPT'!$A$7:$A$456,0))&amp;"","")))))</f>
        <v/>
      </c>
    </row>
    <row r="98" ht="15.75" customHeight="1">
      <c r="A98" s="2" t="s">
        <v>1429</v>
      </c>
      <c r="B98" s="19" t="str">
        <f t="array" ref="B98">INDEX(Triagem!$N$2:$N451 , MATCH(A98,Triagem!$A$2:$A451,0))</f>
        <v>abrir</v>
      </c>
      <c r="C98" s="20">
        <f t="array" ref="C98">INDEX(Triagem!$B$2:$B451 , MATCH(A98,Triagem!$A$2:$A451,0))</f>
        <v>2010</v>
      </c>
      <c r="D98" s="2" t="s">
        <v>1431</v>
      </c>
      <c r="E98" s="2" t="s">
        <v>1432</v>
      </c>
      <c r="F98" s="2" t="str">
        <f t="array" ref="F98">IFERROR(INDEX(Triagem!$I$2:$I$451,MATCH($A98,Triagem!$A$2:$A$451,0))&amp;"","")</f>
        <v>Excluir</v>
      </c>
      <c r="G98" s="2" t="str">
        <f t="array" ref="G98">IFERROR(INDEX('Revisão_Gemini'!$H$7:$H$456,MATCH($A98,'Revisão_Gemini'!$A$7:$A$456,0))&amp;"","")</f>
        <v>Excluir</v>
      </c>
      <c r="H98" s="2" t="str">
        <f t="array" ref="H98">IFERROR(INDEX('Revisão_ChatGPT'!$H$7:$H$456,MATCH($A98,'Revisão_ChatGPT'!$A$7:$A$456,0))&amp;"","")</f>
        <v>Excluir</v>
      </c>
      <c r="I98" s="2" t="str">
        <f t="shared" si="1"/>
        <v>3/3</v>
      </c>
      <c r="J98" s="21"/>
      <c r="K98" s="21"/>
      <c r="L98" s="21"/>
      <c r="M98" s="22" t="b">
        <f t="shared" si="2"/>
        <v>0</v>
      </c>
      <c r="N98" s="21" t="s">
        <v>3202</v>
      </c>
      <c r="O98" s="2" t="str">
        <f t="shared" si="3"/>
        <v>Fora do recorte anual + Excluir</v>
      </c>
      <c r="P98" s="2" t="str">
        <f t="array" ref="P98">IF(O98&lt;&gt;"Incluir","",IF(K98&lt;&gt;"",K98,IF(IFERROR(INDEX(Triagem!$J$2:$J$451,MATCH($A98,Triagem!$A$2:$A$451,0))&amp;"","")&lt;&gt;"",IFERROR(INDEX(Triagem!$J$2:$J$451,MATCH($A98,Triagem!$A$2:$A$451,0))&amp;"",""),IF(IFERROR(INDEX('Revisão_Gemini'!$I$7:$I$456,MATCH($A98,'Revisão_Gemini'!$A$7:$A$456,0))&amp;"","")&lt;&gt;"",IFERROR(INDEX('Revisão_Gemini'!$I$7:$I$456,MATCH($A98,'Revisão_Gemini'!$A$7:$A$456,0))&amp;"",""),IFERROR(INDEX('Revisão_ChatGPT'!$I$7:$I$456,MATCH($A98,'Revisão_ChatGPT'!$A$7:$A$456,0))&amp;"","")))))</f>
        <v/>
      </c>
      <c r="Q98" s="2" t="str">
        <f t="array" ref="Q98">IF(O98&lt;&gt;"Excluir","",IF(L98&lt;&gt;"",L98,IF(F98="Excluir",IFERROR(INDEX(Triagem!$K$2:$K$451,MATCH($A98,Triagem!$A$2:$A$451,0))&amp;"",""),IF(G98="Excluir",IFERROR(INDEX('Revisão_Gemini'!$J$7:$J$456,MATCH($A98,'Revisão_Gemini'!$A$7:$A$456,0))&amp;"",""),IFERROR(INDEX('Revisão_ChatGPT'!$J$7:$J$456,MATCH($A98,'Revisão_ChatGPT'!$A$7:$A$456,0))&amp;"","")))))</f>
        <v/>
      </c>
    </row>
    <row r="99" ht="15.75" customHeight="1">
      <c r="A99" s="2" t="s">
        <v>585</v>
      </c>
      <c r="B99" s="19" t="str">
        <f t="array" ref="B99">INDEX(Triagem!$N$2:$N451 , MATCH(A99,Triagem!$A$2:$A451,0))</f>
        <v>abrir</v>
      </c>
      <c r="C99" s="20">
        <f t="array" ref="C99">INDEX(Triagem!$B$2:$B451 , MATCH(A99,Triagem!$A$2:$A451,0))</f>
        <v>2011</v>
      </c>
      <c r="D99" s="2" t="s">
        <v>587</v>
      </c>
      <c r="E99" s="2" t="s">
        <v>588</v>
      </c>
      <c r="F99" s="2" t="str">
        <f t="array" ref="F99">IFERROR(INDEX(Triagem!$I$2:$I$451,MATCH($A99,Triagem!$A$2:$A$451,0))&amp;"","")</f>
        <v>Incluir</v>
      </c>
      <c r="G99" s="2" t="str">
        <f t="array" ref="G99">IFERROR(INDEX('Revisão_Gemini'!$H$7:$H$456,MATCH($A99,'Revisão_Gemini'!$A$7:$A$456,0))&amp;"","")</f>
        <v>Incluir</v>
      </c>
      <c r="H99" s="2" t="str">
        <f t="array" ref="H99">IFERROR(INDEX('Revisão_ChatGPT'!$H$7:$H$456,MATCH($A99,'Revisão_ChatGPT'!$A$7:$A$456,0))&amp;"","")</f>
        <v>Incluir</v>
      </c>
      <c r="I99" s="2" t="str">
        <f t="shared" si="1"/>
        <v>3/3</v>
      </c>
      <c r="J99" s="21"/>
      <c r="K99" s="21"/>
      <c r="L99" s="21"/>
      <c r="M99" s="22" t="b">
        <f t="shared" si="2"/>
        <v>0</v>
      </c>
      <c r="N99" s="21"/>
      <c r="O99" s="2" t="str">
        <f t="shared" si="3"/>
        <v>Fora do recorte anual + Incluir</v>
      </c>
      <c r="P99" s="2" t="str">
        <f t="array" ref="P99">IF(O99&lt;&gt;"Incluir","",IF(K99&lt;&gt;"",K99,IF(IFERROR(INDEX(Triagem!$J$2:$J$451,MATCH($A99,Triagem!$A$2:$A$451,0))&amp;"","")&lt;&gt;"",IFERROR(INDEX(Triagem!$J$2:$J$451,MATCH($A99,Triagem!$A$2:$A$451,0))&amp;"",""),IF(IFERROR(INDEX('Revisão_Gemini'!$I$7:$I$456,MATCH($A99,'Revisão_Gemini'!$A$7:$A$456,0))&amp;"","")&lt;&gt;"",IFERROR(INDEX('Revisão_Gemini'!$I$7:$I$456,MATCH($A99,'Revisão_Gemini'!$A$7:$A$456,0))&amp;"",""),IFERROR(INDEX('Revisão_ChatGPT'!$I$7:$I$456,MATCH($A99,'Revisão_ChatGPT'!$A$7:$A$456,0))&amp;"","")))))</f>
        <v/>
      </c>
      <c r="Q99" s="2" t="str">
        <f t="array" ref="Q99">IF(O99&lt;&gt;"Excluir","",IF(L99&lt;&gt;"",L99,IF(F99="Excluir",IFERROR(INDEX(Triagem!$K$2:$K$451,MATCH($A99,Triagem!$A$2:$A$451,0))&amp;"",""),IF(G99="Excluir",IFERROR(INDEX('Revisão_Gemini'!$J$7:$J$456,MATCH($A99,'Revisão_Gemini'!$A$7:$A$456,0))&amp;"",""),IFERROR(INDEX('Revisão_ChatGPT'!$J$7:$J$456,MATCH($A99,'Revisão_ChatGPT'!$A$7:$A$456,0))&amp;"","")))))</f>
        <v/>
      </c>
    </row>
    <row r="100" ht="15.75" customHeight="1">
      <c r="A100" s="2" t="s">
        <v>589</v>
      </c>
      <c r="B100" s="19" t="str">
        <f t="array" ref="B100">INDEX(Triagem!$N$2:$N451 , MATCH(A100,Triagem!$A$2:$A451,0))</f>
        <v>abrir</v>
      </c>
      <c r="C100" s="20">
        <f t="array" ref="C100">INDEX(Triagem!$B$2:$B451 , MATCH(A100,Triagem!$A$2:$A451,0))</f>
        <v>2011</v>
      </c>
      <c r="D100" s="2" t="s">
        <v>591</v>
      </c>
      <c r="E100" s="2" t="s">
        <v>592</v>
      </c>
      <c r="F100" s="2" t="str">
        <f t="array" ref="F100">IFERROR(INDEX(Triagem!$I$2:$I$451,MATCH($A100,Triagem!$A$2:$A$451,0))&amp;"","")</f>
        <v>Incluir</v>
      </c>
      <c r="G100" s="2" t="str">
        <f t="array" ref="G100">IFERROR(INDEX('Revisão_Gemini'!$H$7:$H$456,MATCH($A100,'Revisão_Gemini'!$A$7:$A$456,0))&amp;"","")</f>
        <v>Incluir</v>
      </c>
      <c r="H100" s="2" t="str">
        <f t="array" ref="H100">IFERROR(INDEX('Revisão_ChatGPT'!$H$7:$H$456,MATCH($A100,'Revisão_ChatGPT'!$A$7:$A$456,0))&amp;"","")</f>
        <v>Incluir</v>
      </c>
      <c r="I100" s="2" t="str">
        <f t="shared" si="1"/>
        <v>3/3</v>
      </c>
      <c r="J100" s="21"/>
      <c r="K100" s="21"/>
      <c r="L100" s="21"/>
      <c r="M100" s="22" t="b">
        <f t="shared" si="2"/>
        <v>0</v>
      </c>
      <c r="N100" s="21"/>
      <c r="O100" s="2" t="str">
        <f t="shared" si="3"/>
        <v>Fora do recorte anual + Incluir</v>
      </c>
      <c r="P100" s="2" t="str">
        <f t="array" ref="P100">IF(O100&lt;&gt;"Incluir","",IF(K100&lt;&gt;"",K100,IF(IFERROR(INDEX(Triagem!$J$2:$J$451,MATCH($A100,Triagem!$A$2:$A$451,0))&amp;"","")&lt;&gt;"",IFERROR(INDEX(Triagem!$J$2:$J$451,MATCH($A100,Triagem!$A$2:$A$451,0))&amp;"",""),IF(IFERROR(INDEX('Revisão_Gemini'!$I$7:$I$456,MATCH($A100,'Revisão_Gemini'!$A$7:$A$456,0))&amp;"","")&lt;&gt;"",IFERROR(INDEX('Revisão_Gemini'!$I$7:$I$456,MATCH($A100,'Revisão_Gemini'!$A$7:$A$456,0))&amp;"",""),IFERROR(INDEX('Revisão_ChatGPT'!$I$7:$I$456,MATCH($A100,'Revisão_ChatGPT'!$A$7:$A$456,0))&amp;"","")))))</f>
        <v/>
      </c>
      <c r="Q100" s="2" t="str">
        <f t="array" ref="Q100">IF(O100&lt;&gt;"Excluir","",IF(L100&lt;&gt;"",L100,IF(F100="Excluir",IFERROR(INDEX(Triagem!$K$2:$K$451,MATCH($A100,Triagem!$A$2:$A$451,0))&amp;"",""),IF(G100="Excluir",IFERROR(INDEX('Revisão_Gemini'!$J$7:$J$456,MATCH($A100,'Revisão_Gemini'!$A$7:$A$456,0))&amp;"",""),IFERROR(INDEX('Revisão_ChatGPT'!$J$7:$J$456,MATCH($A100,'Revisão_ChatGPT'!$A$7:$A$456,0))&amp;"","")))))</f>
        <v/>
      </c>
    </row>
    <row r="101" ht="15.75" customHeight="1">
      <c r="A101" s="2" t="s">
        <v>566</v>
      </c>
      <c r="B101" s="19" t="str">
        <f t="array" ref="B101">INDEX(Triagem!$N$2:$N451 , MATCH(A101,Triagem!$A$2:$A451,0))</f>
        <v>abrir</v>
      </c>
      <c r="C101" s="20">
        <f t="array" ref="C101">INDEX(Triagem!$B$2:$B451 , MATCH(A101,Triagem!$A$2:$A451,0))</f>
        <v>2012</v>
      </c>
      <c r="D101" s="2" t="s">
        <v>567</v>
      </c>
      <c r="E101" s="2" t="s">
        <v>568</v>
      </c>
      <c r="F101" s="2" t="str">
        <f t="array" ref="F101">IFERROR(INDEX(Triagem!$I$2:$I$451,MATCH($A101,Triagem!$A$2:$A$451,0))&amp;"","")</f>
        <v>Incluir</v>
      </c>
      <c r="G101" s="2" t="str">
        <f t="array" ref="G101">IFERROR(INDEX('Revisão_Gemini'!$H$7:$H$456,MATCH($A101,'Revisão_Gemini'!$A$7:$A$456,0))&amp;"","")</f>
        <v>Incluir</v>
      </c>
      <c r="H101" s="2" t="str">
        <f t="array" ref="H101">IFERROR(INDEX('Revisão_ChatGPT'!$H$7:$H$456,MATCH($A101,'Revisão_ChatGPT'!$A$7:$A$456,0))&amp;"","")</f>
        <v>Incluir</v>
      </c>
      <c r="I101" s="2" t="str">
        <f t="shared" si="1"/>
        <v>3/3</v>
      </c>
      <c r="J101" s="21"/>
      <c r="K101" s="21"/>
      <c r="L101" s="21"/>
      <c r="M101" s="22" t="b">
        <f t="shared" si="2"/>
        <v>0</v>
      </c>
      <c r="N101" s="21" t="s">
        <v>3203</v>
      </c>
      <c r="O101" s="2" t="str">
        <f t="shared" si="3"/>
        <v>Fora do recorte anual + Incluir</v>
      </c>
      <c r="P101" s="2" t="str">
        <f t="array" ref="P101">IF(O101&lt;&gt;"Incluir","",IF(K101&lt;&gt;"",K101,IF(IFERROR(INDEX(Triagem!$J$2:$J$451,MATCH($A101,Triagem!$A$2:$A$451,0))&amp;"","")&lt;&gt;"",IFERROR(INDEX(Triagem!$J$2:$J$451,MATCH($A101,Triagem!$A$2:$A$451,0))&amp;"",""),IF(IFERROR(INDEX('Revisão_Gemini'!$I$7:$I$456,MATCH($A101,'Revisão_Gemini'!$A$7:$A$456,0))&amp;"","")&lt;&gt;"",IFERROR(INDEX('Revisão_Gemini'!$I$7:$I$456,MATCH($A101,'Revisão_Gemini'!$A$7:$A$456,0))&amp;"",""),IFERROR(INDEX('Revisão_ChatGPT'!$I$7:$I$456,MATCH($A101,'Revisão_ChatGPT'!$A$7:$A$456,0))&amp;"","")))))</f>
        <v/>
      </c>
      <c r="Q101" s="2" t="str">
        <f t="array" ref="Q101">IF(O101&lt;&gt;"Excluir","",IF(L101&lt;&gt;"",L101,IF(F101="Excluir",IFERROR(INDEX(Triagem!$K$2:$K$451,MATCH($A101,Triagem!$A$2:$A$451,0))&amp;"",""),IF(G101="Excluir",IFERROR(INDEX('Revisão_Gemini'!$J$7:$J$456,MATCH($A101,'Revisão_Gemini'!$A$7:$A$456,0))&amp;"",""),IFERROR(INDEX('Revisão_ChatGPT'!$J$7:$J$456,MATCH($A101,'Revisão_ChatGPT'!$A$7:$A$456,0))&amp;"","")))))</f>
        <v/>
      </c>
    </row>
    <row r="102" ht="15.75" customHeight="1">
      <c r="A102" s="2" t="s">
        <v>1786</v>
      </c>
      <c r="B102" s="19" t="str">
        <f t="array" ref="B102">INDEX(Triagem!$N$2:$N451 , MATCH(A102,Triagem!$A$2:$A451,0))</f>
        <v>abrir</v>
      </c>
      <c r="C102" s="20">
        <f t="array" ref="C102">INDEX(Triagem!$B$2:$B451 , MATCH(A102,Triagem!$A$2:$A451,0))</f>
        <v>2012</v>
      </c>
      <c r="D102" s="2" t="s">
        <v>1788</v>
      </c>
      <c r="E102" s="2" t="s">
        <v>1789</v>
      </c>
      <c r="F102" s="2" t="str">
        <f t="array" ref="F102">IFERROR(INDEX(Triagem!$I$2:$I$451,MATCH($A102,Triagem!$A$2:$A$451,0))&amp;"","")</f>
        <v>Excluir</v>
      </c>
      <c r="G102" s="2" t="str">
        <f t="array" ref="G102">IFERROR(INDEX('Revisão_Gemini'!$H$7:$H$456,MATCH($A102,'Revisão_Gemini'!$A$7:$A$456,0))&amp;"","")</f>
        <v>Excluir</v>
      </c>
      <c r="H102" s="2" t="str">
        <f t="array" ref="H102">IFERROR(INDEX('Revisão_ChatGPT'!$H$7:$H$456,MATCH($A102,'Revisão_ChatGPT'!$A$7:$A$456,0))&amp;"","")</f>
        <v>Excluir</v>
      </c>
      <c r="I102" s="2" t="str">
        <f t="shared" si="1"/>
        <v>3/3</v>
      </c>
      <c r="J102" s="21"/>
      <c r="K102" s="21"/>
      <c r="L102" s="21"/>
      <c r="M102" s="22" t="b">
        <f t="shared" si="2"/>
        <v>0</v>
      </c>
      <c r="N102" s="21" t="s">
        <v>3204</v>
      </c>
      <c r="O102" s="2" t="str">
        <f t="shared" si="3"/>
        <v>Fora do recorte anual + Excluir</v>
      </c>
      <c r="P102" s="2" t="str">
        <f t="array" ref="P102">IF(O102&lt;&gt;"Incluir","",IF(K102&lt;&gt;"",K102,IF(IFERROR(INDEX(Triagem!$J$2:$J$451,MATCH($A102,Triagem!$A$2:$A$451,0))&amp;"","")&lt;&gt;"",IFERROR(INDEX(Triagem!$J$2:$J$451,MATCH($A102,Triagem!$A$2:$A$451,0))&amp;"",""),IF(IFERROR(INDEX('Revisão_Gemini'!$I$7:$I$456,MATCH($A102,'Revisão_Gemini'!$A$7:$A$456,0))&amp;"","")&lt;&gt;"",IFERROR(INDEX('Revisão_Gemini'!$I$7:$I$456,MATCH($A102,'Revisão_Gemini'!$A$7:$A$456,0))&amp;"",""),IFERROR(INDEX('Revisão_ChatGPT'!$I$7:$I$456,MATCH($A102,'Revisão_ChatGPT'!$A$7:$A$456,0))&amp;"","")))))</f>
        <v/>
      </c>
      <c r="Q102" s="2" t="str">
        <f t="array" ref="Q102">IF(O102&lt;&gt;"Excluir","",IF(L102&lt;&gt;"",L102,IF(F102="Excluir",IFERROR(INDEX(Triagem!$K$2:$K$451,MATCH($A102,Triagem!$A$2:$A$451,0))&amp;"",""),IF(G102="Excluir",IFERROR(INDEX('Revisão_Gemini'!$J$7:$J$456,MATCH($A102,'Revisão_Gemini'!$A$7:$A$456,0))&amp;"",""),IFERROR(INDEX('Revisão_ChatGPT'!$J$7:$J$456,MATCH($A102,'Revisão_ChatGPT'!$A$7:$A$456,0))&amp;"","")))))</f>
        <v/>
      </c>
    </row>
    <row r="103" ht="15.75" customHeight="1">
      <c r="A103" s="2" t="s">
        <v>569</v>
      </c>
      <c r="B103" s="19" t="str">
        <f t="array" ref="B103">INDEX(Triagem!$N$2:$N451 , MATCH(A103,Triagem!$A$2:$A451,0))</f>
        <v>abrir</v>
      </c>
      <c r="C103" s="20">
        <f t="array" ref="C103">INDEX(Triagem!$B$2:$B451 , MATCH(A103,Triagem!$A$2:$A451,0))</f>
        <v>2012</v>
      </c>
      <c r="D103" s="2" t="s">
        <v>570</v>
      </c>
      <c r="E103" s="2" t="s">
        <v>571</v>
      </c>
      <c r="F103" s="2" t="str">
        <f t="array" ref="F103">IFERROR(INDEX(Triagem!$I$2:$I$451,MATCH($A103,Triagem!$A$2:$A$451,0))&amp;"","")</f>
        <v>Incluir</v>
      </c>
      <c r="G103" s="2" t="str">
        <f t="array" ref="G103">IFERROR(INDEX('Revisão_Gemini'!$H$7:$H$456,MATCH($A103,'Revisão_Gemini'!$A$7:$A$456,0))&amp;"","")</f>
        <v>Incluir</v>
      </c>
      <c r="H103" s="2" t="str">
        <f t="array" ref="H103">IFERROR(INDEX('Revisão_ChatGPT'!$H$7:$H$456,MATCH($A103,'Revisão_ChatGPT'!$A$7:$A$456,0))&amp;"","")</f>
        <v>Incluir</v>
      </c>
      <c r="I103" s="2" t="str">
        <f t="shared" si="1"/>
        <v>3/3</v>
      </c>
      <c r="J103" s="21"/>
      <c r="K103" s="21"/>
      <c r="L103" s="21"/>
      <c r="M103" s="22" t="b">
        <f t="shared" si="2"/>
        <v>0</v>
      </c>
      <c r="N103" s="21" t="s">
        <v>3205</v>
      </c>
      <c r="O103" s="2" t="str">
        <f t="shared" si="3"/>
        <v>Fora do recorte anual + Incluir</v>
      </c>
      <c r="P103" s="2" t="str">
        <f t="array" ref="P103">IF(O103&lt;&gt;"Incluir","",IF(K103&lt;&gt;"",K103,IF(IFERROR(INDEX(Triagem!$J$2:$J$451,MATCH($A103,Triagem!$A$2:$A$451,0))&amp;"","")&lt;&gt;"",IFERROR(INDEX(Triagem!$J$2:$J$451,MATCH($A103,Triagem!$A$2:$A$451,0))&amp;"",""),IF(IFERROR(INDEX('Revisão_Gemini'!$I$7:$I$456,MATCH($A103,'Revisão_Gemini'!$A$7:$A$456,0))&amp;"","")&lt;&gt;"",IFERROR(INDEX('Revisão_Gemini'!$I$7:$I$456,MATCH($A103,'Revisão_Gemini'!$A$7:$A$456,0))&amp;"",""),IFERROR(INDEX('Revisão_ChatGPT'!$I$7:$I$456,MATCH($A103,'Revisão_ChatGPT'!$A$7:$A$456,0))&amp;"","")))))</f>
        <v/>
      </c>
      <c r="Q103" s="2" t="str">
        <f t="array" ref="Q103">IF(O103&lt;&gt;"Excluir","",IF(L103&lt;&gt;"",L103,IF(F103="Excluir",IFERROR(INDEX(Triagem!$K$2:$K$451,MATCH($A103,Triagem!$A$2:$A$451,0))&amp;"",""),IF(G103="Excluir",IFERROR(INDEX('Revisão_Gemini'!$J$7:$J$456,MATCH($A103,'Revisão_Gemini'!$A$7:$A$456,0))&amp;"",""),IFERROR(INDEX('Revisão_ChatGPT'!$J$7:$J$456,MATCH($A103,'Revisão_ChatGPT'!$A$7:$A$456,0))&amp;"","")))))</f>
        <v/>
      </c>
    </row>
    <row r="104" ht="15.75" customHeight="1">
      <c r="A104" s="2" t="s">
        <v>550</v>
      </c>
      <c r="B104" s="19" t="str">
        <f t="array" ref="B104">INDEX(Triagem!$N$2:$N451 , MATCH(A104,Triagem!$A$2:$A451,0))</f>
        <v>abrir</v>
      </c>
      <c r="C104" s="20">
        <f t="array" ref="C104">INDEX(Triagem!$B$2:$B451 , MATCH(A104,Triagem!$A$2:$A451,0))</f>
        <v>2013</v>
      </c>
      <c r="D104" s="2" t="s">
        <v>552</v>
      </c>
      <c r="E104" s="2" t="s">
        <v>553</v>
      </c>
      <c r="F104" s="2" t="str">
        <f t="array" ref="F104">IFERROR(INDEX(Triagem!$I$2:$I$451,MATCH($A104,Triagem!$A$2:$A$451,0))&amp;"","")</f>
        <v>Incluir</v>
      </c>
      <c r="G104" s="2" t="str">
        <f t="array" ref="G104">IFERROR(INDEX('Revisão_Gemini'!$H$7:$H$456,MATCH($A104,'Revisão_Gemini'!$A$7:$A$456,0))&amp;"","")</f>
        <v>Incluir</v>
      </c>
      <c r="H104" s="2" t="str">
        <f t="array" ref="H104">IFERROR(INDEX('Revisão_ChatGPT'!$H$7:$H$456,MATCH($A104,'Revisão_ChatGPT'!$A$7:$A$456,0))&amp;"","")</f>
        <v>Incluir</v>
      </c>
      <c r="I104" s="2" t="str">
        <f t="shared" si="1"/>
        <v>3/3</v>
      </c>
      <c r="J104" s="21"/>
      <c r="K104" s="21"/>
      <c r="L104" s="21"/>
      <c r="M104" s="22" t="b">
        <f t="shared" si="2"/>
        <v>0</v>
      </c>
      <c r="N104" s="21" t="s">
        <v>3206</v>
      </c>
      <c r="O104" s="2" t="str">
        <f t="shared" si="3"/>
        <v>Fora do recorte anual + Incluir</v>
      </c>
      <c r="P104" s="2" t="str">
        <f t="array" ref="P104">IF(O104&lt;&gt;"Incluir","",IF(K104&lt;&gt;"",K104,IF(IFERROR(INDEX(Triagem!$J$2:$J$451,MATCH($A104,Triagem!$A$2:$A$451,0))&amp;"","")&lt;&gt;"",IFERROR(INDEX(Triagem!$J$2:$J$451,MATCH($A104,Triagem!$A$2:$A$451,0))&amp;"",""),IF(IFERROR(INDEX('Revisão_Gemini'!$I$7:$I$456,MATCH($A104,'Revisão_Gemini'!$A$7:$A$456,0))&amp;"","")&lt;&gt;"",IFERROR(INDEX('Revisão_Gemini'!$I$7:$I$456,MATCH($A104,'Revisão_Gemini'!$A$7:$A$456,0))&amp;"",""),IFERROR(INDEX('Revisão_ChatGPT'!$I$7:$I$456,MATCH($A104,'Revisão_ChatGPT'!$A$7:$A$456,0))&amp;"","")))))</f>
        <v/>
      </c>
      <c r="Q104" s="2" t="str">
        <f t="array" ref="Q104">IF(O104&lt;&gt;"Excluir","",IF(L104&lt;&gt;"",L104,IF(F104="Excluir",IFERROR(INDEX(Triagem!$K$2:$K$451,MATCH($A104,Triagem!$A$2:$A$451,0))&amp;"",""),IF(G104="Excluir",IFERROR(INDEX('Revisão_Gemini'!$J$7:$J$456,MATCH($A104,'Revisão_Gemini'!$A$7:$A$456,0))&amp;"",""),IFERROR(INDEX('Revisão_ChatGPT'!$J$7:$J$456,MATCH($A104,'Revisão_ChatGPT'!$A$7:$A$456,0))&amp;"","")))))</f>
        <v/>
      </c>
    </row>
    <row r="105" ht="15.75" customHeight="1">
      <c r="A105" s="2" t="s">
        <v>964</v>
      </c>
      <c r="B105" s="19" t="str">
        <f t="array" ref="B105">INDEX(Triagem!$N$2:$N451 , MATCH(A105,Triagem!$A$2:$A451,0))</f>
        <v>abrir</v>
      </c>
      <c r="C105" s="20">
        <f t="array" ref="C105">INDEX(Triagem!$B$2:$B451 , MATCH(A105,Triagem!$A$2:$A451,0))</f>
        <v>2012</v>
      </c>
      <c r="D105" s="2" t="s">
        <v>966</v>
      </c>
      <c r="E105" s="2" t="s">
        <v>967</v>
      </c>
      <c r="F105" s="2" t="str">
        <f t="array" ref="F105">IFERROR(INDEX(Triagem!$I$2:$I$451,MATCH($A105,Triagem!$A$2:$A$451,0))&amp;"","")</f>
        <v>Excluir</v>
      </c>
      <c r="G105" s="2" t="str">
        <f t="array" ref="G105">IFERROR(INDEX('Revisão_Gemini'!$H$7:$H$456,MATCH($A105,'Revisão_Gemini'!$A$7:$A$456,0))&amp;"","")</f>
        <v>Excluir</v>
      </c>
      <c r="H105" s="2" t="str">
        <f t="array" ref="H105">IFERROR(INDEX('Revisão_ChatGPT'!$H$7:$H$456,MATCH($A105,'Revisão_ChatGPT'!$A$7:$A$456,0))&amp;"","")</f>
        <v>Excluir</v>
      </c>
      <c r="I105" s="2" t="str">
        <f t="shared" si="1"/>
        <v>3/3</v>
      </c>
      <c r="J105" s="21"/>
      <c r="K105" s="21"/>
      <c r="L105" s="21"/>
      <c r="M105" s="22" t="b">
        <f t="shared" si="2"/>
        <v>0</v>
      </c>
      <c r="N105" s="21"/>
      <c r="O105" s="2" t="str">
        <f t="shared" si="3"/>
        <v>Fora do recorte anual + Excluir</v>
      </c>
      <c r="P105" s="2" t="str">
        <f t="array" ref="P105">IF(O105&lt;&gt;"Incluir","",IF(K105&lt;&gt;"",K105,IF(IFERROR(INDEX(Triagem!$J$2:$J$451,MATCH($A105,Triagem!$A$2:$A$451,0))&amp;"","")&lt;&gt;"",IFERROR(INDEX(Triagem!$J$2:$J$451,MATCH($A105,Triagem!$A$2:$A$451,0))&amp;"",""),IF(IFERROR(INDEX('Revisão_Gemini'!$I$7:$I$456,MATCH($A105,'Revisão_Gemini'!$A$7:$A$456,0))&amp;"","")&lt;&gt;"",IFERROR(INDEX('Revisão_Gemini'!$I$7:$I$456,MATCH($A105,'Revisão_Gemini'!$A$7:$A$456,0))&amp;"",""),IFERROR(INDEX('Revisão_ChatGPT'!$I$7:$I$456,MATCH($A105,'Revisão_ChatGPT'!$A$7:$A$456,0))&amp;"","")))))</f>
        <v/>
      </c>
      <c r="Q105" s="2" t="str">
        <f t="array" ref="Q105">IF(O105&lt;&gt;"Excluir","",IF(L105&lt;&gt;"",L105,IF(F105="Excluir",IFERROR(INDEX(Triagem!$K$2:$K$451,MATCH($A105,Triagem!$A$2:$A$451,0))&amp;"",""),IF(G105="Excluir",IFERROR(INDEX('Revisão_Gemini'!$J$7:$J$456,MATCH($A105,'Revisão_Gemini'!$A$7:$A$456,0))&amp;"",""),IFERROR(INDEX('Revisão_ChatGPT'!$J$7:$J$456,MATCH($A105,'Revisão_ChatGPT'!$A$7:$A$456,0))&amp;"","")))))</f>
        <v/>
      </c>
    </row>
    <row r="106" ht="15.75" customHeight="1">
      <c r="A106" s="2" t="s">
        <v>2158</v>
      </c>
      <c r="B106" s="19" t="str">
        <f t="array" ref="B106">INDEX(Triagem!$N$2:$N451 , MATCH(A106,Triagem!$A$2:$A451,0))</f>
        <v>abrir</v>
      </c>
      <c r="C106" s="20">
        <f t="array" ref="C106">INDEX(Triagem!$B$2:$B451 , MATCH(A106,Triagem!$A$2:$A451,0))</f>
        <v>2013</v>
      </c>
      <c r="D106" s="2" t="s">
        <v>2160</v>
      </c>
      <c r="E106" s="2" t="s">
        <v>2161</v>
      </c>
      <c r="F106" s="2" t="str">
        <f t="array" ref="F106">IFERROR(INDEX(Triagem!$I$2:$I$451,MATCH($A106,Triagem!$A$2:$A$451,0))&amp;"","")</f>
        <v>Excluir</v>
      </c>
      <c r="G106" s="2" t="str">
        <f t="array" ref="G106">IFERROR(INDEX('Revisão_Gemini'!$H$7:$H$456,MATCH($A106,'Revisão_Gemini'!$A$7:$A$456,0))&amp;"","")</f>
        <v>Excluir</v>
      </c>
      <c r="H106" s="2" t="str">
        <f t="array" ref="H106">IFERROR(INDEX('Revisão_ChatGPT'!$H$7:$H$456,MATCH($A106,'Revisão_ChatGPT'!$A$7:$A$456,0))&amp;"","")</f>
        <v>Excluir</v>
      </c>
      <c r="I106" s="2" t="str">
        <f t="shared" si="1"/>
        <v>3/3</v>
      </c>
      <c r="J106" s="21"/>
      <c r="K106" s="21"/>
      <c r="L106" s="21"/>
      <c r="M106" s="22" t="b">
        <f t="shared" si="2"/>
        <v>0</v>
      </c>
      <c r="N106" s="21"/>
      <c r="O106" s="2" t="str">
        <f t="shared" si="3"/>
        <v>Fora do recorte anual + Excluir</v>
      </c>
      <c r="P106" s="2" t="str">
        <f t="array" ref="P106">IF(O106&lt;&gt;"Incluir","",IF(K106&lt;&gt;"",K106,IF(IFERROR(INDEX(Triagem!$J$2:$J$451,MATCH($A106,Triagem!$A$2:$A$451,0))&amp;"","")&lt;&gt;"",IFERROR(INDEX(Triagem!$J$2:$J$451,MATCH($A106,Triagem!$A$2:$A$451,0))&amp;"",""),IF(IFERROR(INDEX('Revisão_Gemini'!$I$7:$I$456,MATCH($A106,'Revisão_Gemini'!$A$7:$A$456,0))&amp;"","")&lt;&gt;"",IFERROR(INDEX('Revisão_Gemini'!$I$7:$I$456,MATCH($A106,'Revisão_Gemini'!$A$7:$A$456,0))&amp;"",""),IFERROR(INDEX('Revisão_ChatGPT'!$I$7:$I$456,MATCH($A106,'Revisão_ChatGPT'!$A$7:$A$456,0))&amp;"","")))))</f>
        <v/>
      </c>
      <c r="Q106" s="2" t="str">
        <f t="array" ref="Q106">IF(O106&lt;&gt;"Excluir","",IF(L106&lt;&gt;"",L106,IF(F106="Excluir",IFERROR(INDEX(Triagem!$K$2:$K$451,MATCH($A106,Triagem!$A$2:$A$451,0))&amp;"",""),IF(G106="Excluir",IFERROR(INDEX('Revisão_Gemini'!$J$7:$J$456,MATCH($A106,'Revisão_Gemini'!$A$7:$A$456,0))&amp;"",""),IFERROR(INDEX('Revisão_ChatGPT'!$J$7:$J$456,MATCH($A106,'Revisão_ChatGPT'!$A$7:$A$456,0))&amp;"","")))))</f>
        <v/>
      </c>
    </row>
    <row r="107" ht="15.75" customHeight="1">
      <c r="A107" s="2" t="s">
        <v>888</v>
      </c>
      <c r="B107" s="19" t="str">
        <f t="array" ref="B107">INDEX(Triagem!$N$2:$N451 , MATCH(A107,Triagem!$A$2:$A451,0))</f>
        <v>abrir</v>
      </c>
      <c r="C107" s="20">
        <f t="array" ref="C107">INDEX(Triagem!$B$2:$B451 , MATCH(A107,Triagem!$A$2:$A451,0))</f>
        <v>2012</v>
      </c>
      <c r="D107" s="2" t="s">
        <v>889</v>
      </c>
      <c r="E107" s="2" t="s">
        <v>890</v>
      </c>
      <c r="F107" s="2" t="str">
        <f t="array" ref="F107">IFERROR(INDEX(Triagem!$I$2:$I$451,MATCH($A107,Triagem!$A$2:$A$451,0))&amp;"","")</f>
        <v>Apoio</v>
      </c>
      <c r="G107" s="2" t="str">
        <f t="array" ref="G107">IFERROR(INDEX('Revisão_Gemini'!$H$7:$H$456,MATCH($A107,'Revisão_Gemini'!$A$7:$A$456,0))&amp;"","")</f>
        <v>Excluir</v>
      </c>
      <c r="H107" s="2" t="str">
        <f t="array" ref="H107">IFERROR(INDEX('Revisão_ChatGPT'!$H$7:$H$456,MATCH($A107,'Revisão_ChatGPT'!$A$7:$A$456,0))&amp;"","")</f>
        <v>Excluir</v>
      </c>
      <c r="I107" s="2" t="str">
        <f t="shared" si="1"/>
        <v>2/3</v>
      </c>
      <c r="J107" s="21" t="s">
        <v>906</v>
      </c>
      <c r="K107" s="21"/>
      <c r="L107" s="21"/>
      <c r="M107" s="22" t="b">
        <f t="shared" si="2"/>
        <v>0</v>
      </c>
      <c r="N107" s="21" t="s">
        <v>3207</v>
      </c>
      <c r="O107" s="2" t="str">
        <f t="shared" si="3"/>
        <v>Fora do recorte anual + Excluir</v>
      </c>
      <c r="P107" s="2" t="str">
        <f t="array" ref="P107">IF(O107&lt;&gt;"Incluir","",IF(K107&lt;&gt;"",K107,IF(IFERROR(INDEX(Triagem!$J$2:$J$451,MATCH($A107,Triagem!$A$2:$A$451,0))&amp;"","")&lt;&gt;"",IFERROR(INDEX(Triagem!$J$2:$J$451,MATCH($A107,Triagem!$A$2:$A$451,0))&amp;"",""),IF(IFERROR(INDEX('Revisão_Gemini'!$I$7:$I$456,MATCH($A107,'Revisão_Gemini'!$A$7:$A$456,0))&amp;"","")&lt;&gt;"",IFERROR(INDEX('Revisão_Gemini'!$I$7:$I$456,MATCH($A107,'Revisão_Gemini'!$A$7:$A$456,0))&amp;"",""),IFERROR(INDEX('Revisão_ChatGPT'!$I$7:$I$456,MATCH($A107,'Revisão_ChatGPT'!$A$7:$A$456,0))&amp;"","")))))</f>
        <v/>
      </c>
      <c r="Q107" s="2" t="str">
        <f t="array" ref="Q107">IF(O107&lt;&gt;"Excluir","",IF(L107&lt;&gt;"",L107,IF(F107="Excluir",IFERROR(INDEX(Triagem!$K$2:$K$451,MATCH($A107,Triagem!$A$2:$A$451,0))&amp;"",""),IF(G107="Excluir",IFERROR(INDEX('Revisão_Gemini'!$J$7:$J$456,MATCH($A107,'Revisão_Gemini'!$A$7:$A$456,0))&amp;"",""),IFERROR(INDEX('Revisão_ChatGPT'!$J$7:$J$456,MATCH($A107,'Revisão_ChatGPT'!$A$7:$A$456,0))&amp;"","")))))</f>
        <v/>
      </c>
    </row>
    <row r="108" ht="15.75" customHeight="1">
      <c r="A108" s="2" t="s">
        <v>892</v>
      </c>
      <c r="B108" s="19" t="str">
        <f t="array" ref="B108">INDEX(Triagem!$N$2:$N451 , MATCH(A108,Triagem!$A$2:$A451,0))</f>
        <v>abrir</v>
      </c>
      <c r="C108" s="20">
        <f t="array" ref="C108">INDEX(Triagem!$B$2:$B451 , MATCH(A108,Triagem!$A$2:$A451,0))</f>
        <v>2012</v>
      </c>
      <c r="D108" s="2" t="s">
        <v>893</v>
      </c>
      <c r="E108" s="2" t="s">
        <v>894</v>
      </c>
      <c r="F108" s="2" t="str">
        <f t="array" ref="F108">IFERROR(INDEX(Triagem!$I$2:$I$451,MATCH($A108,Triagem!$A$2:$A$451,0))&amp;"","")</f>
        <v>Apoio</v>
      </c>
      <c r="G108" s="2" t="str">
        <f t="array" ref="G108">IFERROR(INDEX('Revisão_Gemini'!$H$7:$H$456,MATCH($A108,'Revisão_Gemini'!$A$7:$A$456,0))&amp;"","")</f>
        <v>Apoio</v>
      </c>
      <c r="H108" s="2" t="str">
        <f t="array" ref="H108">IFERROR(INDEX('Revisão_ChatGPT'!$H$7:$H$456,MATCH($A108,'Revisão_ChatGPT'!$A$7:$A$456,0))&amp;"","")</f>
        <v>Apoio</v>
      </c>
      <c r="I108" s="2" t="str">
        <f t="shared" si="1"/>
        <v>3/3</v>
      </c>
      <c r="J108" s="21"/>
      <c r="K108" s="21"/>
      <c r="L108" s="21"/>
      <c r="M108" s="22" t="b">
        <f t="shared" si="2"/>
        <v>0</v>
      </c>
      <c r="N108" s="21"/>
      <c r="O108" s="2" t="str">
        <f t="shared" si="3"/>
        <v>Fora do recorte anual + Apoio</v>
      </c>
      <c r="P108" s="2" t="str">
        <f t="array" ref="P108">IF(O108&lt;&gt;"Incluir","",IF(K108&lt;&gt;"",K108,IF(IFERROR(INDEX(Triagem!$J$2:$J$451,MATCH($A108,Triagem!$A$2:$A$451,0))&amp;"","")&lt;&gt;"",IFERROR(INDEX(Triagem!$J$2:$J$451,MATCH($A108,Triagem!$A$2:$A$451,0))&amp;"",""),IF(IFERROR(INDEX('Revisão_Gemini'!$I$7:$I$456,MATCH($A108,'Revisão_Gemini'!$A$7:$A$456,0))&amp;"","")&lt;&gt;"",IFERROR(INDEX('Revisão_Gemini'!$I$7:$I$456,MATCH($A108,'Revisão_Gemini'!$A$7:$A$456,0))&amp;"",""),IFERROR(INDEX('Revisão_ChatGPT'!$I$7:$I$456,MATCH($A108,'Revisão_ChatGPT'!$A$7:$A$456,0))&amp;"","")))))</f>
        <v/>
      </c>
      <c r="Q108" s="2" t="str">
        <f t="array" ref="Q108">IF(O108&lt;&gt;"Excluir","",IF(L108&lt;&gt;"",L108,IF(F108="Excluir",IFERROR(INDEX(Triagem!$K$2:$K$451,MATCH($A108,Triagem!$A$2:$A$451,0))&amp;"",""),IF(G108="Excluir",IFERROR(INDEX('Revisão_Gemini'!$J$7:$J$456,MATCH($A108,'Revisão_Gemini'!$A$7:$A$456,0))&amp;"",""),IFERROR(INDEX('Revisão_ChatGPT'!$J$7:$J$456,MATCH($A108,'Revisão_ChatGPT'!$A$7:$A$456,0))&amp;"","")))))</f>
        <v/>
      </c>
    </row>
    <row r="109" ht="15.75" customHeight="1">
      <c r="A109" s="2" t="s">
        <v>948</v>
      </c>
      <c r="B109" s="19" t="str">
        <f t="array" ref="B109">INDEX(Triagem!$N$2:$N451 , MATCH(A109,Triagem!$A$2:$A451,0))</f>
        <v>abrir</v>
      </c>
      <c r="C109" s="20">
        <f t="array" ref="C109">INDEX(Triagem!$B$2:$B451 , MATCH(A109,Triagem!$A$2:$A451,0))</f>
        <v>2013</v>
      </c>
      <c r="D109" s="2" t="s">
        <v>950</v>
      </c>
      <c r="E109" s="2" t="s">
        <v>951</v>
      </c>
      <c r="F109" s="2" t="str">
        <f t="array" ref="F109">IFERROR(INDEX(Triagem!$I$2:$I$451,MATCH($A109,Triagem!$A$2:$A$451,0))&amp;"","")</f>
        <v>Excluir</v>
      </c>
      <c r="G109" s="2" t="str">
        <f t="array" ref="G109">IFERROR(INDEX('Revisão_Gemini'!$H$7:$H$456,MATCH($A109,'Revisão_Gemini'!$A$7:$A$456,0))&amp;"","")</f>
        <v>Excluir</v>
      </c>
      <c r="H109" s="2" t="str">
        <f t="array" ref="H109">IFERROR(INDEX('Revisão_ChatGPT'!$H$7:$H$456,MATCH($A109,'Revisão_ChatGPT'!$A$7:$A$456,0))&amp;"","")</f>
        <v>Excluir</v>
      </c>
      <c r="I109" s="2" t="str">
        <f t="shared" si="1"/>
        <v>3/3</v>
      </c>
      <c r="J109" s="21"/>
      <c r="K109" s="21"/>
      <c r="L109" s="21"/>
      <c r="M109" s="22" t="b">
        <f t="shared" si="2"/>
        <v>0</v>
      </c>
      <c r="N109" s="21"/>
      <c r="O109" s="2" t="str">
        <f t="shared" si="3"/>
        <v>Fora do recorte anual + Excluir</v>
      </c>
      <c r="P109" s="2" t="str">
        <f t="array" ref="P109">IF(O109&lt;&gt;"Incluir","",IF(K109&lt;&gt;"",K109,IF(IFERROR(INDEX(Triagem!$J$2:$J$451,MATCH($A109,Triagem!$A$2:$A$451,0))&amp;"","")&lt;&gt;"",IFERROR(INDEX(Triagem!$J$2:$J$451,MATCH($A109,Triagem!$A$2:$A$451,0))&amp;"",""),IF(IFERROR(INDEX('Revisão_Gemini'!$I$7:$I$456,MATCH($A109,'Revisão_Gemini'!$A$7:$A$456,0))&amp;"","")&lt;&gt;"",IFERROR(INDEX('Revisão_Gemini'!$I$7:$I$456,MATCH($A109,'Revisão_Gemini'!$A$7:$A$456,0))&amp;"",""),IFERROR(INDEX('Revisão_ChatGPT'!$I$7:$I$456,MATCH($A109,'Revisão_ChatGPT'!$A$7:$A$456,0))&amp;"","")))))</f>
        <v/>
      </c>
      <c r="Q109" s="2" t="str">
        <f t="array" ref="Q109">IF(O109&lt;&gt;"Excluir","",IF(L109&lt;&gt;"",L109,IF(F109="Excluir",IFERROR(INDEX(Triagem!$K$2:$K$451,MATCH($A109,Triagem!$A$2:$A$451,0))&amp;"",""),IF(G109="Excluir",IFERROR(INDEX('Revisão_Gemini'!$J$7:$J$456,MATCH($A109,'Revisão_Gemini'!$A$7:$A$456,0))&amp;"",""),IFERROR(INDEX('Revisão_ChatGPT'!$J$7:$J$456,MATCH($A109,'Revisão_ChatGPT'!$A$7:$A$456,0))&amp;"","")))))</f>
        <v/>
      </c>
    </row>
    <row r="110" ht="15.75" customHeight="1">
      <c r="A110" s="2" t="s">
        <v>896</v>
      </c>
      <c r="B110" s="19" t="str">
        <f t="array" ref="B110">INDEX(Triagem!$N$2:$N451 , MATCH(A110,Triagem!$A$2:$A451,0))</f>
        <v>abrir</v>
      </c>
      <c r="C110" s="20">
        <f t="array" ref="C110">INDEX(Triagem!$B$2:$B451 , MATCH(A110,Triagem!$A$2:$A451,0))</f>
        <v>2012</v>
      </c>
      <c r="D110" s="2" t="s">
        <v>898</v>
      </c>
      <c r="E110" s="2" t="s">
        <v>899</v>
      </c>
      <c r="F110" s="2" t="str">
        <f t="array" ref="F110">IFERROR(INDEX(Triagem!$I$2:$I$451,MATCH($A110,Triagem!$A$2:$A$451,0))&amp;"","")</f>
        <v>Apoio</v>
      </c>
      <c r="G110" s="2" t="str">
        <f t="array" ref="G110">IFERROR(INDEX('Revisão_Gemini'!$H$7:$H$456,MATCH($A110,'Revisão_Gemini'!$A$7:$A$456,0))&amp;"","")</f>
        <v>Apoio</v>
      </c>
      <c r="H110" s="2" t="str">
        <f t="array" ref="H110">IFERROR(INDEX('Revisão_ChatGPT'!$H$7:$H$456,MATCH($A110,'Revisão_ChatGPT'!$A$7:$A$456,0))&amp;"","")</f>
        <v>Apoio</v>
      </c>
      <c r="I110" s="2" t="str">
        <f t="shared" si="1"/>
        <v>3/3</v>
      </c>
      <c r="J110" s="21"/>
      <c r="K110" s="21"/>
      <c r="L110" s="21"/>
      <c r="M110" s="22" t="b">
        <f t="shared" si="2"/>
        <v>0</v>
      </c>
      <c r="N110" s="21"/>
      <c r="O110" s="2" t="str">
        <f t="shared" si="3"/>
        <v>Fora do recorte anual + Apoio</v>
      </c>
      <c r="P110" s="2" t="str">
        <f t="array" ref="P110">IF(O110&lt;&gt;"Incluir","",IF(K110&lt;&gt;"",K110,IF(IFERROR(INDEX(Triagem!$J$2:$J$451,MATCH($A110,Triagem!$A$2:$A$451,0))&amp;"","")&lt;&gt;"",IFERROR(INDEX(Triagem!$J$2:$J$451,MATCH($A110,Triagem!$A$2:$A$451,0))&amp;"",""),IF(IFERROR(INDEX('Revisão_Gemini'!$I$7:$I$456,MATCH($A110,'Revisão_Gemini'!$A$7:$A$456,0))&amp;"","")&lt;&gt;"",IFERROR(INDEX('Revisão_Gemini'!$I$7:$I$456,MATCH($A110,'Revisão_Gemini'!$A$7:$A$456,0))&amp;"",""),IFERROR(INDEX('Revisão_ChatGPT'!$I$7:$I$456,MATCH($A110,'Revisão_ChatGPT'!$A$7:$A$456,0))&amp;"","")))))</f>
        <v/>
      </c>
      <c r="Q110" s="2" t="str">
        <f t="array" ref="Q110">IF(O110&lt;&gt;"Excluir","",IF(L110&lt;&gt;"",L110,IF(F110="Excluir",IFERROR(INDEX(Triagem!$K$2:$K$451,MATCH($A110,Triagem!$A$2:$A$451,0))&amp;"",""),IF(G110="Excluir",IFERROR(INDEX('Revisão_Gemini'!$J$7:$J$456,MATCH($A110,'Revisão_Gemini'!$A$7:$A$456,0))&amp;"",""),IFERROR(INDEX('Revisão_ChatGPT'!$J$7:$J$456,MATCH($A110,'Revisão_ChatGPT'!$A$7:$A$456,0))&amp;"","")))))</f>
        <v/>
      </c>
    </row>
    <row r="111" ht="15.75" customHeight="1">
      <c r="A111" s="2" t="s">
        <v>2096</v>
      </c>
      <c r="B111" s="19" t="str">
        <f t="array" ref="B111">INDEX(Triagem!$N$2:$N451 , MATCH(A111,Triagem!$A$2:$A451,0))</f>
        <v>abrir</v>
      </c>
      <c r="C111" s="20">
        <f t="array" ref="C111">INDEX(Triagem!$B$2:$B451 , MATCH(A111,Triagem!$A$2:$A451,0))</f>
        <v>2012</v>
      </c>
      <c r="D111" s="2" t="s">
        <v>2098</v>
      </c>
      <c r="E111" s="2" t="s">
        <v>2099</v>
      </c>
      <c r="F111" s="2" t="str">
        <f t="array" ref="F111">IFERROR(INDEX(Triagem!$I$2:$I$451,MATCH($A111,Triagem!$A$2:$A$451,0))&amp;"","")</f>
        <v>Excluir</v>
      </c>
      <c r="G111" s="2" t="str">
        <f t="array" ref="G111">IFERROR(INDEX('Revisão_Gemini'!$H$7:$H$456,MATCH($A111,'Revisão_Gemini'!$A$7:$A$456,0))&amp;"","")</f>
        <v>Excluir</v>
      </c>
      <c r="H111" s="2" t="str">
        <f t="array" ref="H111">IFERROR(INDEX('Revisão_ChatGPT'!$H$7:$H$456,MATCH($A111,'Revisão_ChatGPT'!$A$7:$A$456,0))&amp;"","")</f>
        <v>Excluir</v>
      </c>
      <c r="I111" s="2" t="str">
        <f t="shared" si="1"/>
        <v>3/3</v>
      </c>
      <c r="J111" s="21"/>
      <c r="K111" s="21"/>
      <c r="L111" s="21"/>
      <c r="M111" s="22" t="b">
        <f t="shared" si="2"/>
        <v>0</v>
      </c>
      <c r="N111" s="21"/>
      <c r="O111" s="2" t="str">
        <f t="shared" si="3"/>
        <v>Fora do recorte anual + Excluir</v>
      </c>
      <c r="P111" s="2" t="str">
        <f t="array" ref="P111">IF(O111&lt;&gt;"Incluir","",IF(K111&lt;&gt;"",K111,IF(IFERROR(INDEX(Triagem!$J$2:$J$451,MATCH($A111,Triagem!$A$2:$A$451,0))&amp;"","")&lt;&gt;"",IFERROR(INDEX(Triagem!$J$2:$J$451,MATCH($A111,Triagem!$A$2:$A$451,0))&amp;"",""),IF(IFERROR(INDEX('Revisão_Gemini'!$I$7:$I$456,MATCH($A111,'Revisão_Gemini'!$A$7:$A$456,0))&amp;"","")&lt;&gt;"",IFERROR(INDEX('Revisão_Gemini'!$I$7:$I$456,MATCH($A111,'Revisão_Gemini'!$A$7:$A$456,0))&amp;"",""),IFERROR(INDEX('Revisão_ChatGPT'!$I$7:$I$456,MATCH($A111,'Revisão_ChatGPT'!$A$7:$A$456,0))&amp;"","")))))</f>
        <v/>
      </c>
      <c r="Q111" s="2" t="str">
        <f t="array" ref="Q111">IF(O111&lt;&gt;"Excluir","",IF(L111&lt;&gt;"",L111,IF(F111="Excluir",IFERROR(INDEX(Triagem!$K$2:$K$451,MATCH($A111,Triagem!$A$2:$A$451,0))&amp;"",""),IF(G111="Excluir",IFERROR(INDEX('Revisão_Gemini'!$J$7:$J$456,MATCH($A111,'Revisão_Gemini'!$A$7:$A$456,0))&amp;"",""),IFERROR(INDEX('Revisão_ChatGPT'!$J$7:$J$456,MATCH($A111,'Revisão_ChatGPT'!$A$7:$A$456,0))&amp;"","")))))</f>
        <v/>
      </c>
    </row>
    <row r="112" ht="15.75" customHeight="1">
      <c r="A112" s="2" t="s">
        <v>1790</v>
      </c>
      <c r="B112" s="19" t="str">
        <f t="array" ref="B112">INDEX(Triagem!$N$2:$N451 , MATCH(A112,Triagem!$A$2:$A451,0))</f>
        <v>abrir</v>
      </c>
      <c r="C112" s="20">
        <f t="array" ref="C112">INDEX(Triagem!$B$2:$B451 , MATCH(A112,Triagem!$A$2:$A451,0))</f>
        <v>2012</v>
      </c>
      <c r="D112" s="2" t="s">
        <v>1792</v>
      </c>
      <c r="E112" s="2" t="s">
        <v>1793</v>
      </c>
      <c r="F112" s="2" t="str">
        <f t="array" ref="F112">IFERROR(INDEX(Triagem!$I$2:$I$451,MATCH($A112,Triagem!$A$2:$A$451,0))&amp;"","")</f>
        <v>Excluir</v>
      </c>
      <c r="G112" s="2" t="str">
        <f t="array" ref="G112">IFERROR(INDEX('Revisão_Gemini'!$H$7:$H$456,MATCH($A112,'Revisão_Gemini'!$A$7:$A$456,0))&amp;"","")</f>
        <v>Excluir</v>
      </c>
      <c r="H112" s="2" t="str">
        <f t="array" ref="H112">IFERROR(INDEX('Revisão_ChatGPT'!$H$7:$H$456,MATCH($A112,'Revisão_ChatGPT'!$A$7:$A$456,0))&amp;"","")</f>
        <v>Excluir</v>
      </c>
      <c r="I112" s="2" t="str">
        <f t="shared" si="1"/>
        <v>3/3</v>
      </c>
      <c r="J112" s="21"/>
      <c r="K112" s="21"/>
      <c r="L112" s="21"/>
      <c r="M112" s="22" t="b">
        <f t="shared" si="2"/>
        <v>0</v>
      </c>
      <c r="N112" s="21" t="s">
        <v>3208</v>
      </c>
      <c r="O112" s="2" t="str">
        <f t="shared" si="3"/>
        <v>Fora do recorte anual + Excluir</v>
      </c>
      <c r="P112" s="2" t="str">
        <f t="array" ref="P112">IF(O112&lt;&gt;"Incluir","",IF(K112&lt;&gt;"",K112,IF(IFERROR(INDEX(Triagem!$J$2:$J$451,MATCH($A112,Triagem!$A$2:$A$451,0))&amp;"","")&lt;&gt;"",IFERROR(INDEX(Triagem!$J$2:$J$451,MATCH($A112,Triagem!$A$2:$A$451,0))&amp;"",""),IF(IFERROR(INDEX('Revisão_Gemini'!$I$7:$I$456,MATCH($A112,'Revisão_Gemini'!$A$7:$A$456,0))&amp;"","")&lt;&gt;"",IFERROR(INDEX('Revisão_Gemini'!$I$7:$I$456,MATCH($A112,'Revisão_Gemini'!$A$7:$A$456,0))&amp;"",""),IFERROR(INDEX('Revisão_ChatGPT'!$I$7:$I$456,MATCH($A112,'Revisão_ChatGPT'!$A$7:$A$456,0))&amp;"","")))))</f>
        <v/>
      </c>
      <c r="Q112" s="2" t="str">
        <f t="array" ref="Q112">IF(O112&lt;&gt;"Excluir","",IF(L112&lt;&gt;"",L112,IF(F112="Excluir",IFERROR(INDEX(Triagem!$K$2:$K$451,MATCH($A112,Triagem!$A$2:$A$451,0))&amp;"",""),IF(G112="Excluir",IFERROR(INDEX('Revisão_Gemini'!$J$7:$J$456,MATCH($A112,'Revisão_Gemini'!$A$7:$A$456,0))&amp;"",""),IFERROR(INDEX('Revisão_ChatGPT'!$J$7:$J$456,MATCH($A112,'Revisão_ChatGPT'!$A$7:$A$456,0))&amp;"","")))))</f>
        <v/>
      </c>
    </row>
    <row r="113" ht="15.75" customHeight="1">
      <c r="A113" s="2" t="s">
        <v>954</v>
      </c>
      <c r="B113" s="19" t="str">
        <f t="array" ref="B113">INDEX(Triagem!$N$2:$N451 , MATCH(A113,Triagem!$A$2:$A451,0))</f>
        <v>abrir</v>
      </c>
      <c r="C113" s="20">
        <f t="array" ref="C113">INDEX(Triagem!$B$2:$B451 , MATCH(A113,Triagem!$A$2:$A451,0))</f>
        <v>2013</v>
      </c>
      <c r="D113" s="2" t="s">
        <v>956</v>
      </c>
      <c r="E113" s="2" t="s">
        <v>957</v>
      </c>
      <c r="F113" s="2" t="str">
        <f t="array" ref="F113">IFERROR(INDEX(Triagem!$I$2:$I$451,MATCH($A113,Triagem!$A$2:$A$451,0))&amp;"","")</f>
        <v>Excluir</v>
      </c>
      <c r="G113" s="2" t="str">
        <f t="array" ref="G113">IFERROR(INDEX('Revisão_Gemini'!$H$7:$H$456,MATCH($A113,'Revisão_Gemini'!$A$7:$A$456,0))&amp;"","")</f>
        <v>Excluir</v>
      </c>
      <c r="H113" s="2" t="str">
        <f t="array" ref="H113">IFERROR(INDEX('Revisão_ChatGPT'!$H$7:$H$456,MATCH($A113,'Revisão_ChatGPT'!$A$7:$A$456,0))&amp;"","")</f>
        <v>Excluir</v>
      </c>
      <c r="I113" s="2" t="str">
        <f t="shared" si="1"/>
        <v>3/3</v>
      </c>
      <c r="J113" s="21"/>
      <c r="K113" s="21"/>
      <c r="L113" s="21"/>
      <c r="M113" s="22" t="b">
        <f t="shared" si="2"/>
        <v>0</v>
      </c>
      <c r="N113" s="21"/>
      <c r="O113" s="2" t="str">
        <f t="shared" si="3"/>
        <v>Fora do recorte anual + Excluir</v>
      </c>
      <c r="P113" s="2" t="str">
        <f t="array" ref="P113">IF(O113&lt;&gt;"Incluir","",IF(K113&lt;&gt;"",K113,IF(IFERROR(INDEX(Triagem!$J$2:$J$451,MATCH($A113,Triagem!$A$2:$A$451,0))&amp;"","")&lt;&gt;"",IFERROR(INDEX(Triagem!$J$2:$J$451,MATCH($A113,Triagem!$A$2:$A$451,0))&amp;"",""),IF(IFERROR(INDEX('Revisão_Gemini'!$I$7:$I$456,MATCH($A113,'Revisão_Gemini'!$A$7:$A$456,0))&amp;"","")&lt;&gt;"",IFERROR(INDEX('Revisão_Gemini'!$I$7:$I$456,MATCH($A113,'Revisão_Gemini'!$A$7:$A$456,0))&amp;"",""),IFERROR(INDEX('Revisão_ChatGPT'!$I$7:$I$456,MATCH($A113,'Revisão_ChatGPT'!$A$7:$A$456,0))&amp;"","")))))</f>
        <v/>
      </c>
      <c r="Q113" s="2" t="str">
        <f t="array" ref="Q113">IF(O113&lt;&gt;"Excluir","",IF(L113&lt;&gt;"",L113,IF(F113="Excluir",IFERROR(INDEX(Triagem!$K$2:$K$451,MATCH($A113,Triagem!$A$2:$A$451,0))&amp;"",""),IF(G113="Excluir",IFERROR(INDEX('Revisão_Gemini'!$J$7:$J$456,MATCH($A113,'Revisão_Gemini'!$A$7:$A$456,0))&amp;"",""),IFERROR(INDEX('Revisão_ChatGPT'!$J$7:$J$456,MATCH($A113,'Revisão_ChatGPT'!$A$7:$A$456,0))&amp;"","")))))</f>
        <v/>
      </c>
    </row>
    <row r="114" ht="15.75" customHeight="1">
      <c r="A114" s="2" t="s">
        <v>2162</v>
      </c>
      <c r="B114" s="19" t="str">
        <f t="array" ref="B114">INDEX(Triagem!$N$2:$N451 , MATCH(A114,Triagem!$A$2:$A451,0))</f>
        <v>abrir</v>
      </c>
      <c r="C114" s="20">
        <f t="array" ref="C114">INDEX(Triagem!$B$2:$B451 , MATCH(A114,Triagem!$A$2:$A451,0))</f>
        <v>2013</v>
      </c>
      <c r="D114" s="2" t="s">
        <v>2164</v>
      </c>
      <c r="E114" s="2" t="s">
        <v>2165</v>
      </c>
      <c r="F114" s="2" t="str">
        <f t="array" ref="F114">IFERROR(INDEX(Triagem!$I$2:$I$451,MATCH($A114,Triagem!$A$2:$A$451,0))&amp;"","")</f>
        <v>Excluir</v>
      </c>
      <c r="G114" s="2" t="str">
        <f t="array" ref="G114">IFERROR(INDEX('Revisão_Gemini'!$H$7:$H$456,MATCH($A114,'Revisão_Gemini'!$A$7:$A$456,0))&amp;"","")</f>
        <v>Excluir</v>
      </c>
      <c r="H114" s="2" t="str">
        <f t="array" ref="H114">IFERROR(INDEX('Revisão_ChatGPT'!$H$7:$H$456,MATCH($A114,'Revisão_ChatGPT'!$A$7:$A$456,0))&amp;"","")</f>
        <v>Excluir</v>
      </c>
      <c r="I114" s="2" t="str">
        <f t="shared" si="1"/>
        <v>3/3</v>
      </c>
      <c r="J114" s="21"/>
      <c r="K114" s="21"/>
      <c r="L114" s="21"/>
      <c r="M114" s="22" t="b">
        <f t="shared" si="2"/>
        <v>0</v>
      </c>
      <c r="N114" s="21" t="s">
        <v>3209</v>
      </c>
      <c r="O114" s="2" t="str">
        <f t="shared" si="3"/>
        <v>Fora do recorte anual + Excluir</v>
      </c>
      <c r="P114" s="2" t="str">
        <f t="array" ref="P114">IF(O114&lt;&gt;"Incluir","",IF(K114&lt;&gt;"",K114,IF(IFERROR(INDEX(Triagem!$J$2:$J$451,MATCH($A114,Triagem!$A$2:$A$451,0))&amp;"","")&lt;&gt;"",IFERROR(INDEX(Triagem!$J$2:$J$451,MATCH($A114,Triagem!$A$2:$A$451,0))&amp;"",""),IF(IFERROR(INDEX('Revisão_Gemini'!$I$7:$I$456,MATCH($A114,'Revisão_Gemini'!$A$7:$A$456,0))&amp;"","")&lt;&gt;"",IFERROR(INDEX('Revisão_Gemini'!$I$7:$I$456,MATCH($A114,'Revisão_Gemini'!$A$7:$A$456,0))&amp;"",""),IFERROR(INDEX('Revisão_ChatGPT'!$I$7:$I$456,MATCH($A114,'Revisão_ChatGPT'!$A$7:$A$456,0))&amp;"","")))))</f>
        <v/>
      </c>
      <c r="Q114" s="2" t="str">
        <f t="array" ref="Q114">IF(O114&lt;&gt;"Excluir","",IF(L114&lt;&gt;"",L114,IF(F114="Excluir",IFERROR(INDEX(Triagem!$K$2:$K$451,MATCH($A114,Triagem!$A$2:$A$451,0))&amp;"",""),IF(G114="Excluir",IFERROR(INDEX('Revisão_Gemini'!$J$7:$J$456,MATCH($A114,'Revisão_Gemini'!$A$7:$A$456,0))&amp;"",""),IFERROR(INDEX('Revisão_ChatGPT'!$J$7:$J$456,MATCH($A114,'Revisão_ChatGPT'!$A$7:$A$456,0))&amp;"","")))))</f>
        <v/>
      </c>
    </row>
    <row r="115" ht="15.75" customHeight="1">
      <c r="A115" s="2" t="s">
        <v>874</v>
      </c>
      <c r="B115" s="19" t="str">
        <f t="array" ref="B115">INDEX(Triagem!$N$2:$N451 , MATCH(A115,Triagem!$A$2:$A451,0))</f>
        <v>abrir</v>
      </c>
      <c r="C115" s="20">
        <f t="array" ref="C115">INDEX(Triagem!$B$2:$B451 , MATCH(A115,Triagem!$A$2:$A451,0))</f>
        <v>2013</v>
      </c>
      <c r="D115" s="2" t="s">
        <v>875</v>
      </c>
      <c r="E115" s="2" t="s">
        <v>876</v>
      </c>
      <c r="F115" s="2" t="str">
        <f t="array" ref="F115">IFERROR(INDEX(Triagem!$I$2:$I$451,MATCH($A115,Triagem!$A$2:$A$451,0))&amp;"","")</f>
        <v>Apoio</v>
      </c>
      <c r="G115" s="2" t="str">
        <f t="array" ref="G115">IFERROR(INDEX('Revisão_Gemini'!$H$7:$H$456,MATCH($A115,'Revisão_Gemini'!$A$7:$A$456,0))&amp;"","")</f>
        <v>Apoio</v>
      </c>
      <c r="H115" s="2" t="str">
        <f t="array" ref="H115">IFERROR(INDEX('Revisão_ChatGPT'!$H$7:$H$456,MATCH($A115,'Revisão_ChatGPT'!$A$7:$A$456,0))&amp;"","")</f>
        <v>Apoio</v>
      </c>
      <c r="I115" s="2" t="str">
        <f t="shared" si="1"/>
        <v>3/3</v>
      </c>
      <c r="J115" s="21"/>
      <c r="K115" s="21"/>
      <c r="L115" s="21"/>
      <c r="M115" s="22" t="b">
        <f t="shared" si="2"/>
        <v>0</v>
      </c>
      <c r="N115" s="21" t="s">
        <v>3210</v>
      </c>
      <c r="O115" s="2" t="str">
        <f t="shared" si="3"/>
        <v>Fora do recorte anual + Apoio</v>
      </c>
      <c r="P115" s="2" t="str">
        <f t="array" ref="P115">IF(O115&lt;&gt;"Incluir","",IF(K115&lt;&gt;"",K115,IF(IFERROR(INDEX(Triagem!$J$2:$J$451,MATCH($A115,Triagem!$A$2:$A$451,0))&amp;"","")&lt;&gt;"",IFERROR(INDEX(Triagem!$J$2:$J$451,MATCH($A115,Triagem!$A$2:$A$451,0))&amp;"",""),IF(IFERROR(INDEX('Revisão_Gemini'!$I$7:$I$456,MATCH($A115,'Revisão_Gemini'!$A$7:$A$456,0))&amp;"","")&lt;&gt;"",IFERROR(INDEX('Revisão_Gemini'!$I$7:$I$456,MATCH($A115,'Revisão_Gemini'!$A$7:$A$456,0))&amp;"",""),IFERROR(INDEX('Revisão_ChatGPT'!$I$7:$I$456,MATCH($A115,'Revisão_ChatGPT'!$A$7:$A$456,0))&amp;"","")))))</f>
        <v/>
      </c>
      <c r="Q115" s="2" t="str">
        <f t="array" ref="Q115">IF(O115&lt;&gt;"Excluir","",IF(L115&lt;&gt;"",L115,IF(F115="Excluir",IFERROR(INDEX(Triagem!$K$2:$K$451,MATCH($A115,Triagem!$A$2:$A$451,0))&amp;"",""),IF(G115="Excluir",IFERROR(INDEX('Revisão_Gemini'!$J$7:$J$456,MATCH($A115,'Revisão_Gemini'!$A$7:$A$456,0))&amp;"",""),IFERROR(INDEX('Revisão_ChatGPT'!$J$7:$J$456,MATCH($A115,'Revisão_ChatGPT'!$A$7:$A$456,0))&amp;"","")))))</f>
        <v/>
      </c>
    </row>
    <row r="116" ht="15.75" customHeight="1">
      <c r="A116" s="2" t="s">
        <v>554</v>
      </c>
      <c r="B116" s="19" t="str">
        <f t="array" ref="B116">INDEX(Triagem!$N$2:$N451 , MATCH(A116,Triagem!$A$2:$A451,0))</f>
        <v>abrir</v>
      </c>
      <c r="C116" s="20">
        <f t="array" ref="C116">INDEX(Triagem!$B$2:$B451 , MATCH(A116,Triagem!$A$2:$A451,0))</f>
        <v>2013</v>
      </c>
      <c r="D116" s="2" t="s">
        <v>556</v>
      </c>
      <c r="E116" s="2" t="s">
        <v>557</v>
      </c>
      <c r="F116" s="2" t="str">
        <f t="array" ref="F116">IFERROR(INDEX(Triagem!$I$2:$I$451,MATCH($A116,Triagem!$A$2:$A$451,0))&amp;"","")</f>
        <v>Incluir</v>
      </c>
      <c r="G116" s="2" t="str">
        <f t="array" ref="G116">IFERROR(INDEX('Revisão_Gemini'!$H$7:$H$456,MATCH($A116,'Revisão_Gemini'!$A$7:$A$456,0))&amp;"","")</f>
        <v>Incluir</v>
      </c>
      <c r="H116" s="2" t="str">
        <f t="array" ref="H116">IFERROR(INDEX('Revisão_ChatGPT'!$H$7:$H$456,MATCH($A116,'Revisão_ChatGPT'!$A$7:$A$456,0))&amp;"","")</f>
        <v>Incluir</v>
      </c>
      <c r="I116" s="2" t="str">
        <f t="shared" si="1"/>
        <v>3/3</v>
      </c>
      <c r="J116" s="21"/>
      <c r="K116" s="21"/>
      <c r="L116" s="21"/>
      <c r="M116" s="22" t="b">
        <f t="shared" si="2"/>
        <v>0</v>
      </c>
      <c r="N116" s="21"/>
      <c r="O116" s="2" t="str">
        <f t="shared" si="3"/>
        <v>Fora do recorte anual + Incluir</v>
      </c>
      <c r="P116" s="2" t="str">
        <f t="array" ref="P116">IF(O116&lt;&gt;"Incluir","",IF(K116&lt;&gt;"",K116,IF(IFERROR(INDEX(Triagem!$J$2:$J$451,MATCH($A116,Triagem!$A$2:$A$451,0))&amp;"","")&lt;&gt;"",IFERROR(INDEX(Triagem!$J$2:$J$451,MATCH($A116,Triagem!$A$2:$A$451,0))&amp;"",""),IF(IFERROR(INDEX('Revisão_Gemini'!$I$7:$I$456,MATCH($A116,'Revisão_Gemini'!$A$7:$A$456,0))&amp;"","")&lt;&gt;"",IFERROR(INDEX('Revisão_Gemini'!$I$7:$I$456,MATCH($A116,'Revisão_Gemini'!$A$7:$A$456,0))&amp;"",""),IFERROR(INDEX('Revisão_ChatGPT'!$I$7:$I$456,MATCH($A116,'Revisão_ChatGPT'!$A$7:$A$456,0))&amp;"","")))))</f>
        <v/>
      </c>
      <c r="Q116" s="2" t="str">
        <f t="array" ref="Q116">IF(O116&lt;&gt;"Excluir","",IF(L116&lt;&gt;"",L116,IF(F116="Excluir",IFERROR(INDEX(Triagem!$K$2:$K$451,MATCH($A116,Triagem!$A$2:$A$451,0))&amp;"",""),IF(G116="Excluir",IFERROR(INDEX('Revisão_Gemini'!$J$7:$J$456,MATCH($A116,'Revisão_Gemini'!$A$7:$A$456,0))&amp;"",""),IFERROR(INDEX('Revisão_ChatGPT'!$J$7:$J$456,MATCH($A116,'Revisão_ChatGPT'!$A$7:$A$456,0))&amp;"","")))))</f>
        <v/>
      </c>
    </row>
    <row r="117" ht="15.75" customHeight="1">
      <c r="A117" s="2" t="s">
        <v>878</v>
      </c>
      <c r="B117" s="19" t="str">
        <f t="array" ref="B117">INDEX(Triagem!$N$2:$N451 , MATCH(A117,Triagem!$A$2:$A451,0))</f>
        <v>abrir</v>
      </c>
      <c r="C117" s="20">
        <f t="array" ref="C117">INDEX(Triagem!$B$2:$B451 , MATCH(A117,Triagem!$A$2:$A451,0))</f>
        <v>2013</v>
      </c>
      <c r="D117" s="2" t="s">
        <v>879</v>
      </c>
      <c r="E117" s="2" t="s">
        <v>880</v>
      </c>
      <c r="F117" s="2" t="str">
        <f t="array" ref="F117">IFERROR(INDEX(Triagem!$I$2:$I$451,MATCH($A117,Triagem!$A$2:$A$451,0))&amp;"","")</f>
        <v>Apoio</v>
      </c>
      <c r="G117" s="2" t="str">
        <f t="array" ref="G117">IFERROR(INDEX('Revisão_Gemini'!$H$7:$H$456,MATCH($A117,'Revisão_Gemini'!$A$7:$A$456,0))&amp;"","")</f>
        <v>Excluir</v>
      </c>
      <c r="H117" s="2" t="str">
        <f t="array" ref="H117">IFERROR(INDEX('Revisão_ChatGPT'!$H$7:$H$456,MATCH($A117,'Revisão_ChatGPT'!$A$7:$A$456,0))&amp;"","")</f>
        <v>Excluir</v>
      </c>
      <c r="I117" s="2" t="str">
        <f t="shared" si="1"/>
        <v>2/3</v>
      </c>
      <c r="J117" s="21" t="s">
        <v>906</v>
      </c>
      <c r="K117" s="21"/>
      <c r="L117" s="21"/>
      <c r="M117" s="22" t="b">
        <f t="shared" si="2"/>
        <v>0</v>
      </c>
      <c r="N117" s="21" t="s">
        <v>3211</v>
      </c>
      <c r="O117" s="2" t="str">
        <f t="shared" si="3"/>
        <v>Fora do recorte anual + Excluir</v>
      </c>
      <c r="P117" s="2" t="str">
        <f t="array" ref="P117">IF(O117&lt;&gt;"Incluir","",IF(K117&lt;&gt;"",K117,IF(IFERROR(INDEX(Triagem!$J$2:$J$451,MATCH($A117,Triagem!$A$2:$A$451,0))&amp;"","")&lt;&gt;"",IFERROR(INDEX(Triagem!$J$2:$J$451,MATCH($A117,Triagem!$A$2:$A$451,0))&amp;"",""),IF(IFERROR(INDEX('Revisão_Gemini'!$I$7:$I$456,MATCH($A117,'Revisão_Gemini'!$A$7:$A$456,0))&amp;"","")&lt;&gt;"",IFERROR(INDEX('Revisão_Gemini'!$I$7:$I$456,MATCH($A117,'Revisão_Gemini'!$A$7:$A$456,0))&amp;"",""),IFERROR(INDEX('Revisão_ChatGPT'!$I$7:$I$456,MATCH($A117,'Revisão_ChatGPT'!$A$7:$A$456,0))&amp;"","")))))</f>
        <v/>
      </c>
      <c r="Q117" s="2" t="str">
        <f t="array" ref="Q117">IF(O117&lt;&gt;"Excluir","",IF(L117&lt;&gt;"",L117,IF(F117="Excluir",IFERROR(INDEX(Triagem!$K$2:$K$451,MATCH($A117,Triagem!$A$2:$A$451,0))&amp;"",""),IF(G117="Excluir",IFERROR(INDEX('Revisão_Gemini'!$J$7:$J$456,MATCH($A117,'Revisão_Gemini'!$A$7:$A$456,0))&amp;"",""),IFERROR(INDEX('Revisão_ChatGPT'!$J$7:$J$456,MATCH($A117,'Revisão_ChatGPT'!$A$7:$A$456,0))&amp;"","")))))</f>
        <v/>
      </c>
    </row>
    <row r="118" ht="15.75" customHeight="1">
      <c r="A118" s="2" t="s">
        <v>1407</v>
      </c>
      <c r="B118" s="19" t="str">
        <f t="array" ref="B118">INDEX(Triagem!$N$2:$N451 , MATCH(A118,Triagem!$A$2:$A451,0))</f>
        <v>abrir</v>
      </c>
      <c r="C118" s="20">
        <f t="array" ref="C118">INDEX(Triagem!$B$2:$B451 , MATCH(A118,Triagem!$A$2:$A451,0))</f>
        <v>2013</v>
      </c>
      <c r="D118" s="2" t="s">
        <v>1409</v>
      </c>
      <c r="E118" s="2" t="s">
        <v>1410</v>
      </c>
      <c r="F118" s="2" t="str">
        <f t="array" ref="F118">IFERROR(INDEX(Triagem!$I$2:$I$451,MATCH($A118,Triagem!$A$2:$A$451,0))&amp;"","")</f>
        <v>Excluir</v>
      </c>
      <c r="G118" s="2" t="str">
        <f t="array" ref="G118">IFERROR(INDEX('Revisão_Gemini'!$H$7:$H$456,MATCH($A118,'Revisão_Gemini'!$A$7:$A$456,0))&amp;"","")</f>
        <v>Excluir</v>
      </c>
      <c r="H118" s="2" t="str">
        <f t="array" ref="H118">IFERROR(INDEX('Revisão_ChatGPT'!$H$7:$H$456,MATCH($A118,'Revisão_ChatGPT'!$A$7:$A$456,0))&amp;"","")</f>
        <v>Excluir</v>
      </c>
      <c r="I118" s="2" t="str">
        <f t="shared" si="1"/>
        <v>3/3</v>
      </c>
      <c r="J118" s="21"/>
      <c r="K118" s="21"/>
      <c r="L118" s="21"/>
      <c r="M118" s="22" t="b">
        <f t="shared" si="2"/>
        <v>0</v>
      </c>
      <c r="N118" s="21" t="s">
        <v>3212</v>
      </c>
      <c r="O118" s="2" t="str">
        <f t="shared" si="3"/>
        <v>Fora do recorte anual + Excluir</v>
      </c>
      <c r="P118" s="2" t="str">
        <f t="array" ref="P118">IF(O118&lt;&gt;"Incluir","",IF(K118&lt;&gt;"",K118,IF(IFERROR(INDEX(Triagem!$J$2:$J$451,MATCH($A118,Triagem!$A$2:$A$451,0))&amp;"","")&lt;&gt;"",IFERROR(INDEX(Triagem!$J$2:$J$451,MATCH($A118,Triagem!$A$2:$A$451,0))&amp;"",""),IF(IFERROR(INDEX('Revisão_Gemini'!$I$7:$I$456,MATCH($A118,'Revisão_Gemini'!$A$7:$A$456,0))&amp;"","")&lt;&gt;"",IFERROR(INDEX('Revisão_Gemini'!$I$7:$I$456,MATCH($A118,'Revisão_Gemini'!$A$7:$A$456,0))&amp;"",""),IFERROR(INDEX('Revisão_ChatGPT'!$I$7:$I$456,MATCH($A118,'Revisão_ChatGPT'!$A$7:$A$456,0))&amp;"","")))))</f>
        <v/>
      </c>
      <c r="Q118" s="2" t="str">
        <f t="array" ref="Q118">IF(O118&lt;&gt;"Excluir","",IF(L118&lt;&gt;"",L118,IF(F118="Excluir",IFERROR(INDEX(Triagem!$K$2:$K$451,MATCH($A118,Triagem!$A$2:$A$451,0))&amp;"",""),IF(G118="Excluir",IFERROR(INDEX('Revisão_Gemini'!$J$7:$J$456,MATCH($A118,'Revisão_Gemini'!$A$7:$A$456,0))&amp;"",""),IFERROR(INDEX('Revisão_ChatGPT'!$J$7:$J$456,MATCH($A118,'Revisão_ChatGPT'!$A$7:$A$456,0))&amp;"","")))))</f>
        <v/>
      </c>
    </row>
    <row r="119" ht="15.75" customHeight="1">
      <c r="A119" s="2" t="s">
        <v>558</v>
      </c>
      <c r="B119" s="19" t="str">
        <f t="array" ref="B119">INDEX(Triagem!$N$2:$N451 , MATCH(A119,Triagem!$A$2:$A451,0))</f>
        <v>abrir</v>
      </c>
      <c r="C119" s="20">
        <f t="array" ref="C119">INDEX(Triagem!$B$2:$B451 , MATCH(A119,Triagem!$A$2:$A451,0))</f>
        <v>2013</v>
      </c>
      <c r="D119" s="2" t="s">
        <v>560</v>
      </c>
      <c r="E119" s="2" t="s">
        <v>561</v>
      </c>
      <c r="F119" s="2" t="str">
        <f t="array" ref="F119">IFERROR(INDEX(Triagem!$I$2:$I$451,MATCH($A119,Triagem!$A$2:$A$451,0))&amp;"","")</f>
        <v>Incluir</v>
      </c>
      <c r="G119" s="2" t="str">
        <f t="array" ref="G119">IFERROR(INDEX('Revisão_Gemini'!$H$7:$H$456,MATCH($A119,'Revisão_Gemini'!$A$7:$A$456,0))&amp;"","")</f>
        <v>Incluir</v>
      </c>
      <c r="H119" s="2" t="str">
        <f t="array" ref="H119">IFERROR(INDEX('Revisão_ChatGPT'!$H$7:$H$456,MATCH($A119,'Revisão_ChatGPT'!$A$7:$A$456,0))&amp;"","")</f>
        <v>Incluir</v>
      </c>
      <c r="I119" s="2" t="str">
        <f t="shared" si="1"/>
        <v>3/3</v>
      </c>
      <c r="J119" s="21"/>
      <c r="K119" s="21"/>
      <c r="L119" s="21"/>
      <c r="M119" s="22" t="b">
        <f t="shared" si="2"/>
        <v>0</v>
      </c>
      <c r="N119" s="21"/>
      <c r="O119" s="2" t="str">
        <f t="shared" si="3"/>
        <v>Fora do recorte anual + Incluir</v>
      </c>
      <c r="P119" s="2" t="str">
        <f t="array" ref="P119">IF(O119&lt;&gt;"Incluir","",IF(K119&lt;&gt;"",K119,IF(IFERROR(INDEX(Triagem!$J$2:$J$451,MATCH($A119,Triagem!$A$2:$A$451,0))&amp;"","")&lt;&gt;"",IFERROR(INDEX(Triagem!$J$2:$J$451,MATCH($A119,Triagem!$A$2:$A$451,0))&amp;"",""),IF(IFERROR(INDEX('Revisão_Gemini'!$I$7:$I$456,MATCH($A119,'Revisão_Gemini'!$A$7:$A$456,0))&amp;"","")&lt;&gt;"",IFERROR(INDEX('Revisão_Gemini'!$I$7:$I$456,MATCH($A119,'Revisão_Gemini'!$A$7:$A$456,0))&amp;"",""),IFERROR(INDEX('Revisão_ChatGPT'!$I$7:$I$456,MATCH($A119,'Revisão_ChatGPT'!$A$7:$A$456,0))&amp;"","")))))</f>
        <v/>
      </c>
      <c r="Q119" s="2" t="str">
        <f t="array" ref="Q119">IF(O119&lt;&gt;"Excluir","",IF(L119&lt;&gt;"",L119,IF(F119="Excluir",IFERROR(INDEX(Triagem!$K$2:$K$451,MATCH($A119,Triagem!$A$2:$A$451,0))&amp;"",""),IF(G119="Excluir",IFERROR(INDEX('Revisão_Gemini'!$J$7:$J$456,MATCH($A119,'Revisão_Gemini'!$A$7:$A$456,0))&amp;"",""),IFERROR(INDEX('Revisão_ChatGPT'!$J$7:$J$456,MATCH($A119,'Revisão_ChatGPT'!$A$7:$A$456,0))&amp;"","")))))</f>
        <v/>
      </c>
    </row>
    <row r="120" ht="15.75" customHeight="1">
      <c r="A120" s="2" t="s">
        <v>2130</v>
      </c>
      <c r="B120" s="19" t="str">
        <f t="array" ref="B120">INDEX(Triagem!$N$2:$N451 , MATCH(A120,Triagem!$A$2:$A451,0))</f>
        <v>abrir</v>
      </c>
      <c r="C120" s="20">
        <f t="array" ref="C120">INDEX(Triagem!$B$2:$B451 , MATCH(A120,Triagem!$A$2:$A451,0))</f>
        <v>2013</v>
      </c>
      <c r="D120" s="2" t="s">
        <v>2132</v>
      </c>
      <c r="E120" s="2" t="s">
        <v>2133</v>
      </c>
      <c r="F120" s="2" t="str">
        <f t="array" ref="F120">IFERROR(INDEX(Triagem!$I$2:$I$451,MATCH($A120,Triagem!$A$2:$A$451,0))&amp;"","")</f>
        <v>Excluir</v>
      </c>
      <c r="G120" s="2" t="str">
        <f t="array" ref="G120">IFERROR(INDEX('Revisão_Gemini'!$H$7:$H$456,MATCH($A120,'Revisão_Gemini'!$A$7:$A$456,0))&amp;"","")</f>
        <v>Excluir</v>
      </c>
      <c r="H120" s="2" t="str">
        <f t="array" ref="H120">IFERROR(INDEX('Revisão_ChatGPT'!$H$7:$H$456,MATCH($A120,'Revisão_ChatGPT'!$A$7:$A$456,0))&amp;"","")</f>
        <v>Excluir</v>
      </c>
      <c r="I120" s="2" t="str">
        <f t="shared" si="1"/>
        <v>3/3</v>
      </c>
      <c r="J120" s="21"/>
      <c r="K120" s="21"/>
      <c r="L120" s="21"/>
      <c r="M120" s="22" t="b">
        <f t="shared" si="2"/>
        <v>0</v>
      </c>
      <c r="N120" s="21" t="s">
        <v>3213</v>
      </c>
      <c r="O120" s="2" t="str">
        <f t="shared" si="3"/>
        <v>Fora do recorte anual + Excluir</v>
      </c>
      <c r="P120" s="2" t="str">
        <f t="array" ref="P120">IF(O120&lt;&gt;"Incluir","",IF(K120&lt;&gt;"",K120,IF(IFERROR(INDEX(Triagem!$J$2:$J$451,MATCH($A120,Triagem!$A$2:$A$451,0))&amp;"","")&lt;&gt;"",IFERROR(INDEX(Triagem!$J$2:$J$451,MATCH($A120,Triagem!$A$2:$A$451,0))&amp;"",""),IF(IFERROR(INDEX('Revisão_Gemini'!$I$7:$I$456,MATCH($A120,'Revisão_Gemini'!$A$7:$A$456,0))&amp;"","")&lt;&gt;"",IFERROR(INDEX('Revisão_Gemini'!$I$7:$I$456,MATCH($A120,'Revisão_Gemini'!$A$7:$A$456,0))&amp;"",""),IFERROR(INDEX('Revisão_ChatGPT'!$I$7:$I$456,MATCH($A120,'Revisão_ChatGPT'!$A$7:$A$456,0))&amp;"","")))))</f>
        <v/>
      </c>
      <c r="Q120" s="2" t="str">
        <f t="array" ref="Q120">IF(O120&lt;&gt;"Excluir","",IF(L120&lt;&gt;"",L120,IF(F120="Excluir",IFERROR(INDEX(Triagem!$K$2:$K$451,MATCH($A120,Triagem!$A$2:$A$451,0))&amp;"",""),IF(G120="Excluir",IFERROR(INDEX('Revisão_Gemini'!$J$7:$J$456,MATCH($A120,'Revisão_Gemini'!$A$7:$A$456,0))&amp;"",""),IFERROR(INDEX('Revisão_ChatGPT'!$J$7:$J$456,MATCH($A120,'Revisão_ChatGPT'!$A$7:$A$456,0))&amp;"","")))))</f>
        <v/>
      </c>
    </row>
    <row r="121" ht="15.75" customHeight="1">
      <c r="A121" s="2" t="s">
        <v>2034</v>
      </c>
      <c r="B121" s="19" t="str">
        <f t="array" ref="B121">INDEX(Triagem!$N$2:$N451 , MATCH(A121,Triagem!$A$2:$A451,0))</f>
        <v>abrir</v>
      </c>
      <c r="C121" s="20">
        <f t="array" ref="C121">INDEX(Triagem!$B$2:$B451 , MATCH(A121,Triagem!$A$2:$A451,0))</f>
        <v>2014</v>
      </c>
      <c r="D121" s="2" t="s">
        <v>2036</v>
      </c>
      <c r="E121" s="2" t="s">
        <v>2037</v>
      </c>
      <c r="F121" s="2" t="str">
        <f t="array" ref="F121">IFERROR(INDEX(Triagem!$I$2:$I$451,MATCH($A121,Triagem!$A$2:$A$451,0))&amp;"","")</f>
        <v>Excluir</v>
      </c>
      <c r="G121" s="2" t="str">
        <f t="array" ref="G121">IFERROR(INDEX('Revisão_Gemini'!$H$7:$H$456,MATCH($A121,'Revisão_Gemini'!$A$7:$A$456,0))&amp;"","")</f>
        <v>Excluir</v>
      </c>
      <c r="H121" s="2" t="str">
        <f t="array" ref="H121">IFERROR(INDEX('Revisão_ChatGPT'!$H$7:$H$456,MATCH($A121,'Revisão_ChatGPT'!$A$7:$A$456,0))&amp;"","")</f>
        <v>Excluir</v>
      </c>
      <c r="I121" s="2" t="str">
        <f t="shared" si="1"/>
        <v>3/3</v>
      </c>
      <c r="J121" s="21"/>
      <c r="K121" s="21"/>
      <c r="L121" s="21"/>
      <c r="M121" s="22" t="b">
        <f t="shared" si="2"/>
        <v>0</v>
      </c>
      <c r="N121" s="21"/>
      <c r="O121" s="2" t="str">
        <f t="shared" si="3"/>
        <v>Fora do recorte anual + Excluir</v>
      </c>
      <c r="P121" s="2" t="str">
        <f t="array" ref="P121">IF(O121&lt;&gt;"Incluir","",IF(K121&lt;&gt;"",K121,IF(IFERROR(INDEX(Triagem!$J$2:$J$451,MATCH($A121,Triagem!$A$2:$A$451,0))&amp;"","")&lt;&gt;"",IFERROR(INDEX(Triagem!$J$2:$J$451,MATCH($A121,Triagem!$A$2:$A$451,0))&amp;"",""),IF(IFERROR(INDEX('Revisão_Gemini'!$I$7:$I$456,MATCH($A121,'Revisão_Gemini'!$A$7:$A$456,0))&amp;"","")&lt;&gt;"",IFERROR(INDEX('Revisão_Gemini'!$I$7:$I$456,MATCH($A121,'Revisão_Gemini'!$A$7:$A$456,0))&amp;"",""),IFERROR(INDEX('Revisão_ChatGPT'!$I$7:$I$456,MATCH($A121,'Revisão_ChatGPT'!$A$7:$A$456,0))&amp;"","")))))</f>
        <v/>
      </c>
      <c r="Q121" s="2" t="str">
        <f t="array" ref="Q121">IF(O121&lt;&gt;"Excluir","",IF(L121&lt;&gt;"",L121,IF(F121="Excluir",IFERROR(INDEX(Triagem!$K$2:$K$451,MATCH($A121,Triagem!$A$2:$A$451,0))&amp;"",""),IF(G121="Excluir",IFERROR(INDEX('Revisão_Gemini'!$J$7:$J$456,MATCH($A121,'Revisão_Gemini'!$A$7:$A$456,0))&amp;"",""),IFERROR(INDEX('Revisão_ChatGPT'!$J$7:$J$456,MATCH($A121,'Revisão_ChatGPT'!$A$7:$A$456,0))&amp;"","")))))</f>
        <v/>
      </c>
    </row>
    <row r="122" ht="15.75" customHeight="1">
      <c r="A122" s="2" t="s">
        <v>883</v>
      </c>
      <c r="B122" s="19" t="str">
        <f t="array" ref="B122">INDEX(Triagem!$N$2:$N451 , MATCH(A122,Triagem!$A$2:$A451,0))</f>
        <v>abrir</v>
      </c>
      <c r="C122" s="20">
        <f t="array" ref="C122">INDEX(Triagem!$B$2:$B451 , MATCH(A122,Triagem!$A$2:$A451,0))</f>
        <v>2013</v>
      </c>
      <c r="D122" s="2" t="s">
        <v>884</v>
      </c>
      <c r="E122" s="2" t="s">
        <v>885</v>
      </c>
      <c r="F122" s="2" t="str">
        <f t="array" ref="F122">IFERROR(INDEX(Triagem!$I$2:$I$451,MATCH($A122,Triagem!$A$2:$A$451,0))&amp;"","")</f>
        <v>Apoio</v>
      </c>
      <c r="G122" s="2" t="str">
        <f t="array" ref="G122">IFERROR(INDEX('Revisão_Gemini'!$H$7:$H$456,MATCH($A122,'Revisão_Gemini'!$A$7:$A$456,0))&amp;"","")</f>
        <v>Apoio</v>
      </c>
      <c r="H122" s="2" t="str">
        <f t="array" ref="H122">IFERROR(INDEX('Revisão_ChatGPT'!$H$7:$H$456,MATCH($A122,'Revisão_ChatGPT'!$A$7:$A$456,0))&amp;"","")</f>
        <v>Apoio</v>
      </c>
      <c r="I122" s="2" t="str">
        <f t="shared" si="1"/>
        <v>3/3</v>
      </c>
      <c r="J122" s="21"/>
      <c r="K122" s="21"/>
      <c r="L122" s="21"/>
      <c r="M122" s="22" t="b">
        <f t="shared" si="2"/>
        <v>0</v>
      </c>
      <c r="N122" s="21" t="s">
        <v>3214</v>
      </c>
      <c r="O122" s="2" t="str">
        <f t="shared" si="3"/>
        <v>Fora do recorte anual + Apoio</v>
      </c>
      <c r="P122" s="2" t="str">
        <f t="array" ref="P122">IF(O122&lt;&gt;"Incluir","",IF(K122&lt;&gt;"",K122,IF(IFERROR(INDEX(Triagem!$J$2:$J$451,MATCH($A122,Triagem!$A$2:$A$451,0))&amp;"","")&lt;&gt;"",IFERROR(INDEX(Triagem!$J$2:$J$451,MATCH($A122,Triagem!$A$2:$A$451,0))&amp;"",""),IF(IFERROR(INDEX('Revisão_Gemini'!$I$7:$I$456,MATCH($A122,'Revisão_Gemini'!$A$7:$A$456,0))&amp;"","")&lt;&gt;"",IFERROR(INDEX('Revisão_Gemini'!$I$7:$I$456,MATCH($A122,'Revisão_Gemini'!$A$7:$A$456,0))&amp;"",""),IFERROR(INDEX('Revisão_ChatGPT'!$I$7:$I$456,MATCH($A122,'Revisão_ChatGPT'!$A$7:$A$456,0))&amp;"","")))))</f>
        <v/>
      </c>
      <c r="Q122" s="2" t="str">
        <f t="array" ref="Q122">IF(O122&lt;&gt;"Excluir","",IF(L122&lt;&gt;"",L122,IF(F122="Excluir",IFERROR(INDEX(Triagem!$K$2:$K$451,MATCH($A122,Triagem!$A$2:$A$451,0))&amp;"",""),IF(G122="Excluir",IFERROR(INDEX('Revisão_Gemini'!$J$7:$J$456,MATCH($A122,'Revisão_Gemini'!$A$7:$A$456,0))&amp;"",""),IFERROR(INDEX('Revisão_ChatGPT'!$J$7:$J$456,MATCH($A122,'Revisão_ChatGPT'!$A$7:$A$456,0))&amp;"","")))))</f>
        <v/>
      </c>
    </row>
    <row r="123" ht="15.75" customHeight="1">
      <c r="A123" s="2" t="s">
        <v>862</v>
      </c>
      <c r="B123" s="19" t="str">
        <f t="array" ref="B123">INDEX(Triagem!$N$2:$N451 , MATCH(A123,Triagem!$A$2:$A451,0))</f>
        <v>abrir</v>
      </c>
      <c r="C123" s="20">
        <f t="array" ref="C123">INDEX(Triagem!$B$2:$B451 , MATCH(A123,Triagem!$A$2:$A451,0))</f>
        <v>2014</v>
      </c>
      <c r="D123" s="2" t="s">
        <v>864</v>
      </c>
      <c r="E123" s="2" t="s">
        <v>865</v>
      </c>
      <c r="F123" s="2" t="str">
        <f t="array" ref="F123">IFERROR(INDEX(Triagem!$I$2:$I$451,MATCH($A123,Triagem!$A$2:$A$451,0))&amp;"","")</f>
        <v>Apoio</v>
      </c>
      <c r="G123" s="2" t="str">
        <f t="array" ref="G123">IFERROR(INDEX('Revisão_Gemini'!$H$7:$H$456,MATCH($A123,'Revisão_Gemini'!$A$7:$A$456,0))&amp;"","")</f>
        <v>Apoio</v>
      </c>
      <c r="H123" s="2" t="str">
        <f t="array" ref="H123">IFERROR(INDEX('Revisão_ChatGPT'!$H$7:$H$456,MATCH($A123,'Revisão_ChatGPT'!$A$7:$A$456,0))&amp;"","")</f>
        <v>Apoio</v>
      </c>
      <c r="I123" s="2" t="str">
        <f t="shared" si="1"/>
        <v>3/3</v>
      </c>
      <c r="J123" s="21"/>
      <c r="K123" s="21"/>
      <c r="L123" s="21"/>
      <c r="M123" s="22" t="b">
        <f t="shared" si="2"/>
        <v>0</v>
      </c>
      <c r="N123" s="21" t="s">
        <v>3215</v>
      </c>
      <c r="O123" s="2" t="str">
        <f t="shared" si="3"/>
        <v>Fora do recorte anual + Apoio</v>
      </c>
      <c r="P123" s="2" t="str">
        <f t="array" ref="P123">IF(O123&lt;&gt;"Incluir","",IF(K123&lt;&gt;"",K123,IF(IFERROR(INDEX(Triagem!$J$2:$J$451,MATCH($A123,Triagem!$A$2:$A$451,0))&amp;"","")&lt;&gt;"",IFERROR(INDEX(Triagem!$J$2:$J$451,MATCH($A123,Triagem!$A$2:$A$451,0))&amp;"",""),IF(IFERROR(INDEX('Revisão_Gemini'!$I$7:$I$456,MATCH($A123,'Revisão_Gemini'!$A$7:$A$456,0))&amp;"","")&lt;&gt;"",IFERROR(INDEX('Revisão_Gemini'!$I$7:$I$456,MATCH($A123,'Revisão_Gemini'!$A$7:$A$456,0))&amp;"",""),IFERROR(INDEX('Revisão_ChatGPT'!$I$7:$I$456,MATCH($A123,'Revisão_ChatGPT'!$A$7:$A$456,0))&amp;"","")))))</f>
        <v/>
      </c>
      <c r="Q123" s="2" t="str">
        <f t="array" ref="Q123">IF(O123&lt;&gt;"Excluir","",IF(L123&lt;&gt;"",L123,IF(F123="Excluir",IFERROR(INDEX(Triagem!$K$2:$K$451,MATCH($A123,Triagem!$A$2:$A$451,0))&amp;"",""),IF(G123="Excluir",IFERROR(INDEX('Revisão_Gemini'!$J$7:$J$456,MATCH($A123,'Revisão_Gemini'!$A$7:$A$456,0))&amp;"",""),IFERROR(INDEX('Revisão_ChatGPT'!$J$7:$J$456,MATCH($A123,'Revisão_ChatGPT'!$A$7:$A$456,0))&amp;"","")))))</f>
        <v/>
      </c>
    </row>
    <row r="124" ht="15.75" customHeight="1">
      <c r="A124" s="2" t="s">
        <v>2166</v>
      </c>
      <c r="B124" s="19" t="str">
        <f t="array" ref="B124">INDEX(Triagem!$N$2:$N451 , MATCH(A124,Triagem!$A$2:$A451,0))</f>
        <v>abrir</v>
      </c>
      <c r="C124" s="20">
        <f t="array" ref="C124">INDEX(Triagem!$B$2:$B451 , MATCH(A124,Triagem!$A$2:$A451,0))</f>
        <v>2013</v>
      </c>
      <c r="D124" s="2" t="s">
        <v>2168</v>
      </c>
      <c r="E124" s="2" t="s">
        <v>2169</v>
      </c>
      <c r="F124" s="2" t="str">
        <f t="array" ref="F124">IFERROR(INDEX(Triagem!$I$2:$I$451,MATCH($A124,Triagem!$A$2:$A$451,0))&amp;"","")</f>
        <v>Excluir</v>
      </c>
      <c r="G124" s="2" t="str">
        <f t="array" ref="G124">IFERROR(INDEX('Revisão_Gemini'!$H$7:$H$456,MATCH($A124,'Revisão_Gemini'!$A$7:$A$456,0))&amp;"","")</f>
        <v>Excluir</v>
      </c>
      <c r="H124" s="2" t="str">
        <f t="array" ref="H124">IFERROR(INDEX('Revisão_ChatGPT'!$H$7:$H$456,MATCH($A124,'Revisão_ChatGPT'!$A$7:$A$456,0))&amp;"","")</f>
        <v>Incluir</v>
      </c>
      <c r="I124" s="2" t="str">
        <f t="shared" si="1"/>
        <v>2/3</v>
      </c>
      <c r="J124" s="21" t="s">
        <v>906</v>
      </c>
      <c r="K124" s="21"/>
      <c r="L124" s="21"/>
      <c r="M124" s="22" t="b">
        <f t="shared" si="2"/>
        <v>0</v>
      </c>
      <c r="N124" s="21"/>
      <c r="O124" s="2" t="str">
        <f t="shared" si="3"/>
        <v>Fora do recorte anual + Excluir</v>
      </c>
      <c r="P124" s="2" t="str">
        <f t="array" ref="P124">IF(O124&lt;&gt;"Incluir","",IF(K124&lt;&gt;"",K124,IF(IFERROR(INDEX(Triagem!$J$2:$J$451,MATCH($A124,Triagem!$A$2:$A$451,0))&amp;"","")&lt;&gt;"",IFERROR(INDEX(Triagem!$J$2:$J$451,MATCH($A124,Triagem!$A$2:$A$451,0))&amp;"",""),IF(IFERROR(INDEX('Revisão_Gemini'!$I$7:$I$456,MATCH($A124,'Revisão_Gemini'!$A$7:$A$456,0))&amp;"","")&lt;&gt;"",IFERROR(INDEX('Revisão_Gemini'!$I$7:$I$456,MATCH($A124,'Revisão_Gemini'!$A$7:$A$456,0))&amp;"",""),IFERROR(INDEX('Revisão_ChatGPT'!$I$7:$I$456,MATCH($A124,'Revisão_ChatGPT'!$A$7:$A$456,0))&amp;"","")))))</f>
        <v/>
      </c>
      <c r="Q124" s="2" t="str">
        <f t="array" ref="Q124">IF(O124&lt;&gt;"Excluir","",IF(L124&lt;&gt;"",L124,IF(F124="Excluir",IFERROR(INDEX(Triagem!$K$2:$K$451,MATCH($A124,Triagem!$A$2:$A$451,0))&amp;"",""),IF(G124="Excluir",IFERROR(INDEX('Revisão_Gemini'!$J$7:$J$456,MATCH($A124,'Revisão_Gemini'!$A$7:$A$456,0))&amp;"",""),IFERROR(INDEX('Revisão_ChatGPT'!$J$7:$J$456,MATCH($A124,'Revisão_ChatGPT'!$A$7:$A$456,0))&amp;"","")))))</f>
        <v/>
      </c>
    </row>
    <row r="125" ht="15.75" customHeight="1">
      <c r="A125" s="2" t="s">
        <v>1411</v>
      </c>
      <c r="B125" s="19" t="str">
        <f t="array" ref="B125">INDEX(Triagem!$N$2:$N451 , MATCH(A125,Triagem!$A$2:$A451,0))</f>
        <v>abrir</v>
      </c>
      <c r="C125" s="20">
        <f t="array" ref="C125">INDEX(Triagem!$B$2:$B451 , MATCH(A125,Triagem!$A$2:$A451,0))</f>
        <v>2013</v>
      </c>
      <c r="D125" s="2" t="s">
        <v>1413</v>
      </c>
      <c r="E125" s="2" t="s">
        <v>1414</v>
      </c>
      <c r="F125" s="2" t="str">
        <f t="array" ref="F125">IFERROR(INDEX(Triagem!$I$2:$I$451,MATCH($A125,Triagem!$A$2:$A$451,0))&amp;"","")</f>
        <v>Excluir</v>
      </c>
      <c r="G125" s="2" t="str">
        <f t="array" ref="G125">IFERROR(INDEX('Revisão_Gemini'!$H$7:$H$456,MATCH($A125,'Revisão_Gemini'!$A$7:$A$456,0))&amp;"","")</f>
        <v>Excluir</v>
      </c>
      <c r="H125" s="2" t="str">
        <f t="array" ref="H125">IFERROR(INDEX('Revisão_ChatGPT'!$H$7:$H$456,MATCH($A125,'Revisão_ChatGPT'!$A$7:$A$456,0))&amp;"","")</f>
        <v>Excluir</v>
      </c>
      <c r="I125" s="2" t="str">
        <f t="shared" si="1"/>
        <v>3/3</v>
      </c>
      <c r="J125" s="21"/>
      <c r="K125" s="21"/>
      <c r="L125" s="21"/>
      <c r="M125" s="22" t="b">
        <f t="shared" si="2"/>
        <v>0</v>
      </c>
      <c r="N125" s="21"/>
      <c r="O125" s="2" t="str">
        <f t="shared" si="3"/>
        <v>Fora do recorte anual + Excluir</v>
      </c>
      <c r="P125" s="2" t="str">
        <f t="array" ref="P125">IF(O125&lt;&gt;"Incluir","",IF(K125&lt;&gt;"",K125,IF(IFERROR(INDEX(Triagem!$J$2:$J$451,MATCH($A125,Triagem!$A$2:$A$451,0))&amp;"","")&lt;&gt;"",IFERROR(INDEX(Triagem!$J$2:$J$451,MATCH($A125,Triagem!$A$2:$A$451,0))&amp;"",""),IF(IFERROR(INDEX('Revisão_Gemini'!$I$7:$I$456,MATCH($A125,'Revisão_Gemini'!$A$7:$A$456,0))&amp;"","")&lt;&gt;"",IFERROR(INDEX('Revisão_Gemini'!$I$7:$I$456,MATCH($A125,'Revisão_Gemini'!$A$7:$A$456,0))&amp;"",""),IFERROR(INDEX('Revisão_ChatGPT'!$I$7:$I$456,MATCH($A125,'Revisão_ChatGPT'!$A$7:$A$456,0))&amp;"","")))))</f>
        <v/>
      </c>
      <c r="Q125" s="2" t="str">
        <f t="array" ref="Q125">IF(O125&lt;&gt;"Excluir","",IF(L125&lt;&gt;"",L125,IF(F125="Excluir",IFERROR(INDEX(Triagem!$K$2:$K$451,MATCH($A125,Triagem!$A$2:$A$451,0))&amp;"",""),IF(G125="Excluir",IFERROR(INDEX('Revisão_Gemini'!$J$7:$J$456,MATCH($A125,'Revisão_Gemini'!$A$7:$A$456,0))&amp;"",""),IFERROR(INDEX('Revisão_ChatGPT'!$J$7:$J$456,MATCH($A125,'Revisão_ChatGPT'!$A$7:$A$456,0))&amp;"","")))))</f>
        <v/>
      </c>
    </row>
    <row r="126" ht="15.75" customHeight="1">
      <c r="A126" s="2" t="s">
        <v>959</v>
      </c>
      <c r="B126" s="19" t="str">
        <f t="array" ref="B126">INDEX(Triagem!$N$2:$N451 , MATCH(A126,Triagem!$A$2:$A451,0))</f>
        <v>abrir</v>
      </c>
      <c r="C126" s="20">
        <f t="array" ref="C126">INDEX(Triagem!$B$2:$B451 , MATCH(A126,Triagem!$A$2:$A451,0))</f>
        <v>2013</v>
      </c>
      <c r="D126" s="2" t="s">
        <v>961</v>
      </c>
      <c r="E126" s="2" t="s">
        <v>962</v>
      </c>
      <c r="F126" s="2" t="str">
        <f t="array" ref="F126">IFERROR(INDEX(Triagem!$I$2:$I$451,MATCH($A126,Triagem!$A$2:$A$451,0))&amp;"","")</f>
        <v>Excluir</v>
      </c>
      <c r="G126" s="2" t="str">
        <f t="array" ref="G126">IFERROR(INDEX('Revisão_Gemini'!$H$7:$H$456,MATCH($A126,'Revisão_Gemini'!$A$7:$A$456,0))&amp;"","")</f>
        <v>Excluir</v>
      </c>
      <c r="H126" s="2" t="str">
        <f t="array" ref="H126">IFERROR(INDEX('Revisão_ChatGPT'!$H$7:$H$456,MATCH($A126,'Revisão_ChatGPT'!$A$7:$A$456,0))&amp;"","")</f>
        <v>Excluir</v>
      </c>
      <c r="I126" s="2" t="str">
        <f t="shared" si="1"/>
        <v>3/3</v>
      </c>
      <c r="J126" s="21"/>
      <c r="K126" s="21"/>
      <c r="L126" s="21"/>
      <c r="M126" s="22" t="b">
        <f t="shared" si="2"/>
        <v>0</v>
      </c>
      <c r="N126" s="21" t="s">
        <v>3216</v>
      </c>
      <c r="O126" s="2" t="str">
        <f t="shared" si="3"/>
        <v>Fora do recorte anual + Excluir</v>
      </c>
      <c r="P126" s="2" t="str">
        <f t="array" ref="P126">IF(O126&lt;&gt;"Incluir","",IF(K126&lt;&gt;"",K126,IF(IFERROR(INDEX(Triagem!$J$2:$J$451,MATCH($A126,Triagem!$A$2:$A$451,0))&amp;"","")&lt;&gt;"",IFERROR(INDEX(Triagem!$J$2:$J$451,MATCH($A126,Triagem!$A$2:$A$451,0))&amp;"",""),IF(IFERROR(INDEX('Revisão_Gemini'!$I$7:$I$456,MATCH($A126,'Revisão_Gemini'!$A$7:$A$456,0))&amp;"","")&lt;&gt;"",IFERROR(INDEX('Revisão_Gemini'!$I$7:$I$456,MATCH($A126,'Revisão_Gemini'!$A$7:$A$456,0))&amp;"",""),IFERROR(INDEX('Revisão_ChatGPT'!$I$7:$I$456,MATCH($A126,'Revisão_ChatGPT'!$A$7:$A$456,0))&amp;"","")))))</f>
        <v/>
      </c>
      <c r="Q126" s="2" t="str">
        <f t="array" ref="Q126">IF(O126&lt;&gt;"Excluir","",IF(L126&lt;&gt;"",L126,IF(F126="Excluir",IFERROR(INDEX(Triagem!$K$2:$K$451,MATCH($A126,Triagem!$A$2:$A$451,0))&amp;"",""),IF(G126="Excluir",IFERROR(INDEX('Revisão_Gemini'!$J$7:$J$456,MATCH($A126,'Revisão_Gemini'!$A$7:$A$456,0))&amp;"",""),IFERROR(INDEX('Revisão_ChatGPT'!$J$7:$J$456,MATCH($A126,'Revisão_ChatGPT'!$A$7:$A$456,0))&amp;"","")))))</f>
        <v/>
      </c>
    </row>
    <row r="127" ht="15.75" customHeight="1">
      <c r="A127" s="2" t="s">
        <v>562</v>
      </c>
      <c r="B127" s="19" t="str">
        <f t="array" ref="B127">INDEX(Triagem!$N$2:$N451 , MATCH(A127,Triagem!$A$2:$A451,0))</f>
        <v>abrir</v>
      </c>
      <c r="C127" s="20">
        <f t="array" ref="C127">INDEX(Triagem!$B$2:$B451 , MATCH(A127,Triagem!$A$2:$A451,0))</f>
        <v>2013</v>
      </c>
      <c r="D127" s="2" t="s">
        <v>564</v>
      </c>
      <c r="E127" s="2" t="s">
        <v>565</v>
      </c>
      <c r="F127" s="2" t="str">
        <f t="array" ref="F127">IFERROR(INDEX(Triagem!$I$2:$I$451,MATCH($A127,Triagem!$A$2:$A$451,0))&amp;"","")</f>
        <v>Incluir</v>
      </c>
      <c r="G127" s="2" t="str">
        <f t="array" ref="G127">IFERROR(INDEX('Revisão_Gemini'!$H$7:$H$456,MATCH($A127,'Revisão_Gemini'!$A$7:$A$456,0))&amp;"","")</f>
        <v>Incluir</v>
      </c>
      <c r="H127" s="2" t="str">
        <f t="array" ref="H127">IFERROR(INDEX('Revisão_ChatGPT'!$H$7:$H$456,MATCH($A127,'Revisão_ChatGPT'!$A$7:$A$456,0))&amp;"","")</f>
        <v>Incluir</v>
      </c>
      <c r="I127" s="2" t="str">
        <f t="shared" si="1"/>
        <v>3/3</v>
      </c>
      <c r="J127" s="21"/>
      <c r="K127" s="21"/>
      <c r="L127" s="21"/>
      <c r="M127" s="22" t="b">
        <f t="shared" si="2"/>
        <v>0</v>
      </c>
      <c r="N127" s="21" t="s">
        <v>3217</v>
      </c>
      <c r="O127" s="2" t="str">
        <f t="shared" si="3"/>
        <v>Fora do recorte anual + Incluir</v>
      </c>
      <c r="P127" s="2" t="str">
        <f t="array" ref="P127">IF(O127&lt;&gt;"Incluir","",IF(K127&lt;&gt;"",K127,IF(IFERROR(INDEX(Triagem!$J$2:$J$451,MATCH($A127,Triagem!$A$2:$A$451,0))&amp;"","")&lt;&gt;"",IFERROR(INDEX(Triagem!$J$2:$J$451,MATCH($A127,Triagem!$A$2:$A$451,0))&amp;"",""),IF(IFERROR(INDEX('Revisão_Gemini'!$I$7:$I$456,MATCH($A127,'Revisão_Gemini'!$A$7:$A$456,0))&amp;"","")&lt;&gt;"",IFERROR(INDEX('Revisão_Gemini'!$I$7:$I$456,MATCH($A127,'Revisão_Gemini'!$A$7:$A$456,0))&amp;"",""),IFERROR(INDEX('Revisão_ChatGPT'!$I$7:$I$456,MATCH($A127,'Revisão_ChatGPT'!$A$7:$A$456,0))&amp;"","")))))</f>
        <v/>
      </c>
      <c r="Q127" s="2" t="str">
        <f t="array" ref="Q127">IF(O127&lt;&gt;"Excluir","",IF(L127&lt;&gt;"",L127,IF(F127="Excluir",IFERROR(INDEX(Triagem!$K$2:$K$451,MATCH($A127,Triagem!$A$2:$A$451,0))&amp;"",""),IF(G127="Excluir",IFERROR(INDEX('Revisão_Gemini'!$J$7:$J$456,MATCH($A127,'Revisão_Gemini'!$A$7:$A$456,0))&amp;"",""),IFERROR(INDEX('Revisão_ChatGPT'!$J$7:$J$456,MATCH($A127,'Revisão_ChatGPT'!$A$7:$A$456,0))&amp;"","")))))</f>
        <v/>
      </c>
    </row>
    <row r="128" ht="15.75" customHeight="1">
      <c r="A128" s="2" t="s">
        <v>536</v>
      </c>
      <c r="B128" s="19" t="str">
        <f t="array" ref="B128">INDEX(Triagem!$N$2:$N451 , MATCH(A128,Triagem!$A$2:$A451,0))</f>
        <v>abrir</v>
      </c>
      <c r="C128" s="20">
        <f t="array" ref="C128">INDEX(Triagem!$B$2:$B451 , MATCH(A128,Triagem!$A$2:$A451,0))</f>
        <v>2014</v>
      </c>
      <c r="D128" s="2" t="s">
        <v>538</v>
      </c>
      <c r="E128" s="2" t="s">
        <v>539</v>
      </c>
      <c r="F128" s="2" t="str">
        <f t="array" ref="F128">IFERROR(INDEX(Triagem!$I$2:$I$451,MATCH($A128,Triagem!$A$2:$A$451,0))&amp;"","")</f>
        <v>Incluir</v>
      </c>
      <c r="G128" s="2" t="str">
        <f t="array" ref="G128">IFERROR(INDEX('Revisão_Gemini'!$H$7:$H$456,MATCH($A128,'Revisão_Gemini'!$A$7:$A$456,0))&amp;"","")</f>
        <v>Incluir</v>
      </c>
      <c r="H128" s="2" t="str">
        <f t="array" ref="H128">IFERROR(INDEX('Revisão_ChatGPT'!$H$7:$H$456,MATCH($A128,'Revisão_ChatGPT'!$A$7:$A$456,0))&amp;"","")</f>
        <v>Incluir</v>
      </c>
      <c r="I128" s="2" t="str">
        <f t="shared" si="1"/>
        <v>3/3</v>
      </c>
      <c r="J128" s="21"/>
      <c r="K128" s="21"/>
      <c r="L128" s="21"/>
      <c r="M128" s="22" t="b">
        <f t="shared" si="2"/>
        <v>0</v>
      </c>
      <c r="N128" s="21"/>
      <c r="O128" s="2" t="str">
        <f t="shared" si="3"/>
        <v>Fora do recorte anual + Incluir</v>
      </c>
      <c r="P128" s="2" t="str">
        <f t="array" ref="P128">IF(O128&lt;&gt;"Incluir","",IF(K128&lt;&gt;"",K128,IF(IFERROR(INDEX(Triagem!$J$2:$J$451,MATCH($A128,Triagem!$A$2:$A$451,0))&amp;"","")&lt;&gt;"",IFERROR(INDEX(Triagem!$J$2:$J$451,MATCH($A128,Triagem!$A$2:$A$451,0))&amp;"",""),IF(IFERROR(INDEX('Revisão_Gemini'!$I$7:$I$456,MATCH($A128,'Revisão_Gemini'!$A$7:$A$456,0))&amp;"","")&lt;&gt;"",IFERROR(INDEX('Revisão_Gemini'!$I$7:$I$456,MATCH($A128,'Revisão_Gemini'!$A$7:$A$456,0))&amp;"",""),IFERROR(INDEX('Revisão_ChatGPT'!$I$7:$I$456,MATCH($A128,'Revisão_ChatGPT'!$A$7:$A$456,0))&amp;"","")))))</f>
        <v/>
      </c>
      <c r="Q128" s="2" t="str">
        <f t="array" ref="Q128">IF(O128&lt;&gt;"Excluir","",IF(L128&lt;&gt;"",L128,IF(F128="Excluir",IFERROR(INDEX(Triagem!$K$2:$K$451,MATCH($A128,Triagem!$A$2:$A$451,0))&amp;"",""),IF(G128="Excluir",IFERROR(INDEX('Revisão_Gemini'!$J$7:$J$456,MATCH($A128,'Revisão_Gemini'!$A$7:$A$456,0))&amp;"",""),IFERROR(INDEX('Revisão_ChatGPT'!$J$7:$J$456,MATCH($A128,'Revisão_ChatGPT'!$A$7:$A$456,0))&amp;"","")))))</f>
        <v/>
      </c>
    </row>
    <row r="129" ht="15.75" customHeight="1">
      <c r="A129" s="2" t="s">
        <v>1384</v>
      </c>
      <c r="B129" s="19" t="str">
        <f t="array" ref="B129">INDEX(Triagem!$N$2:$N451 , MATCH(A129,Triagem!$A$2:$A451,0))</f>
        <v>abrir</v>
      </c>
      <c r="C129" s="20">
        <f t="array" ref="C129">INDEX(Triagem!$B$2:$B451 , MATCH(A129,Triagem!$A$2:$A451,0))</f>
        <v>2014</v>
      </c>
      <c r="D129" s="2" t="s">
        <v>1386</v>
      </c>
      <c r="E129" s="2" t="s">
        <v>1387</v>
      </c>
      <c r="F129" s="2" t="str">
        <f t="array" ref="F129">IFERROR(INDEX(Triagem!$I$2:$I$451,MATCH($A129,Triagem!$A$2:$A$451,0))&amp;"","")</f>
        <v>Excluir</v>
      </c>
      <c r="G129" s="2" t="str">
        <f t="array" ref="G129">IFERROR(INDEX('Revisão_Gemini'!$H$7:$H$456,MATCH($A129,'Revisão_Gemini'!$A$7:$A$456,0))&amp;"","")</f>
        <v>Excluir</v>
      </c>
      <c r="H129" s="2" t="str">
        <f t="array" ref="H129">IFERROR(INDEX('Revisão_ChatGPT'!$H$7:$H$456,MATCH($A129,'Revisão_ChatGPT'!$A$7:$A$456,0))&amp;"","")</f>
        <v>Excluir</v>
      </c>
      <c r="I129" s="2" t="str">
        <f t="shared" si="1"/>
        <v>3/3</v>
      </c>
      <c r="J129" s="21"/>
      <c r="K129" s="21"/>
      <c r="L129" s="21"/>
      <c r="M129" s="22" t="b">
        <f t="shared" si="2"/>
        <v>0</v>
      </c>
      <c r="N129" s="21" t="s">
        <v>3218</v>
      </c>
      <c r="O129" s="2" t="str">
        <f t="shared" si="3"/>
        <v>Fora do recorte anual + Excluir</v>
      </c>
      <c r="P129" s="2" t="str">
        <f t="array" ref="P129">IF(O129&lt;&gt;"Incluir","",IF(K129&lt;&gt;"",K129,IF(IFERROR(INDEX(Triagem!$J$2:$J$451,MATCH($A129,Triagem!$A$2:$A$451,0))&amp;"","")&lt;&gt;"",IFERROR(INDEX(Triagem!$J$2:$J$451,MATCH($A129,Triagem!$A$2:$A$451,0))&amp;"",""),IF(IFERROR(INDEX('Revisão_Gemini'!$I$7:$I$456,MATCH($A129,'Revisão_Gemini'!$A$7:$A$456,0))&amp;"","")&lt;&gt;"",IFERROR(INDEX('Revisão_Gemini'!$I$7:$I$456,MATCH($A129,'Revisão_Gemini'!$A$7:$A$456,0))&amp;"",""),IFERROR(INDEX('Revisão_ChatGPT'!$I$7:$I$456,MATCH($A129,'Revisão_ChatGPT'!$A$7:$A$456,0))&amp;"","")))))</f>
        <v/>
      </c>
      <c r="Q129" s="2" t="str">
        <f t="array" ref="Q129">IF(O129&lt;&gt;"Excluir","",IF(L129&lt;&gt;"",L129,IF(F129="Excluir",IFERROR(INDEX(Triagem!$K$2:$K$451,MATCH($A129,Triagem!$A$2:$A$451,0))&amp;"",""),IF(G129="Excluir",IFERROR(INDEX('Revisão_Gemini'!$J$7:$J$456,MATCH($A129,'Revisão_Gemini'!$A$7:$A$456,0))&amp;"",""),IFERROR(INDEX('Revisão_ChatGPT'!$J$7:$J$456,MATCH($A129,'Revisão_ChatGPT'!$A$7:$A$456,0))&amp;"","")))))</f>
        <v/>
      </c>
    </row>
    <row r="130" ht="15.75" customHeight="1">
      <c r="A130" s="2" t="s">
        <v>1774</v>
      </c>
      <c r="B130" s="19" t="str">
        <f t="array" ref="B130">INDEX(Triagem!$N$2:$N451 , MATCH(A130,Triagem!$A$2:$A451,0))</f>
        <v>abrir</v>
      </c>
      <c r="C130" s="20">
        <f t="array" ref="C130">INDEX(Triagem!$B$2:$B451 , MATCH(A130,Triagem!$A$2:$A451,0))</f>
        <v>2014</v>
      </c>
      <c r="D130" s="2" t="s">
        <v>1776</v>
      </c>
      <c r="E130" s="2" t="s">
        <v>1777</v>
      </c>
      <c r="F130" s="2" t="str">
        <f t="array" ref="F130">IFERROR(INDEX(Triagem!$I$2:$I$451,MATCH($A130,Triagem!$A$2:$A$451,0))&amp;"","")</f>
        <v>Excluir</v>
      </c>
      <c r="G130" s="2" t="str">
        <f t="array" ref="G130">IFERROR(INDEX('Revisão_Gemini'!$H$7:$H$456,MATCH($A130,'Revisão_Gemini'!$A$7:$A$456,0))&amp;"","")</f>
        <v>Excluir</v>
      </c>
      <c r="H130" s="2" t="str">
        <f t="array" ref="H130">IFERROR(INDEX('Revisão_ChatGPT'!$H$7:$H$456,MATCH($A130,'Revisão_ChatGPT'!$A$7:$A$456,0))&amp;"","")</f>
        <v>Excluir</v>
      </c>
      <c r="I130" s="2" t="str">
        <f t="shared" si="1"/>
        <v>3/3</v>
      </c>
      <c r="J130" s="21"/>
      <c r="K130" s="21"/>
      <c r="L130" s="21"/>
      <c r="M130" s="22" t="b">
        <f t="shared" si="2"/>
        <v>0</v>
      </c>
      <c r="N130" s="21" t="s">
        <v>3219</v>
      </c>
      <c r="O130" s="2" t="str">
        <f t="shared" si="3"/>
        <v>Fora do recorte anual + Excluir</v>
      </c>
      <c r="P130" s="2" t="str">
        <f t="array" ref="P130">IF(O130&lt;&gt;"Incluir","",IF(K130&lt;&gt;"",K130,IF(IFERROR(INDEX(Triagem!$J$2:$J$451,MATCH($A130,Triagem!$A$2:$A$451,0))&amp;"","")&lt;&gt;"",IFERROR(INDEX(Triagem!$J$2:$J$451,MATCH($A130,Triagem!$A$2:$A$451,0))&amp;"",""),IF(IFERROR(INDEX('Revisão_Gemini'!$I$7:$I$456,MATCH($A130,'Revisão_Gemini'!$A$7:$A$456,0))&amp;"","")&lt;&gt;"",IFERROR(INDEX('Revisão_Gemini'!$I$7:$I$456,MATCH($A130,'Revisão_Gemini'!$A$7:$A$456,0))&amp;"",""),IFERROR(INDEX('Revisão_ChatGPT'!$I$7:$I$456,MATCH($A130,'Revisão_ChatGPT'!$A$7:$A$456,0))&amp;"","")))))</f>
        <v/>
      </c>
      <c r="Q130" s="2" t="str">
        <f t="array" ref="Q130">IF(O130&lt;&gt;"Excluir","",IF(L130&lt;&gt;"",L130,IF(F130="Excluir",IFERROR(INDEX(Triagem!$K$2:$K$451,MATCH($A130,Triagem!$A$2:$A$451,0))&amp;"",""),IF(G130="Excluir",IFERROR(INDEX('Revisão_Gemini'!$J$7:$J$456,MATCH($A130,'Revisão_Gemini'!$A$7:$A$456,0))&amp;"",""),IFERROR(INDEX('Revisão_ChatGPT'!$J$7:$J$456,MATCH($A130,'Revisão_ChatGPT'!$A$7:$A$456,0))&amp;"","")))))</f>
        <v/>
      </c>
    </row>
    <row r="131" ht="15.75" customHeight="1">
      <c r="A131" s="2" t="s">
        <v>2039</v>
      </c>
      <c r="B131" s="19" t="str">
        <f t="array" ref="B131">INDEX(Triagem!$N$2:$N451 , MATCH(A131,Triagem!$A$2:$A451,0))</f>
        <v>abrir</v>
      </c>
      <c r="C131" s="20">
        <f t="array" ref="C131">INDEX(Triagem!$B$2:$B451 , MATCH(A131,Triagem!$A$2:$A451,0))</f>
        <v>2014</v>
      </c>
      <c r="D131" s="2" t="s">
        <v>2041</v>
      </c>
      <c r="E131" s="2" t="s">
        <v>2042</v>
      </c>
      <c r="F131" s="2" t="str">
        <f t="array" ref="F131">IFERROR(INDEX(Triagem!$I$2:$I$451,MATCH($A131,Triagem!$A$2:$A$451,0))&amp;"","")</f>
        <v>Excluir</v>
      </c>
      <c r="G131" s="2" t="str">
        <f t="array" ref="G131">IFERROR(INDEX('Revisão_Gemini'!$H$7:$H$456,MATCH($A131,'Revisão_Gemini'!$A$7:$A$456,0))&amp;"","")</f>
        <v>Excluir</v>
      </c>
      <c r="H131" s="2" t="str">
        <f t="array" ref="H131">IFERROR(INDEX('Revisão_ChatGPT'!$H$7:$H$456,MATCH($A131,'Revisão_ChatGPT'!$A$7:$A$456,0))&amp;"","")</f>
        <v>Excluir</v>
      </c>
      <c r="I131" s="2" t="str">
        <f t="shared" si="1"/>
        <v>3/3</v>
      </c>
      <c r="J131" s="21"/>
      <c r="K131" s="21"/>
      <c r="L131" s="21"/>
      <c r="M131" s="22" t="b">
        <f t="shared" si="2"/>
        <v>0</v>
      </c>
      <c r="N131" s="21"/>
      <c r="O131" s="2" t="str">
        <f t="shared" si="3"/>
        <v>Fora do recorte anual + Excluir</v>
      </c>
      <c r="P131" s="2" t="str">
        <f t="array" ref="P131">IF(O131&lt;&gt;"Incluir","",IF(K131&lt;&gt;"",K131,IF(IFERROR(INDEX(Triagem!$J$2:$J$451,MATCH($A131,Triagem!$A$2:$A$451,0))&amp;"","")&lt;&gt;"",IFERROR(INDEX(Triagem!$J$2:$J$451,MATCH($A131,Triagem!$A$2:$A$451,0))&amp;"",""),IF(IFERROR(INDEX('Revisão_Gemini'!$I$7:$I$456,MATCH($A131,'Revisão_Gemini'!$A$7:$A$456,0))&amp;"","")&lt;&gt;"",IFERROR(INDEX('Revisão_Gemini'!$I$7:$I$456,MATCH($A131,'Revisão_Gemini'!$A$7:$A$456,0))&amp;"",""),IFERROR(INDEX('Revisão_ChatGPT'!$I$7:$I$456,MATCH($A131,'Revisão_ChatGPT'!$A$7:$A$456,0))&amp;"","")))))</f>
        <v/>
      </c>
      <c r="Q131" s="2" t="str">
        <f t="array" ref="Q131">IF(O131&lt;&gt;"Excluir","",IF(L131&lt;&gt;"",L131,IF(F131="Excluir",IFERROR(INDEX(Triagem!$K$2:$K$451,MATCH($A131,Triagem!$A$2:$A$451,0))&amp;"",""),IF(G131="Excluir",IFERROR(INDEX('Revisão_Gemini'!$J$7:$J$456,MATCH($A131,'Revisão_Gemini'!$A$7:$A$456,0))&amp;"",""),IFERROR(INDEX('Revisão_ChatGPT'!$J$7:$J$456,MATCH($A131,'Revisão_ChatGPT'!$A$7:$A$456,0))&amp;"","")))))</f>
        <v/>
      </c>
    </row>
    <row r="132" ht="15.75" customHeight="1">
      <c r="A132" s="2" t="s">
        <v>540</v>
      </c>
      <c r="B132" s="19" t="str">
        <f t="array" ref="B132">INDEX(Triagem!$N$2:$N451 , MATCH(A132,Triagem!$A$2:$A451,0))</f>
        <v>abrir</v>
      </c>
      <c r="C132" s="20">
        <f t="array" ref="C132">INDEX(Triagem!$B$2:$B451 , MATCH(A132,Triagem!$A$2:$A451,0))</f>
        <v>2014</v>
      </c>
      <c r="D132" s="2" t="s">
        <v>542</v>
      </c>
      <c r="E132" s="2" t="s">
        <v>543</v>
      </c>
      <c r="F132" s="2" t="str">
        <f t="array" ref="F132">IFERROR(INDEX(Triagem!$I$2:$I$451,MATCH($A132,Triagem!$A$2:$A$451,0))&amp;"","")</f>
        <v>Incluir</v>
      </c>
      <c r="G132" s="2" t="str">
        <f t="array" ref="G132">IFERROR(INDEX('Revisão_Gemini'!$H$7:$H$456,MATCH($A132,'Revisão_Gemini'!$A$7:$A$456,0))&amp;"","")</f>
        <v>Incluir</v>
      </c>
      <c r="H132" s="2" t="str">
        <f t="array" ref="H132">IFERROR(INDEX('Revisão_ChatGPT'!$H$7:$H$456,MATCH($A132,'Revisão_ChatGPT'!$A$7:$A$456,0))&amp;"","")</f>
        <v>Incluir</v>
      </c>
      <c r="I132" s="2" t="str">
        <f t="shared" si="1"/>
        <v>3/3</v>
      </c>
      <c r="J132" s="21"/>
      <c r="K132" s="21"/>
      <c r="L132" s="21"/>
      <c r="M132" s="22" t="b">
        <f t="shared" si="2"/>
        <v>0</v>
      </c>
      <c r="N132" s="21" t="s">
        <v>3220</v>
      </c>
      <c r="O132" s="2" t="str">
        <f t="shared" si="3"/>
        <v>Fora do recorte anual + Incluir</v>
      </c>
      <c r="P132" s="2" t="str">
        <f t="array" ref="P132">IF(O132&lt;&gt;"Incluir","",IF(K132&lt;&gt;"",K132,IF(IFERROR(INDEX(Triagem!$J$2:$J$451,MATCH($A132,Triagem!$A$2:$A$451,0))&amp;"","")&lt;&gt;"",IFERROR(INDEX(Triagem!$J$2:$J$451,MATCH($A132,Triagem!$A$2:$A$451,0))&amp;"",""),IF(IFERROR(INDEX('Revisão_Gemini'!$I$7:$I$456,MATCH($A132,'Revisão_Gemini'!$A$7:$A$456,0))&amp;"","")&lt;&gt;"",IFERROR(INDEX('Revisão_Gemini'!$I$7:$I$456,MATCH($A132,'Revisão_Gemini'!$A$7:$A$456,0))&amp;"",""),IFERROR(INDEX('Revisão_ChatGPT'!$I$7:$I$456,MATCH($A132,'Revisão_ChatGPT'!$A$7:$A$456,0))&amp;"","")))))</f>
        <v/>
      </c>
      <c r="Q132" s="2" t="str">
        <f t="array" ref="Q132">IF(O132&lt;&gt;"Excluir","",IF(L132&lt;&gt;"",L132,IF(F132="Excluir",IFERROR(INDEX(Triagem!$K$2:$K$451,MATCH($A132,Triagem!$A$2:$A$451,0))&amp;"",""),IF(G132="Excluir",IFERROR(INDEX('Revisão_Gemini'!$J$7:$J$456,MATCH($A132,'Revisão_Gemini'!$A$7:$A$456,0))&amp;"",""),IFERROR(INDEX('Revisão_ChatGPT'!$J$7:$J$456,MATCH($A132,'Revisão_ChatGPT'!$A$7:$A$456,0))&amp;"","")))))</f>
        <v/>
      </c>
    </row>
    <row r="133" ht="15.75" customHeight="1">
      <c r="A133" s="2" t="s">
        <v>1389</v>
      </c>
      <c r="B133" s="19" t="str">
        <f t="array" ref="B133">INDEX(Triagem!$N$2:$N451 , MATCH(A133,Triagem!$A$2:$A451,0))</f>
        <v>abrir</v>
      </c>
      <c r="C133" s="20">
        <f t="array" ref="C133">INDEX(Triagem!$B$2:$B451 , MATCH(A133,Triagem!$A$2:$A451,0))</f>
        <v>2014</v>
      </c>
      <c r="D133" s="2" t="s">
        <v>1390</v>
      </c>
      <c r="E133" s="2" t="s">
        <v>1391</v>
      </c>
      <c r="F133" s="2" t="str">
        <f t="array" ref="F133">IFERROR(INDEX(Triagem!$I$2:$I$451,MATCH($A133,Triagem!$A$2:$A$451,0))&amp;"","")</f>
        <v>Excluir</v>
      </c>
      <c r="G133" s="2" t="str">
        <f t="array" ref="G133">IFERROR(INDEX('Revisão_Gemini'!$H$7:$H$456,MATCH($A133,'Revisão_Gemini'!$A$7:$A$456,0))&amp;"","")</f>
        <v>Excluir</v>
      </c>
      <c r="H133" s="2" t="str">
        <f t="array" ref="H133">IFERROR(INDEX('Revisão_ChatGPT'!$H$7:$H$456,MATCH($A133,'Revisão_ChatGPT'!$A$7:$A$456,0))&amp;"","")</f>
        <v>Excluir</v>
      </c>
      <c r="I133" s="2" t="str">
        <f t="shared" si="1"/>
        <v>3/3</v>
      </c>
      <c r="J133" s="21"/>
      <c r="K133" s="21"/>
      <c r="L133" s="21"/>
      <c r="M133" s="22" t="b">
        <f t="shared" si="2"/>
        <v>0</v>
      </c>
      <c r="N133" s="21" t="s">
        <v>3221</v>
      </c>
      <c r="O133" s="2" t="str">
        <f t="shared" si="3"/>
        <v>Fora do recorte anual + Excluir</v>
      </c>
      <c r="P133" s="2" t="str">
        <f t="array" ref="P133">IF(O133&lt;&gt;"Incluir","",IF(K133&lt;&gt;"",K133,IF(IFERROR(INDEX(Triagem!$J$2:$J$451,MATCH($A133,Triagem!$A$2:$A$451,0))&amp;"","")&lt;&gt;"",IFERROR(INDEX(Triagem!$J$2:$J$451,MATCH($A133,Triagem!$A$2:$A$451,0))&amp;"",""),IF(IFERROR(INDEX('Revisão_Gemini'!$I$7:$I$456,MATCH($A133,'Revisão_Gemini'!$A$7:$A$456,0))&amp;"","")&lt;&gt;"",IFERROR(INDEX('Revisão_Gemini'!$I$7:$I$456,MATCH($A133,'Revisão_Gemini'!$A$7:$A$456,0))&amp;"",""),IFERROR(INDEX('Revisão_ChatGPT'!$I$7:$I$456,MATCH($A133,'Revisão_ChatGPT'!$A$7:$A$456,0))&amp;"","")))))</f>
        <v/>
      </c>
      <c r="Q133" s="2" t="str">
        <f t="array" ref="Q133">IF(O133&lt;&gt;"Excluir","",IF(L133&lt;&gt;"",L133,IF(F133="Excluir",IFERROR(INDEX(Triagem!$K$2:$K$451,MATCH($A133,Triagem!$A$2:$A$451,0))&amp;"",""),IF(G133="Excluir",IFERROR(INDEX('Revisão_Gemini'!$J$7:$J$456,MATCH($A133,'Revisão_Gemini'!$A$7:$A$456,0))&amp;"",""),IFERROR(INDEX('Revisão_ChatGPT'!$J$7:$J$456,MATCH($A133,'Revisão_ChatGPT'!$A$7:$A$456,0))&amp;"","")))))</f>
        <v/>
      </c>
    </row>
    <row r="134" ht="15.75" customHeight="1">
      <c r="A134" s="2" t="s">
        <v>2182</v>
      </c>
      <c r="B134" s="19" t="str">
        <f t="array" ref="B134">INDEX(Triagem!$N$2:$N451 , MATCH(A134,Triagem!$A$2:$A451,0))</f>
        <v>abrir</v>
      </c>
      <c r="C134" s="20">
        <f t="array" ref="C134">INDEX(Triagem!$B$2:$B451 , MATCH(A134,Triagem!$A$2:$A451,0))</f>
        <v>2014</v>
      </c>
      <c r="D134" s="2" t="s">
        <v>2184</v>
      </c>
      <c r="E134" s="2" t="s">
        <v>2185</v>
      </c>
      <c r="F134" s="2" t="str">
        <f t="array" ref="F134">IFERROR(INDEX(Triagem!$I$2:$I$451,MATCH($A134,Triagem!$A$2:$A$451,0))&amp;"","")</f>
        <v>Excluir</v>
      </c>
      <c r="G134" s="2" t="str">
        <f t="array" ref="G134">IFERROR(INDEX('Revisão_Gemini'!$H$7:$H$456,MATCH($A134,'Revisão_Gemini'!$A$7:$A$456,0))&amp;"","")</f>
        <v>Excluir</v>
      </c>
      <c r="H134" s="2" t="str">
        <f t="array" ref="H134">IFERROR(INDEX('Revisão_ChatGPT'!$H$7:$H$456,MATCH($A134,'Revisão_ChatGPT'!$A$7:$A$456,0))&amp;"","")</f>
        <v>Excluir</v>
      </c>
      <c r="I134" s="2" t="str">
        <f t="shared" si="1"/>
        <v>3/3</v>
      </c>
      <c r="J134" s="21"/>
      <c r="K134" s="21"/>
      <c r="L134" s="21"/>
      <c r="M134" s="22" t="b">
        <f t="shared" si="2"/>
        <v>0</v>
      </c>
      <c r="N134" s="21"/>
      <c r="O134" s="2" t="str">
        <f t="shared" si="3"/>
        <v>Fora do recorte anual + Excluir</v>
      </c>
      <c r="P134" s="2" t="str">
        <f t="array" ref="P134">IF(O134&lt;&gt;"Incluir","",IF(K134&lt;&gt;"",K134,IF(IFERROR(INDEX(Triagem!$J$2:$J$451,MATCH($A134,Triagem!$A$2:$A$451,0))&amp;"","")&lt;&gt;"",IFERROR(INDEX(Triagem!$J$2:$J$451,MATCH($A134,Triagem!$A$2:$A$451,0))&amp;"",""),IF(IFERROR(INDEX('Revisão_Gemini'!$I$7:$I$456,MATCH($A134,'Revisão_Gemini'!$A$7:$A$456,0))&amp;"","")&lt;&gt;"",IFERROR(INDEX('Revisão_Gemini'!$I$7:$I$456,MATCH($A134,'Revisão_Gemini'!$A$7:$A$456,0))&amp;"",""),IFERROR(INDEX('Revisão_ChatGPT'!$I$7:$I$456,MATCH($A134,'Revisão_ChatGPT'!$A$7:$A$456,0))&amp;"","")))))</f>
        <v/>
      </c>
      <c r="Q134" s="2" t="str">
        <f t="array" ref="Q134">IF(O134&lt;&gt;"Excluir","",IF(L134&lt;&gt;"",L134,IF(F134="Excluir",IFERROR(INDEX(Triagem!$K$2:$K$451,MATCH($A134,Triagem!$A$2:$A$451,0))&amp;"",""),IF(G134="Excluir",IFERROR(INDEX('Revisão_Gemini'!$J$7:$J$456,MATCH($A134,'Revisão_Gemini'!$A$7:$A$456,0))&amp;"",""),IFERROR(INDEX('Revisão_ChatGPT'!$J$7:$J$456,MATCH($A134,'Revisão_ChatGPT'!$A$7:$A$456,0))&amp;"","")))))</f>
        <v/>
      </c>
    </row>
    <row r="135" ht="15.75" customHeight="1">
      <c r="A135" s="2" t="s">
        <v>1393</v>
      </c>
      <c r="B135" s="19" t="str">
        <f t="array" ref="B135">INDEX(Triagem!$N$2:$N451 , MATCH(A135,Triagem!$A$2:$A451,0))</f>
        <v>abrir</v>
      </c>
      <c r="C135" s="20">
        <f t="array" ref="C135">INDEX(Triagem!$B$2:$B451 , MATCH(A135,Triagem!$A$2:$A451,0))</f>
        <v>2014</v>
      </c>
      <c r="D135" s="2" t="s">
        <v>1395</v>
      </c>
      <c r="E135" s="2" t="s">
        <v>1396</v>
      </c>
      <c r="F135" s="2" t="str">
        <f t="array" ref="F135">IFERROR(INDEX(Triagem!$I$2:$I$451,MATCH($A135,Triagem!$A$2:$A$451,0))&amp;"","")</f>
        <v>Excluir</v>
      </c>
      <c r="G135" s="2" t="str">
        <f t="array" ref="G135">IFERROR(INDEX('Revisão_Gemini'!$H$7:$H$456,MATCH($A135,'Revisão_Gemini'!$A$7:$A$456,0))&amp;"","")</f>
        <v>Excluir</v>
      </c>
      <c r="H135" s="2" t="str">
        <f t="array" ref="H135">IFERROR(INDEX('Revisão_ChatGPT'!$H$7:$H$456,MATCH($A135,'Revisão_ChatGPT'!$A$7:$A$456,0))&amp;"","")</f>
        <v>Excluir</v>
      </c>
      <c r="I135" s="2" t="str">
        <f t="shared" si="1"/>
        <v>3/3</v>
      </c>
      <c r="J135" s="21"/>
      <c r="K135" s="21"/>
      <c r="L135" s="21"/>
      <c r="M135" s="22" t="b">
        <f t="shared" si="2"/>
        <v>0</v>
      </c>
      <c r="N135" s="21"/>
      <c r="O135" s="2" t="str">
        <f t="shared" si="3"/>
        <v>Fora do recorte anual + Excluir</v>
      </c>
      <c r="P135" s="2" t="str">
        <f t="array" ref="P135">IF(O135&lt;&gt;"Incluir","",IF(K135&lt;&gt;"",K135,IF(IFERROR(INDEX(Triagem!$J$2:$J$451,MATCH($A135,Triagem!$A$2:$A$451,0))&amp;"","")&lt;&gt;"",IFERROR(INDEX(Triagem!$J$2:$J$451,MATCH($A135,Triagem!$A$2:$A$451,0))&amp;"",""),IF(IFERROR(INDEX('Revisão_Gemini'!$I$7:$I$456,MATCH($A135,'Revisão_Gemini'!$A$7:$A$456,0))&amp;"","")&lt;&gt;"",IFERROR(INDEX('Revisão_Gemini'!$I$7:$I$456,MATCH($A135,'Revisão_Gemini'!$A$7:$A$456,0))&amp;"",""),IFERROR(INDEX('Revisão_ChatGPT'!$I$7:$I$456,MATCH($A135,'Revisão_ChatGPT'!$A$7:$A$456,0))&amp;"","")))))</f>
        <v/>
      </c>
      <c r="Q135" s="2" t="str">
        <f t="array" ref="Q135">IF(O135&lt;&gt;"Excluir","",IF(L135&lt;&gt;"",L135,IF(F135="Excluir",IFERROR(INDEX(Triagem!$K$2:$K$451,MATCH($A135,Triagem!$A$2:$A$451,0))&amp;"",""),IF(G135="Excluir",IFERROR(INDEX('Revisão_Gemini'!$J$7:$J$456,MATCH($A135,'Revisão_Gemini'!$A$7:$A$456,0))&amp;"",""),IFERROR(INDEX('Revisão_ChatGPT'!$J$7:$J$456,MATCH($A135,'Revisão_ChatGPT'!$A$7:$A$456,0))&amp;"","")))))</f>
        <v/>
      </c>
    </row>
    <row r="136" ht="15.75" customHeight="1">
      <c r="A136" s="2" t="s">
        <v>545</v>
      </c>
      <c r="B136" s="19" t="str">
        <f t="array" ref="B136">INDEX(Triagem!$N$2:$N451 , MATCH(A136,Triagem!$A$2:$A451,0))</f>
        <v>abrir</v>
      </c>
      <c r="C136" s="20">
        <f t="array" ref="C136">INDEX(Triagem!$B$2:$B451 , MATCH(A136,Triagem!$A$2:$A451,0))</f>
        <v>2014</v>
      </c>
      <c r="D136" s="2" t="s">
        <v>547</v>
      </c>
      <c r="E136" s="2" t="s">
        <v>548</v>
      </c>
      <c r="F136" s="2" t="str">
        <f t="array" ref="F136">IFERROR(INDEX(Triagem!$I$2:$I$451,MATCH($A136,Triagem!$A$2:$A$451,0))&amp;"","")</f>
        <v>Incluir</v>
      </c>
      <c r="G136" s="2" t="str">
        <f t="array" ref="G136">IFERROR(INDEX('Revisão_Gemini'!$H$7:$H$456,MATCH($A136,'Revisão_Gemini'!$A$7:$A$456,0))&amp;"","")</f>
        <v>Incluir</v>
      </c>
      <c r="H136" s="2" t="str">
        <f t="array" ref="H136">IFERROR(INDEX('Revisão_ChatGPT'!$H$7:$H$456,MATCH($A136,'Revisão_ChatGPT'!$A$7:$A$456,0))&amp;"","")</f>
        <v>Incluir</v>
      </c>
      <c r="I136" s="2" t="str">
        <f t="shared" si="1"/>
        <v>3/3</v>
      </c>
      <c r="J136" s="21"/>
      <c r="K136" s="21"/>
      <c r="L136" s="21"/>
      <c r="M136" s="22" t="b">
        <f t="shared" si="2"/>
        <v>0</v>
      </c>
      <c r="N136" s="21" t="s">
        <v>3222</v>
      </c>
      <c r="O136" s="2" t="str">
        <f t="shared" si="3"/>
        <v>Fora do recorte anual + Incluir</v>
      </c>
      <c r="P136" s="2" t="str">
        <f t="array" ref="P136">IF(O136&lt;&gt;"Incluir","",IF(K136&lt;&gt;"",K136,IF(IFERROR(INDEX(Triagem!$J$2:$J$451,MATCH($A136,Triagem!$A$2:$A$451,0))&amp;"","")&lt;&gt;"",IFERROR(INDEX(Triagem!$J$2:$J$451,MATCH($A136,Triagem!$A$2:$A$451,0))&amp;"",""),IF(IFERROR(INDEX('Revisão_Gemini'!$I$7:$I$456,MATCH($A136,'Revisão_Gemini'!$A$7:$A$456,0))&amp;"","")&lt;&gt;"",IFERROR(INDEX('Revisão_Gemini'!$I$7:$I$456,MATCH($A136,'Revisão_Gemini'!$A$7:$A$456,0))&amp;"",""),IFERROR(INDEX('Revisão_ChatGPT'!$I$7:$I$456,MATCH($A136,'Revisão_ChatGPT'!$A$7:$A$456,0))&amp;"","")))))</f>
        <v/>
      </c>
      <c r="Q136" s="2" t="str">
        <f t="array" ref="Q136">IF(O136&lt;&gt;"Excluir","",IF(L136&lt;&gt;"",L136,IF(F136="Excluir",IFERROR(INDEX(Triagem!$K$2:$K$451,MATCH($A136,Triagem!$A$2:$A$451,0))&amp;"",""),IF(G136="Excluir",IFERROR(INDEX('Revisão_Gemini'!$J$7:$J$456,MATCH($A136,'Revisão_Gemini'!$A$7:$A$456,0))&amp;"",""),IFERROR(INDEX('Revisão_ChatGPT'!$J$7:$J$456,MATCH($A136,'Revisão_ChatGPT'!$A$7:$A$456,0))&amp;"","")))))</f>
        <v/>
      </c>
    </row>
    <row r="137" ht="15.75" customHeight="1">
      <c r="A137" s="2" t="s">
        <v>1398</v>
      </c>
      <c r="B137" s="19" t="str">
        <f t="array" ref="B137">INDEX(Triagem!$N$2:$N451 , MATCH(A137,Triagem!$A$2:$A451,0))</f>
        <v>abrir</v>
      </c>
      <c r="C137" s="20">
        <f t="array" ref="C137">INDEX(Triagem!$B$2:$B451 , MATCH(A137,Triagem!$A$2:$A451,0))</f>
        <v>2014</v>
      </c>
      <c r="D137" s="2" t="s">
        <v>1400</v>
      </c>
      <c r="E137" s="2" t="s">
        <v>1401</v>
      </c>
      <c r="F137" s="2" t="str">
        <f t="array" ref="F137">IFERROR(INDEX(Triagem!$I$2:$I$451,MATCH($A137,Triagem!$A$2:$A$451,0))&amp;"","")</f>
        <v>Excluir</v>
      </c>
      <c r="G137" s="2" t="str">
        <f t="array" ref="G137">IFERROR(INDEX('Revisão_Gemini'!$H$7:$H$456,MATCH($A137,'Revisão_Gemini'!$A$7:$A$456,0))&amp;"","")</f>
        <v>Excluir</v>
      </c>
      <c r="H137" s="2" t="str">
        <f t="array" ref="H137">IFERROR(INDEX('Revisão_ChatGPT'!$H$7:$H$456,MATCH($A137,'Revisão_ChatGPT'!$A$7:$A$456,0))&amp;"","")</f>
        <v>Excluir</v>
      </c>
      <c r="I137" s="2" t="str">
        <f t="shared" si="1"/>
        <v>3/3</v>
      </c>
      <c r="J137" s="21"/>
      <c r="K137" s="21"/>
      <c r="L137" s="21"/>
      <c r="M137" s="22" t="b">
        <f t="shared" si="2"/>
        <v>0</v>
      </c>
      <c r="N137" s="21"/>
      <c r="O137" s="2" t="str">
        <f t="shared" si="3"/>
        <v>Fora do recorte anual + Excluir</v>
      </c>
      <c r="P137" s="2" t="str">
        <f t="array" ref="P137">IF(O137&lt;&gt;"Incluir","",IF(K137&lt;&gt;"",K137,IF(IFERROR(INDEX(Triagem!$J$2:$J$451,MATCH($A137,Triagem!$A$2:$A$451,0))&amp;"","")&lt;&gt;"",IFERROR(INDEX(Triagem!$J$2:$J$451,MATCH($A137,Triagem!$A$2:$A$451,0))&amp;"",""),IF(IFERROR(INDEX('Revisão_Gemini'!$I$7:$I$456,MATCH($A137,'Revisão_Gemini'!$A$7:$A$456,0))&amp;"","")&lt;&gt;"",IFERROR(INDEX('Revisão_Gemini'!$I$7:$I$456,MATCH($A137,'Revisão_Gemini'!$A$7:$A$456,0))&amp;"",""),IFERROR(INDEX('Revisão_ChatGPT'!$I$7:$I$456,MATCH($A137,'Revisão_ChatGPT'!$A$7:$A$456,0))&amp;"","")))))</f>
        <v/>
      </c>
      <c r="Q137" s="2" t="str">
        <f t="array" ref="Q137">IF(O137&lt;&gt;"Excluir","",IF(L137&lt;&gt;"",L137,IF(F137="Excluir",IFERROR(INDEX(Triagem!$K$2:$K$451,MATCH($A137,Triagem!$A$2:$A$451,0))&amp;"",""),IF(G137="Excluir",IFERROR(INDEX('Revisão_Gemini'!$J$7:$J$456,MATCH($A137,'Revisão_Gemini'!$A$7:$A$456,0))&amp;"",""),IFERROR(INDEX('Revisão_ChatGPT'!$J$7:$J$456,MATCH($A137,'Revisão_ChatGPT'!$A$7:$A$456,0))&amp;"","")))))</f>
        <v/>
      </c>
    </row>
    <row r="138" ht="15.75" customHeight="1">
      <c r="A138" s="2" t="s">
        <v>1402</v>
      </c>
      <c r="B138" s="19" t="str">
        <f t="array" ref="B138">INDEX(Triagem!$N$2:$N451 , MATCH(A138,Triagem!$A$2:$A451,0))</f>
        <v>abrir</v>
      </c>
      <c r="C138" s="20">
        <f t="array" ref="C138">INDEX(Triagem!$B$2:$B451 , MATCH(A138,Triagem!$A$2:$A451,0))</f>
        <v>2014</v>
      </c>
      <c r="D138" s="2" t="s">
        <v>1404</v>
      </c>
      <c r="E138" s="2" t="s">
        <v>1405</v>
      </c>
      <c r="F138" s="2" t="str">
        <f t="array" ref="F138">IFERROR(INDEX(Triagem!$I$2:$I$451,MATCH($A138,Triagem!$A$2:$A$451,0))&amp;"","")</f>
        <v>Excluir</v>
      </c>
      <c r="G138" s="2" t="str">
        <f t="array" ref="G138">IFERROR(INDEX('Revisão_Gemini'!$H$7:$H$456,MATCH($A138,'Revisão_Gemini'!$A$7:$A$456,0))&amp;"","")</f>
        <v>Excluir</v>
      </c>
      <c r="H138" s="2" t="str">
        <f t="array" ref="H138">IFERROR(INDEX('Revisão_ChatGPT'!$H$7:$H$456,MATCH($A138,'Revisão_ChatGPT'!$A$7:$A$456,0))&amp;"","")</f>
        <v>Excluir</v>
      </c>
      <c r="I138" s="2" t="str">
        <f t="shared" si="1"/>
        <v>3/3</v>
      </c>
      <c r="J138" s="21"/>
      <c r="K138" s="21"/>
      <c r="L138" s="21"/>
      <c r="M138" s="22" t="b">
        <f t="shared" si="2"/>
        <v>0</v>
      </c>
      <c r="N138" s="21"/>
      <c r="O138" s="2" t="str">
        <f t="shared" si="3"/>
        <v>Fora do recorte anual + Excluir</v>
      </c>
      <c r="P138" s="2" t="str">
        <f t="array" ref="P138">IF(O138&lt;&gt;"Incluir","",IF(K138&lt;&gt;"",K138,IF(IFERROR(INDEX(Triagem!$J$2:$J$451,MATCH($A138,Triagem!$A$2:$A$451,0))&amp;"","")&lt;&gt;"",IFERROR(INDEX(Triagem!$J$2:$J$451,MATCH($A138,Triagem!$A$2:$A$451,0))&amp;"",""),IF(IFERROR(INDEX('Revisão_Gemini'!$I$7:$I$456,MATCH($A138,'Revisão_Gemini'!$A$7:$A$456,0))&amp;"","")&lt;&gt;"",IFERROR(INDEX('Revisão_Gemini'!$I$7:$I$456,MATCH($A138,'Revisão_Gemini'!$A$7:$A$456,0))&amp;"",""),IFERROR(INDEX('Revisão_ChatGPT'!$I$7:$I$456,MATCH($A138,'Revisão_ChatGPT'!$A$7:$A$456,0))&amp;"","")))))</f>
        <v/>
      </c>
      <c r="Q138" s="2" t="str">
        <f t="array" ref="Q138">IF(O138&lt;&gt;"Excluir","",IF(L138&lt;&gt;"",L138,IF(F138="Excluir",IFERROR(INDEX(Triagem!$K$2:$K$451,MATCH($A138,Triagem!$A$2:$A$451,0))&amp;"",""),IF(G138="Excluir",IFERROR(INDEX('Revisão_Gemini'!$J$7:$J$456,MATCH($A138,'Revisão_Gemini'!$A$7:$A$456,0))&amp;"",""),IFERROR(INDEX('Revisão_ChatGPT'!$J$7:$J$456,MATCH($A138,'Revisão_ChatGPT'!$A$7:$A$456,0))&amp;"","")))))</f>
        <v/>
      </c>
    </row>
    <row r="139" ht="15.75" customHeight="1">
      <c r="A139" s="2" t="s">
        <v>1778</v>
      </c>
      <c r="B139" s="19" t="str">
        <f t="array" ref="B139">INDEX(Triagem!$N$2:$N451 , MATCH(A139,Triagem!$A$2:$A451,0))</f>
        <v>abrir</v>
      </c>
      <c r="C139" s="20">
        <f t="array" ref="C139">INDEX(Triagem!$B$2:$B451 , MATCH(A139,Triagem!$A$2:$A451,0))</f>
        <v>2014</v>
      </c>
      <c r="D139" s="2" t="s">
        <v>1779</v>
      </c>
      <c r="E139" s="2" t="s">
        <v>1780</v>
      </c>
      <c r="F139" s="2" t="str">
        <f t="array" ref="F139">IFERROR(INDEX(Triagem!$I$2:$I$451,MATCH($A139,Triagem!$A$2:$A$451,0))&amp;"","")</f>
        <v>Excluir</v>
      </c>
      <c r="G139" s="2" t="str">
        <f t="array" ref="G139">IFERROR(INDEX('Revisão_Gemini'!$H$7:$H$456,MATCH($A139,'Revisão_Gemini'!$A$7:$A$456,0))&amp;"","")</f>
        <v>Excluir</v>
      </c>
      <c r="H139" s="2" t="str">
        <f t="array" ref="H139">IFERROR(INDEX('Revisão_ChatGPT'!$H$7:$H$456,MATCH($A139,'Revisão_ChatGPT'!$A$7:$A$456,0))&amp;"","")</f>
        <v>Excluir</v>
      </c>
      <c r="I139" s="2" t="str">
        <f t="shared" si="1"/>
        <v>3/3</v>
      </c>
      <c r="J139" s="21"/>
      <c r="K139" s="21"/>
      <c r="L139" s="21"/>
      <c r="M139" s="22" t="b">
        <f t="shared" si="2"/>
        <v>0</v>
      </c>
      <c r="N139" s="21" t="s">
        <v>3223</v>
      </c>
      <c r="O139" s="2" t="str">
        <f t="shared" si="3"/>
        <v>Fora do recorte anual + Excluir</v>
      </c>
      <c r="P139" s="2" t="str">
        <f t="array" ref="P139">IF(O139&lt;&gt;"Incluir","",IF(K139&lt;&gt;"",K139,IF(IFERROR(INDEX(Triagem!$J$2:$J$451,MATCH($A139,Triagem!$A$2:$A$451,0))&amp;"","")&lt;&gt;"",IFERROR(INDEX(Triagem!$J$2:$J$451,MATCH($A139,Triagem!$A$2:$A$451,0))&amp;"",""),IF(IFERROR(INDEX('Revisão_Gemini'!$I$7:$I$456,MATCH($A139,'Revisão_Gemini'!$A$7:$A$456,0))&amp;"","")&lt;&gt;"",IFERROR(INDEX('Revisão_Gemini'!$I$7:$I$456,MATCH($A139,'Revisão_Gemini'!$A$7:$A$456,0))&amp;"",""),IFERROR(INDEX('Revisão_ChatGPT'!$I$7:$I$456,MATCH($A139,'Revisão_ChatGPT'!$A$7:$A$456,0))&amp;"","")))))</f>
        <v/>
      </c>
      <c r="Q139" s="2" t="str">
        <f t="array" ref="Q139">IF(O139&lt;&gt;"Excluir","",IF(L139&lt;&gt;"",L139,IF(F139="Excluir",IFERROR(INDEX(Triagem!$K$2:$K$451,MATCH($A139,Triagem!$A$2:$A$451,0))&amp;"",""),IF(G139="Excluir",IFERROR(INDEX('Revisão_Gemini'!$J$7:$J$456,MATCH($A139,'Revisão_Gemini'!$A$7:$A$456,0))&amp;"",""),IFERROR(INDEX('Revisão_ChatGPT'!$J$7:$J$456,MATCH($A139,'Revisão_ChatGPT'!$A$7:$A$456,0))&amp;"","")))))</f>
        <v/>
      </c>
    </row>
    <row r="140" ht="15.75" customHeight="1">
      <c r="A140" s="2" t="s">
        <v>867</v>
      </c>
      <c r="B140" s="19" t="str">
        <f t="array" ref="B140">INDEX(Triagem!$N$2:$N451 , MATCH(A140,Triagem!$A$2:$A451,0))</f>
        <v>abrir</v>
      </c>
      <c r="C140" s="20">
        <f t="array" ref="C140">INDEX(Triagem!$B$2:$B451 , MATCH(A140,Triagem!$A$2:$A451,0))</f>
        <v>2014</v>
      </c>
      <c r="D140" s="2" t="s">
        <v>869</v>
      </c>
      <c r="E140" s="2" t="s">
        <v>870</v>
      </c>
      <c r="F140" s="2" t="str">
        <f t="array" ref="F140">IFERROR(INDEX(Triagem!$I$2:$I$451,MATCH($A140,Triagem!$A$2:$A$451,0))&amp;"","")</f>
        <v>Apoio</v>
      </c>
      <c r="G140" s="2" t="str">
        <f t="array" ref="G140">IFERROR(INDEX('Revisão_Gemini'!$H$7:$H$456,MATCH($A140,'Revisão_Gemini'!$A$7:$A$456,0))&amp;"","")</f>
        <v>Apoio</v>
      </c>
      <c r="H140" s="2" t="str">
        <f t="array" ref="H140">IFERROR(INDEX('Revisão_ChatGPT'!$H$7:$H$456,MATCH($A140,'Revisão_ChatGPT'!$A$7:$A$456,0))&amp;"","")</f>
        <v>Apoio</v>
      </c>
      <c r="I140" s="2" t="str">
        <f t="shared" si="1"/>
        <v>3/3</v>
      </c>
      <c r="J140" s="21"/>
      <c r="K140" s="21"/>
      <c r="L140" s="21"/>
      <c r="M140" s="22" t="b">
        <f t="shared" si="2"/>
        <v>0</v>
      </c>
      <c r="N140" s="21"/>
      <c r="O140" s="2" t="str">
        <f t="shared" si="3"/>
        <v>Fora do recorte anual + Apoio</v>
      </c>
      <c r="P140" s="2" t="str">
        <f t="array" ref="P140">IF(O140&lt;&gt;"Incluir","",IF(K140&lt;&gt;"",K140,IF(IFERROR(INDEX(Triagem!$J$2:$J$451,MATCH($A140,Triagem!$A$2:$A$451,0))&amp;"","")&lt;&gt;"",IFERROR(INDEX(Triagem!$J$2:$J$451,MATCH($A140,Triagem!$A$2:$A$451,0))&amp;"",""),IF(IFERROR(INDEX('Revisão_Gemini'!$I$7:$I$456,MATCH($A140,'Revisão_Gemini'!$A$7:$A$456,0))&amp;"","")&lt;&gt;"",IFERROR(INDEX('Revisão_Gemini'!$I$7:$I$456,MATCH($A140,'Revisão_Gemini'!$A$7:$A$456,0))&amp;"",""),IFERROR(INDEX('Revisão_ChatGPT'!$I$7:$I$456,MATCH($A140,'Revisão_ChatGPT'!$A$7:$A$456,0))&amp;"","")))))</f>
        <v/>
      </c>
      <c r="Q140" s="2" t="str">
        <f t="array" ref="Q140">IF(O140&lt;&gt;"Excluir","",IF(L140&lt;&gt;"",L140,IF(F140="Excluir",IFERROR(INDEX(Triagem!$K$2:$K$451,MATCH($A140,Triagem!$A$2:$A$451,0))&amp;"",""),IF(G140="Excluir",IFERROR(INDEX('Revisão_Gemini'!$J$7:$J$456,MATCH($A140,'Revisão_Gemini'!$A$7:$A$456,0))&amp;"",""),IFERROR(INDEX('Revisão_ChatGPT'!$J$7:$J$456,MATCH($A140,'Revisão_ChatGPT'!$A$7:$A$456,0))&amp;"","")))))</f>
        <v/>
      </c>
    </row>
    <row r="141" ht="15.75" customHeight="1">
      <c r="A141" s="2" t="s">
        <v>518</v>
      </c>
      <c r="B141" s="19" t="str">
        <f t="array" ref="B141">INDEX(Triagem!$N$2:$N451 , MATCH(A141,Triagem!$A$2:$A451,0))</f>
        <v>abrir</v>
      </c>
      <c r="C141" s="20">
        <f t="array" ref="C141">INDEX(Triagem!$B$2:$B451 , MATCH(A141,Triagem!$A$2:$A451,0))</f>
        <v>2015</v>
      </c>
      <c r="D141" s="2" t="s">
        <v>520</v>
      </c>
      <c r="E141" s="2" t="s">
        <v>521</v>
      </c>
      <c r="F141" s="2" t="str">
        <f t="array" ref="F141">IFERROR(INDEX(Triagem!$I$2:$I$451,MATCH($A141,Triagem!$A$2:$A$451,0))&amp;"","")</f>
        <v>Incluir</v>
      </c>
      <c r="G141" s="2" t="str">
        <f t="array" ref="G141">IFERROR(INDEX('Revisão_Gemini'!$H$7:$H$456,MATCH($A141,'Revisão_Gemini'!$A$7:$A$456,0))&amp;"","")</f>
        <v>Incluir</v>
      </c>
      <c r="H141" s="2" t="str">
        <f t="array" ref="H141">IFERROR(INDEX('Revisão_ChatGPT'!$H$7:$H$456,MATCH($A141,'Revisão_ChatGPT'!$A$7:$A$456,0))&amp;"","")</f>
        <v>Incluir</v>
      </c>
      <c r="I141" s="2" t="str">
        <f t="shared" si="1"/>
        <v>3/3</v>
      </c>
      <c r="J141" s="21"/>
      <c r="K141" s="21"/>
      <c r="L141" s="21"/>
      <c r="M141" s="22" t="b">
        <f t="shared" si="2"/>
        <v>0</v>
      </c>
      <c r="N141" s="21" t="s">
        <v>3224</v>
      </c>
      <c r="O141" s="2" t="str">
        <f t="shared" si="3"/>
        <v>Fora do recorte anual + Incluir</v>
      </c>
      <c r="P141" s="2" t="str">
        <f t="array" ref="P141">IF(O141&lt;&gt;"Incluir","",IF(K141&lt;&gt;"",K141,IF(IFERROR(INDEX(Triagem!$J$2:$J$451,MATCH($A141,Triagem!$A$2:$A$451,0))&amp;"","")&lt;&gt;"",IFERROR(INDEX(Triagem!$J$2:$J$451,MATCH($A141,Triagem!$A$2:$A$451,0))&amp;"",""),IF(IFERROR(INDEX('Revisão_Gemini'!$I$7:$I$456,MATCH($A141,'Revisão_Gemini'!$A$7:$A$456,0))&amp;"","")&lt;&gt;"",IFERROR(INDEX('Revisão_Gemini'!$I$7:$I$456,MATCH($A141,'Revisão_Gemini'!$A$7:$A$456,0))&amp;"",""),IFERROR(INDEX('Revisão_ChatGPT'!$I$7:$I$456,MATCH($A141,'Revisão_ChatGPT'!$A$7:$A$456,0))&amp;"","")))))</f>
        <v/>
      </c>
      <c r="Q141" s="2" t="str">
        <f t="array" ref="Q141">IF(O141&lt;&gt;"Excluir","",IF(L141&lt;&gt;"",L141,IF(F141="Excluir",IFERROR(INDEX(Triagem!$K$2:$K$451,MATCH($A141,Triagem!$A$2:$A$451,0))&amp;"",""),IF(G141="Excluir",IFERROR(INDEX('Revisão_Gemini'!$J$7:$J$456,MATCH($A141,'Revisão_Gemini'!$A$7:$A$456,0))&amp;"",""),IFERROR(INDEX('Revisão_ChatGPT'!$J$7:$J$456,MATCH($A141,'Revisão_ChatGPT'!$A$7:$A$456,0))&amp;"","")))))</f>
        <v/>
      </c>
    </row>
    <row r="142" ht="15.75" customHeight="1">
      <c r="A142" s="2" t="s">
        <v>1362</v>
      </c>
      <c r="B142" s="19" t="str">
        <f t="array" ref="B142">INDEX(Triagem!$N$2:$N451 , MATCH(A142,Triagem!$A$2:$A451,0))</f>
        <v>abrir</v>
      </c>
      <c r="C142" s="20">
        <f t="array" ref="C142">INDEX(Triagem!$B$2:$B451 , MATCH(A142,Triagem!$A$2:$A451,0))</f>
        <v>2015</v>
      </c>
      <c r="D142" s="2" t="s">
        <v>1364</v>
      </c>
      <c r="E142" s="2" t="s">
        <v>1365</v>
      </c>
      <c r="F142" s="2" t="str">
        <f t="array" ref="F142">IFERROR(INDEX(Triagem!$I$2:$I$451,MATCH($A142,Triagem!$A$2:$A$451,0))&amp;"","")</f>
        <v>Excluir</v>
      </c>
      <c r="G142" s="2" t="str">
        <f t="array" ref="G142">IFERROR(INDEX('Revisão_Gemini'!$H$7:$H$456,MATCH($A142,'Revisão_Gemini'!$A$7:$A$456,0))&amp;"","")</f>
        <v>Excluir</v>
      </c>
      <c r="H142" s="2" t="str">
        <f t="array" ref="H142">IFERROR(INDEX('Revisão_ChatGPT'!$H$7:$H$456,MATCH($A142,'Revisão_ChatGPT'!$A$7:$A$456,0))&amp;"","")</f>
        <v>Excluir</v>
      </c>
      <c r="I142" s="2" t="str">
        <f t="shared" si="1"/>
        <v>3/3</v>
      </c>
      <c r="J142" s="21"/>
      <c r="K142" s="21"/>
      <c r="L142" s="21"/>
      <c r="M142" s="22" t="b">
        <f t="shared" si="2"/>
        <v>0</v>
      </c>
      <c r="N142" s="21" t="s">
        <v>3225</v>
      </c>
      <c r="O142" s="2" t="str">
        <f t="shared" si="3"/>
        <v>Fora do recorte anual + Excluir</v>
      </c>
      <c r="P142" s="2" t="str">
        <f t="array" ref="P142">IF(O142&lt;&gt;"Incluir","",IF(K142&lt;&gt;"",K142,IF(IFERROR(INDEX(Triagem!$J$2:$J$451,MATCH($A142,Triagem!$A$2:$A$451,0))&amp;"","")&lt;&gt;"",IFERROR(INDEX(Triagem!$J$2:$J$451,MATCH($A142,Triagem!$A$2:$A$451,0))&amp;"",""),IF(IFERROR(INDEX('Revisão_Gemini'!$I$7:$I$456,MATCH($A142,'Revisão_Gemini'!$A$7:$A$456,0))&amp;"","")&lt;&gt;"",IFERROR(INDEX('Revisão_Gemini'!$I$7:$I$456,MATCH($A142,'Revisão_Gemini'!$A$7:$A$456,0))&amp;"",""),IFERROR(INDEX('Revisão_ChatGPT'!$I$7:$I$456,MATCH($A142,'Revisão_ChatGPT'!$A$7:$A$456,0))&amp;"","")))))</f>
        <v/>
      </c>
      <c r="Q142" s="2" t="str">
        <f t="array" ref="Q142">IF(O142&lt;&gt;"Excluir","",IF(L142&lt;&gt;"",L142,IF(F142="Excluir",IFERROR(INDEX(Triagem!$K$2:$K$451,MATCH($A142,Triagem!$A$2:$A$451,0))&amp;"",""),IF(G142="Excluir",IFERROR(INDEX('Revisão_Gemini'!$J$7:$J$456,MATCH($A142,'Revisão_Gemini'!$A$7:$A$456,0))&amp;"",""),IFERROR(INDEX('Revisão_ChatGPT'!$J$7:$J$456,MATCH($A142,'Revisão_ChatGPT'!$A$7:$A$456,0))&amp;"","")))))</f>
        <v/>
      </c>
    </row>
    <row r="143" ht="15.75" customHeight="1">
      <c r="A143" s="2" t="s">
        <v>524</v>
      </c>
      <c r="B143" s="19" t="str">
        <f t="array" ref="B143">INDEX(Triagem!$N$2:$N451 , MATCH(A143,Triagem!$A$2:$A451,0))</f>
        <v>abrir</v>
      </c>
      <c r="C143" s="20">
        <f t="array" ref="C143">INDEX(Triagem!$B$2:$B451 , MATCH(A143,Triagem!$A$2:$A451,0))</f>
        <v>2015</v>
      </c>
      <c r="D143" s="2" t="s">
        <v>526</v>
      </c>
      <c r="E143" s="2" t="s">
        <v>527</v>
      </c>
      <c r="F143" s="2" t="str">
        <f t="array" ref="F143">IFERROR(INDEX(Triagem!$I$2:$I$451,MATCH($A143,Triagem!$A$2:$A$451,0))&amp;"","")</f>
        <v>Incluir</v>
      </c>
      <c r="G143" s="2" t="str">
        <f t="array" ref="G143">IFERROR(INDEX('Revisão_Gemini'!$H$7:$H$456,MATCH($A143,'Revisão_Gemini'!$A$7:$A$456,0))&amp;"","")</f>
        <v>Incluir</v>
      </c>
      <c r="H143" s="2" t="str">
        <f t="array" ref="H143">IFERROR(INDEX('Revisão_ChatGPT'!$H$7:$H$456,MATCH($A143,'Revisão_ChatGPT'!$A$7:$A$456,0))&amp;"","")</f>
        <v>Incluir</v>
      </c>
      <c r="I143" s="2" t="str">
        <f t="shared" si="1"/>
        <v>3/3</v>
      </c>
      <c r="J143" s="21"/>
      <c r="K143" s="21"/>
      <c r="L143" s="21"/>
      <c r="M143" s="22" t="b">
        <f t="shared" si="2"/>
        <v>0</v>
      </c>
      <c r="N143" s="21"/>
      <c r="O143" s="2" t="str">
        <f t="shared" si="3"/>
        <v>Fora do recorte anual + Incluir</v>
      </c>
      <c r="P143" s="2" t="str">
        <f t="array" ref="P143">IF(O143&lt;&gt;"Incluir","",IF(K143&lt;&gt;"",K143,IF(IFERROR(INDEX(Triagem!$J$2:$J$451,MATCH($A143,Triagem!$A$2:$A$451,0))&amp;"","")&lt;&gt;"",IFERROR(INDEX(Triagem!$J$2:$J$451,MATCH($A143,Triagem!$A$2:$A$451,0))&amp;"",""),IF(IFERROR(INDEX('Revisão_Gemini'!$I$7:$I$456,MATCH($A143,'Revisão_Gemini'!$A$7:$A$456,0))&amp;"","")&lt;&gt;"",IFERROR(INDEX('Revisão_Gemini'!$I$7:$I$456,MATCH($A143,'Revisão_Gemini'!$A$7:$A$456,0))&amp;"",""),IFERROR(INDEX('Revisão_ChatGPT'!$I$7:$I$456,MATCH($A143,'Revisão_ChatGPT'!$A$7:$A$456,0))&amp;"","")))))</f>
        <v/>
      </c>
      <c r="Q143" s="2" t="str">
        <f t="array" ref="Q143">IF(O143&lt;&gt;"Excluir","",IF(L143&lt;&gt;"",L143,IF(F143="Excluir",IFERROR(INDEX(Triagem!$K$2:$K$451,MATCH($A143,Triagem!$A$2:$A$451,0))&amp;"",""),IF(G143="Excluir",IFERROR(INDEX('Revisão_Gemini'!$J$7:$J$456,MATCH($A143,'Revisão_Gemini'!$A$7:$A$456,0))&amp;"",""),IFERROR(INDEX('Revisão_ChatGPT'!$J$7:$J$456,MATCH($A143,'Revisão_ChatGPT'!$A$7:$A$456,0))&amp;"","")))))</f>
        <v/>
      </c>
    </row>
    <row r="144" ht="15.75" customHeight="1">
      <c r="A144" s="2" t="s">
        <v>1745</v>
      </c>
      <c r="B144" s="19" t="str">
        <f t="array" ref="B144">INDEX(Triagem!$N$2:$N451 , MATCH(A144,Triagem!$A$2:$A451,0))</f>
        <v>abrir</v>
      </c>
      <c r="C144" s="20">
        <f t="array" ref="C144">INDEX(Triagem!$B$2:$B451 , MATCH(A144,Triagem!$A$2:$A451,0))</f>
        <v>2016</v>
      </c>
      <c r="D144" s="2" t="s">
        <v>1746</v>
      </c>
      <c r="E144" s="2" t="s">
        <v>1747</v>
      </c>
      <c r="F144" s="2" t="str">
        <f t="array" ref="F144">IFERROR(INDEX(Triagem!$I$2:$I$451,MATCH($A144,Triagem!$A$2:$A$451,0))&amp;"","")</f>
        <v>Excluir</v>
      </c>
      <c r="G144" s="2" t="str">
        <f t="array" ref="G144">IFERROR(INDEX('Revisão_Gemini'!$H$7:$H$456,MATCH($A144,'Revisão_Gemini'!$A$7:$A$456,0))&amp;"","")</f>
        <v>Excluir</v>
      </c>
      <c r="H144" s="2" t="str">
        <f t="array" ref="H144">IFERROR(INDEX('Revisão_ChatGPT'!$H$7:$H$456,MATCH($A144,'Revisão_ChatGPT'!$A$7:$A$456,0))&amp;"","")</f>
        <v>Excluir</v>
      </c>
      <c r="I144" s="2" t="str">
        <f t="shared" si="1"/>
        <v>3/3</v>
      </c>
      <c r="J144" s="21"/>
      <c r="K144" s="21"/>
      <c r="L144" s="21"/>
      <c r="M144" s="22" t="b">
        <f t="shared" si="2"/>
        <v>0</v>
      </c>
      <c r="N144" s="21" t="s">
        <v>3226</v>
      </c>
      <c r="O144" s="2" t="str">
        <f t="shared" si="3"/>
        <v>Fora do recorte anual + Excluir</v>
      </c>
      <c r="P144" s="2" t="str">
        <f t="array" ref="P144">IF(O144&lt;&gt;"Incluir","",IF(K144&lt;&gt;"",K144,IF(IFERROR(INDEX(Triagem!$J$2:$J$451,MATCH($A144,Triagem!$A$2:$A$451,0))&amp;"","")&lt;&gt;"",IFERROR(INDEX(Triagem!$J$2:$J$451,MATCH($A144,Triagem!$A$2:$A$451,0))&amp;"",""),IF(IFERROR(INDEX('Revisão_Gemini'!$I$7:$I$456,MATCH($A144,'Revisão_Gemini'!$A$7:$A$456,0))&amp;"","")&lt;&gt;"",IFERROR(INDEX('Revisão_Gemini'!$I$7:$I$456,MATCH($A144,'Revisão_Gemini'!$A$7:$A$456,0))&amp;"",""),IFERROR(INDEX('Revisão_ChatGPT'!$I$7:$I$456,MATCH($A144,'Revisão_ChatGPT'!$A$7:$A$456,0))&amp;"","")))))</f>
        <v/>
      </c>
      <c r="Q144" s="2" t="str">
        <f t="array" ref="Q144">IF(O144&lt;&gt;"Excluir","",IF(L144&lt;&gt;"",L144,IF(F144="Excluir",IFERROR(INDEX(Triagem!$K$2:$K$451,MATCH($A144,Triagem!$A$2:$A$451,0))&amp;"",""),IF(G144="Excluir",IFERROR(INDEX('Revisão_Gemini'!$J$7:$J$456,MATCH($A144,'Revisão_Gemini'!$A$7:$A$456,0))&amp;"",""),IFERROR(INDEX('Revisão_ChatGPT'!$J$7:$J$456,MATCH($A144,'Revisão_ChatGPT'!$A$7:$A$456,0))&amp;"","")))))</f>
        <v/>
      </c>
    </row>
    <row r="145" ht="15.75" customHeight="1">
      <c r="A145" s="2" t="s">
        <v>1366</v>
      </c>
      <c r="B145" s="19" t="str">
        <f t="array" ref="B145">INDEX(Triagem!$N$2:$N451 , MATCH(A145,Triagem!$A$2:$A451,0))</f>
        <v>abrir</v>
      </c>
      <c r="C145" s="20">
        <f t="array" ref="C145">INDEX(Triagem!$B$2:$B451 , MATCH(A145,Triagem!$A$2:$A451,0))</f>
        <v>2015</v>
      </c>
      <c r="D145" s="2" t="s">
        <v>1368</v>
      </c>
      <c r="E145" s="2" t="s">
        <v>1369</v>
      </c>
      <c r="F145" s="2" t="str">
        <f t="array" ref="F145">IFERROR(INDEX(Triagem!$I$2:$I$451,MATCH($A145,Triagem!$A$2:$A$451,0))&amp;"","")</f>
        <v>Excluir</v>
      </c>
      <c r="G145" s="2" t="str">
        <f t="array" ref="G145">IFERROR(INDEX('Revisão_Gemini'!$H$7:$H$456,MATCH($A145,'Revisão_Gemini'!$A$7:$A$456,0))&amp;"","")</f>
        <v>Excluir</v>
      </c>
      <c r="H145" s="2" t="str">
        <f t="array" ref="H145">IFERROR(INDEX('Revisão_ChatGPT'!$H$7:$H$456,MATCH($A145,'Revisão_ChatGPT'!$A$7:$A$456,0))&amp;"","")</f>
        <v>Excluir</v>
      </c>
      <c r="I145" s="2" t="str">
        <f t="shared" si="1"/>
        <v>3/3</v>
      </c>
      <c r="J145" s="21"/>
      <c r="K145" s="21"/>
      <c r="L145" s="21"/>
      <c r="M145" s="22" t="b">
        <f t="shared" si="2"/>
        <v>0</v>
      </c>
      <c r="N145" s="21" t="s">
        <v>3227</v>
      </c>
      <c r="O145" s="2" t="str">
        <f t="shared" si="3"/>
        <v>Fora do recorte anual + Excluir</v>
      </c>
      <c r="P145" s="2" t="str">
        <f t="array" ref="P145">IF(O145&lt;&gt;"Incluir","",IF(K145&lt;&gt;"",K145,IF(IFERROR(INDEX(Triagem!$J$2:$J$451,MATCH($A145,Triagem!$A$2:$A$451,0))&amp;"","")&lt;&gt;"",IFERROR(INDEX(Triagem!$J$2:$J$451,MATCH($A145,Triagem!$A$2:$A$451,0))&amp;"",""),IF(IFERROR(INDEX('Revisão_Gemini'!$I$7:$I$456,MATCH($A145,'Revisão_Gemini'!$A$7:$A$456,0))&amp;"","")&lt;&gt;"",IFERROR(INDEX('Revisão_Gemini'!$I$7:$I$456,MATCH($A145,'Revisão_Gemini'!$A$7:$A$456,0))&amp;"",""),IFERROR(INDEX('Revisão_ChatGPT'!$I$7:$I$456,MATCH($A145,'Revisão_ChatGPT'!$A$7:$A$456,0))&amp;"","")))))</f>
        <v/>
      </c>
      <c r="Q145" s="2" t="str">
        <f t="array" ref="Q145">IF(O145&lt;&gt;"Excluir","",IF(L145&lt;&gt;"",L145,IF(F145="Excluir",IFERROR(INDEX(Triagem!$K$2:$K$451,MATCH($A145,Triagem!$A$2:$A$451,0))&amp;"",""),IF(G145="Excluir",IFERROR(INDEX('Revisão_Gemini'!$J$7:$J$456,MATCH($A145,'Revisão_Gemini'!$A$7:$A$456,0))&amp;"",""),IFERROR(INDEX('Revisão_ChatGPT'!$J$7:$J$456,MATCH($A145,'Revisão_ChatGPT'!$A$7:$A$456,0))&amp;"","")))))</f>
        <v/>
      </c>
    </row>
    <row r="146" ht="15.75" customHeight="1">
      <c r="A146" s="2" t="s">
        <v>1332</v>
      </c>
      <c r="B146" s="19" t="str">
        <f t="array" ref="B146">INDEX(Triagem!$N$2:$N451 , MATCH(A146,Triagem!$A$2:$A451,0))</f>
        <v>abrir</v>
      </c>
      <c r="C146" s="20">
        <f t="array" ref="C146">INDEX(Triagem!$B$2:$B451 , MATCH(A146,Triagem!$A$2:$A451,0))</f>
        <v>2016</v>
      </c>
      <c r="D146" s="2" t="s">
        <v>1334</v>
      </c>
      <c r="E146" s="2" t="s">
        <v>1335</v>
      </c>
      <c r="F146" s="2" t="str">
        <f t="array" ref="F146">IFERROR(INDEX(Triagem!$I$2:$I$451,MATCH($A146,Triagem!$A$2:$A$451,0))&amp;"","")</f>
        <v>Excluir</v>
      </c>
      <c r="G146" s="2" t="str">
        <f t="array" ref="G146">IFERROR(INDEX('Revisão_Gemini'!$H$7:$H$456,MATCH($A146,'Revisão_Gemini'!$A$7:$A$456,0))&amp;"","")</f>
        <v>Excluir</v>
      </c>
      <c r="H146" s="2" t="str">
        <f t="array" ref="H146">IFERROR(INDEX('Revisão_ChatGPT'!$H$7:$H$456,MATCH($A146,'Revisão_ChatGPT'!$A$7:$A$456,0))&amp;"","")</f>
        <v>Excluir</v>
      </c>
      <c r="I146" s="2" t="str">
        <f t="shared" si="1"/>
        <v>3/3</v>
      </c>
      <c r="J146" s="21"/>
      <c r="K146" s="21"/>
      <c r="L146" s="21"/>
      <c r="M146" s="22" t="b">
        <f t="shared" si="2"/>
        <v>0</v>
      </c>
      <c r="N146" s="21" t="s">
        <v>3228</v>
      </c>
      <c r="O146" s="2" t="str">
        <f t="shared" si="3"/>
        <v>Fora do recorte anual + Excluir</v>
      </c>
      <c r="P146" s="2" t="str">
        <f t="array" ref="P146">IF(O146&lt;&gt;"Incluir","",IF(K146&lt;&gt;"",K146,IF(IFERROR(INDEX(Triagem!$J$2:$J$451,MATCH($A146,Triagem!$A$2:$A$451,0))&amp;"","")&lt;&gt;"",IFERROR(INDEX(Triagem!$J$2:$J$451,MATCH($A146,Triagem!$A$2:$A$451,0))&amp;"",""),IF(IFERROR(INDEX('Revisão_Gemini'!$I$7:$I$456,MATCH($A146,'Revisão_Gemini'!$A$7:$A$456,0))&amp;"","")&lt;&gt;"",IFERROR(INDEX('Revisão_Gemini'!$I$7:$I$456,MATCH($A146,'Revisão_Gemini'!$A$7:$A$456,0))&amp;"",""),IFERROR(INDEX('Revisão_ChatGPT'!$I$7:$I$456,MATCH($A146,'Revisão_ChatGPT'!$A$7:$A$456,0))&amp;"","")))))</f>
        <v/>
      </c>
      <c r="Q146" s="2" t="str">
        <f t="array" ref="Q146">IF(O146&lt;&gt;"Excluir","",IF(L146&lt;&gt;"",L146,IF(F146="Excluir",IFERROR(INDEX(Triagem!$K$2:$K$451,MATCH($A146,Triagem!$A$2:$A$451,0))&amp;"",""),IF(G146="Excluir",IFERROR(INDEX('Revisão_Gemini'!$J$7:$J$456,MATCH($A146,'Revisão_Gemini'!$A$7:$A$456,0))&amp;"",""),IFERROR(INDEX('Revisão_ChatGPT'!$J$7:$J$456,MATCH($A146,'Revisão_ChatGPT'!$A$7:$A$456,0))&amp;"","")))))</f>
        <v/>
      </c>
    </row>
    <row r="147" ht="15.75" customHeight="1">
      <c r="A147" s="2" t="s">
        <v>853</v>
      </c>
      <c r="B147" s="19" t="str">
        <f t="array" ref="B147">INDEX(Triagem!$N$2:$N451 , MATCH(A147,Triagem!$A$2:$A451,0))</f>
        <v>abrir</v>
      </c>
      <c r="C147" s="20">
        <f t="array" ref="C147">INDEX(Triagem!$B$2:$B451 , MATCH(A147,Triagem!$A$2:$A451,0))</f>
        <v>2015</v>
      </c>
      <c r="D147" s="2" t="s">
        <v>854</v>
      </c>
      <c r="E147" s="2" t="s">
        <v>855</v>
      </c>
      <c r="F147" s="2" t="str">
        <f t="array" ref="F147">IFERROR(INDEX(Triagem!$I$2:$I$451,MATCH($A147,Triagem!$A$2:$A$451,0))&amp;"","")</f>
        <v>Apoio</v>
      </c>
      <c r="G147" s="2" t="str">
        <f t="array" ref="G147">IFERROR(INDEX('Revisão_Gemini'!$H$7:$H$456,MATCH($A147,'Revisão_Gemini'!$A$7:$A$456,0))&amp;"","")</f>
        <v>Apoio</v>
      </c>
      <c r="H147" s="2" t="str">
        <f t="array" ref="H147">IFERROR(INDEX('Revisão_ChatGPT'!$H$7:$H$456,MATCH($A147,'Revisão_ChatGPT'!$A$7:$A$456,0))&amp;"","")</f>
        <v>Apoio</v>
      </c>
      <c r="I147" s="2" t="str">
        <f t="shared" si="1"/>
        <v>3/3</v>
      </c>
      <c r="J147" s="21"/>
      <c r="K147" s="21"/>
      <c r="L147" s="21"/>
      <c r="M147" s="22" t="b">
        <f t="shared" si="2"/>
        <v>0</v>
      </c>
      <c r="N147" s="21"/>
      <c r="O147" s="2" t="str">
        <f t="shared" si="3"/>
        <v>Fora do recorte anual + Apoio</v>
      </c>
      <c r="P147" s="2" t="str">
        <f t="array" ref="P147">IF(O147&lt;&gt;"Incluir","",IF(K147&lt;&gt;"",K147,IF(IFERROR(INDEX(Triagem!$J$2:$J$451,MATCH($A147,Triagem!$A$2:$A$451,0))&amp;"","")&lt;&gt;"",IFERROR(INDEX(Triagem!$J$2:$J$451,MATCH($A147,Triagem!$A$2:$A$451,0))&amp;"",""),IF(IFERROR(INDEX('Revisão_Gemini'!$I$7:$I$456,MATCH($A147,'Revisão_Gemini'!$A$7:$A$456,0))&amp;"","")&lt;&gt;"",IFERROR(INDEX('Revisão_Gemini'!$I$7:$I$456,MATCH($A147,'Revisão_Gemini'!$A$7:$A$456,0))&amp;"",""),IFERROR(INDEX('Revisão_ChatGPT'!$I$7:$I$456,MATCH($A147,'Revisão_ChatGPT'!$A$7:$A$456,0))&amp;"","")))))</f>
        <v/>
      </c>
      <c r="Q147" s="2" t="str">
        <f t="array" ref="Q147">IF(O147&lt;&gt;"Excluir","",IF(L147&lt;&gt;"",L147,IF(F147="Excluir",IFERROR(INDEX(Triagem!$K$2:$K$451,MATCH($A147,Triagem!$A$2:$A$451,0))&amp;"",""),IF(G147="Excluir",IFERROR(INDEX('Revisão_Gemini'!$J$7:$J$456,MATCH($A147,'Revisão_Gemini'!$A$7:$A$456,0))&amp;"",""),IFERROR(INDEX('Revisão_ChatGPT'!$J$7:$J$456,MATCH($A147,'Revisão_ChatGPT'!$A$7:$A$456,0))&amp;"","")))))</f>
        <v/>
      </c>
    </row>
    <row r="148" ht="15.75" customHeight="1">
      <c r="A148" s="2" t="s">
        <v>528</v>
      </c>
      <c r="B148" s="19" t="str">
        <f t="array" ref="B148">INDEX(Triagem!$N$2:$N451 , MATCH(A148,Triagem!$A$2:$A451,0))</f>
        <v>abrir</v>
      </c>
      <c r="C148" s="20">
        <f t="array" ref="C148">INDEX(Triagem!$B$2:$B451 , MATCH(A148,Triagem!$A$2:$A451,0))</f>
        <v>2015</v>
      </c>
      <c r="D148" s="2" t="s">
        <v>530</v>
      </c>
      <c r="E148" s="2" t="s">
        <v>531</v>
      </c>
      <c r="F148" s="2" t="str">
        <f t="array" ref="F148">IFERROR(INDEX(Triagem!$I$2:$I$451,MATCH($A148,Triagem!$A$2:$A$451,0))&amp;"","")</f>
        <v>Incluir</v>
      </c>
      <c r="G148" s="2" t="str">
        <f t="array" ref="G148">IFERROR(INDEX('Revisão_Gemini'!$H$7:$H$456,MATCH($A148,'Revisão_Gemini'!$A$7:$A$456,0))&amp;"","")</f>
        <v>Incluir</v>
      </c>
      <c r="H148" s="2" t="str">
        <f t="array" ref="H148">IFERROR(INDEX('Revisão_ChatGPT'!$H$7:$H$456,MATCH($A148,'Revisão_ChatGPT'!$A$7:$A$456,0))&amp;"","")</f>
        <v>Excluir</v>
      </c>
      <c r="I148" s="2" t="str">
        <f t="shared" si="1"/>
        <v>2/3</v>
      </c>
      <c r="J148" s="21" t="s">
        <v>98</v>
      </c>
      <c r="K148" s="21"/>
      <c r="L148" s="21"/>
      <c r="M148" s="22" t="b">
        <f t="shared" si="2"/>
        <v>0</v>
      </c>
      <c r="N148" s="21"/>
      <c r="O148" s="2" t="str">
        <f t="shared" si="3"/>
        <v>Fora do recorte anual + Incluir</v>
      </c>
      <c r="P148" s="2" t="str">
        <f t="array" ref="P148">IF(O148&lt;&gt;"Incluir","",IF(K148&lt;&gt;"",K148,IF(IFERROR(INDEX(Triagem!$J$2:$J$451,MATCH($A148,Triagem!$A$2:$A$451,0))&amp;"","")&lt;&gt;"",IFERROR(INDEX(Triagem!$J$2:$J$451,MATCH($A148,Triagem!$A$2:$A$451,0))&amp;"",""),IF(IFERROR(INDEX('Revisão_Gemini'!$I$7:$I$456,MATCH($A148,'Revisão_Gemini'!$A$7:$A$456,0))&amp;"","")&lt;&gt;"",IFERROR(INDEX('Revisão_Gemini'!$I$7:$I$456,MATCH($A148,'Revisão_Gemini'!$A$7:$A$456,0))&amp;"",""),IFERROR(INDEX('Revisão_ChatGPT'!$I$7:$I$456,MATCH($A148,'Revisão_ChatGPT'!$A$7:$A$456,0))&amp;"","")))))</f>
        <v/>
      </c>
      <c r="Q148" s="2" t="str">
        <f t="array" ref="Q148">IF(O148&lt;&gt;"Excluir","",IF(L148&lt;&gt;"",L148,IF(F148="Excluir",IFERROR(INDEX(Triagem!$K$2:$K$451,MATCH($A148,Triagem!$A$2:$A$451,0))&amp;"",""),IF(G148="Excluir",IFERROR(INDEX('Revisão_Gemini'!$J$7:$J$456,MATCH($A148,'Revisão_Gemini'!$A$7:$A$456,0))&amp;"",""),IFERROR(INDEX('Revisão_ChatGPT'!$J$7:$J$456,MATCH($A148,'Revisão_ChatGPT'!$A$7:$A$456,0))&amp;"","")))))</f>
        <v/>
      </c>
    </row>
    <row r="149" ht="15.75" customHeight="1">
      <c r="A149" s="2" t="s">
        <v>1370</v>
      </c>
      <c r="B149" s="19" t="str">
        <f t="array" ref="B149">INDEX(Triagem!$N$2:$N451 , MATCH(A149,Triagem!$A$2:$A451,0))</f>
        <v>abrir</v>
      </c>
      <c r="C149" s="20">
        <f t="array" ref="C149">INDEX(Triagem!$B$2:$B451 , MATCH(A149,Triagem!$A$2:$A451,0))</f>
        <v>2015</v>
      </c>
      <c r="D149" s="2" t="s">
        <v>1372</v>
      </c>
      <c r="E149" s="2" t="s">
        <v>1373</v>
      </c>
      <c r="F149" s="2" t="str">
        <f t="array" ref="F149">IFERROR(INDEX(Triagem!$I$2:$I$451,MATCH($A149,Triagem!$A$2:$A$451,0))&amp;"","")</f>
        <v>Excluir</v>
      </c>
      <c r="G149" s="2" t="str">
        <f t="array" ref="G149">IFERROR(INDEX('Revisão_Gemini'!$H$7:$H$456,MATCH($A149,'Revisão_Gemini'!$A$7:$A$456,0))&amp;"","")</f>
        <v>Excluir</v>
      </c>
      <c r="H149" s="2" t="str">
        <f t="array" ref="H149">IFERROR(INDEX('Revisão_ChatGPT'!$H$7:$H$456,MATCH($A149,'Revisão_ChatGPT'!$A$7:$A$456,0))&amp;"","")</f>
        <v>Excluir</v>
      </c>
      <c r="I149" s="2" t="str">
        <f t="shared" si="1"/>
        <v>3/3</v>
      </c>
      <c r="J149" s="21"/>
      <c r="K149" s="21"/>
      <c r="L149" s="21"/>
      <c r="M149" s="22" t="b">
        <f t="shared" si="2"/>
        <v>0</v>
      </c>
      <c r="N149" s="21" t="s">
        <v>3229</v>
      </c>
      <c r="O149" s="2" t="str">
        <f t="shared" si="3"/>
        <v>Fora do recorte anual + Excluir</v>
      </c>
      <c r="P149" s="2" t="str">
        <f t="array" ref="P149">IF(O149&lt;&gt;"Incluir","",IF(K149&lt;&gt;"",K149,IF(IFERROR(INDEX(Triagem!$J$2:$J$451,MATCH($A149,Triagem!$A$2:$A$451,0))&amp;"","")&lt;&gt;"",IFERROR(INDEX(Triagem!$J$2:$J$451,MATCH($A149,Triagem!$A$2:$A$451,0))&amp;"",""),IF(IFERROR(INDEX('Revisão_Gemini'!$I$7:$I$456,MATCH($A149,'Revisão_Gemini'!$A$7:$A$456,0))&amp;"","")&lt;&gt;"",IFERROR(INDEX('Revisão_Gemini'!$I$7:$I$456,MATCH($A149,'Revisão_Gemini'!$A$7:$A$456,0))&amp;"",""),IFERROR(INDEX('Revisão_ChatGPT'!$I$7:$I$456,MATCH($A149,'Revisão_ChatGPT'!$A$7:$A$456,0))&amp;"","")))))</f>
        <v/>
      </c>
      <c r="Q149" s="2" t="str">
        <f t="array" ref="Q149">IF(O149&lt;&gt;"Excluir","",IF(L149&lt;&gt;"",L149,IF(F149="Excluir",IFERROR(INDEX(Triagem!$K$2:$K$451,MATCH($A149,Triagem!$A$2:$A$451,0))&amp;"",""),IF(G149="Excluir",IFERROR(INDEX('Revisão_Gemini'!$J$7:$J$456,MATCH($A149,'Revisão_Gemini'!$A$7:$A$456,0))&amp;"",""),IFERROR(INDEX('Revisão_ChatGPT'!$J$7:$J$456,MATCH($A149,'Revisão_ChatGPT'!$A$7:$A$456,0))&amp;"","")))))</f>
        <v/>
      </c>
    </row>
    <row r="150" ht="15.75" customHeight="1">
      <c r="A150" s="2" t="s">
        <v>1769</v>
      </c>
      <c r="B150" s="19" t="str">
        <f t="array" ref="B150">INDEX(Triagem!$N$2:$N451 , MATCH(A150,Triagem!$A$2:$A451,0))</f>
        <v>abrir</v>
      </c>
      <c r="C150" s="20">
        <f t="array" ref="C150">INDEX(Triagem!$B$2:$B451 , MATCH(A150,Triagem!$A$2:$A451,0))</f>
        <v>2015</v>
      </c>
      <c r="D150" s="2" t="s">
        <v>1771</v>
      </c>
      <c r="E150" s="2" t="s">
        <v>1772</v>
      </c>
      <c r="F150" s="2" t="str">
        <f t="array" ref="F150">IFERROR(INDEX(Triagem!$I$2:$I$451,MATCH($A150,Triagem!$A$2:$A$451,0))&amp;"","")</f>
        <v>Excluir</v>
      </c>
      <c r="G150" s="2" t="str">
        <f t="array" ref="G150">IFERROR(INDEX('Revisão_Gemini'!$H$7:$H$456,MATCH($A150,'Revisão_Gemini'!$A$7:$A$456,0))&amp;"","")</f>
        <v>Excluir</v>
      </c>
      <c r="H150" s="2" t="str">
        <f t="array" ref="H150">IFERROR(INDEX('Revisão_ChatGPT'!$H$7:$H$456,MATCH($A150,'Revisão_ChatGPT'!$A$7:$A$456,0))&amp;"","")</f>
        <v>Excluir</v>
      </c>
      <c r="I150" s="2" t="str">
        <f t="shared" si="1"/>
        <v>3/3</v>
      </c>
      <c r="J150" s="21"/>
      <c r="K150" s="21"/>
      <c r="L150" s="21"/>
      <c r="M150" s="22" t="b">
        <f t="shared" si="2"/>
        <v>0</v>
      </c>
      <c r="N150" s="21" t="s">
        <v>3230</v>
      </c>
      <c r="O150" s="2" t="str">
        <f t="shared" si="3"/>
        <v>Fora do recorte anual + Excluir</v>
      </c>
      <c r="P150" s="2" t="str">
        <f t="array" ref="P150">IF(O150&lt;&gt;"Incluir","",IF(K150&lt;&gt;"",K150,IF(IFERROR(INDEX(Triagem!$J$2:$J$451,MATCH($A150,Triagem!$A$2:$A$451,0))&amp;"","")&lt;&gt;"",IFERROR(INDEX(Triagem!$J$2:$J$451,MATCH($A150,Triagem!$A$2:$A$451,0))&amp;"",""),IF(IFERROR(INDEX('Revisão_Gemini'!$I$7:$I$456,MATCH($A150,'Revisão_Gemini'!$A$7:$A$456,0))&amp;"","")&lt;&gt;"",IFERROR(INDEX('Revisão_Gemini'!$I$7:$I$456,MATCH($A150,'Revisão_Gemini'!$A$7:$A$456,0))&amp;"",""),IFERROR(INDEX('Revisão_ChatGPT'!$I$7:$I$456,MATCH($A150,'Revisão_ChatGPT'!$A$7:$A$456,0))&amp;"","")))))</f>
        <v/>
      </c>
      <c r="Q150" s="2" t="str">
        <f t="array" ref="Q150">IF(O150&lt;&gt;"Excluir","",IF(L150&lt;&gt;"",L150,IF(F150="Excluir",IFERROR(INDEX(Triagem!$K$2:$K$451,MATCH($A150,Triagem!$A$2:$A$451,0))&amp;"",""),IF(G150="Excluir",IFERROR(INDEX('Revisão_Gemini'!$J$7:$J$456,MATCH($A150,'Revisão_Gemini'!$A$7:$A$456,0))&amp;"",""),IFERROR(INDEX('Revisão_ChatGPT'!$J$7:$J$456,MATCH($A150,'Revisão_ChatGPT'!$A$7:$A$456,0))&amp;"","")))))</f>
        <v/>
      </c>
    </row>
    <row r="151" ht="15.75" customHeight="1">
      <c r="A151" s="2" t="s">
        <v>939</v>
      </c>
      <c r="B151" s="19" t="str">
        <f t="array" ref="B151">INDEX(Triagem!$N$2:$N451 , MATCH(A151,Triagem!$A$2:$A451,0))</f>
        <v>abrir</v>
      </c>
      <c r="C151" s="20">
        <f t="array" ref="C151">INDEX(Triagem!$B$2:$B451 , MATCH(A151,Triagem!$A$2:$A451,0))</f>
        <v>2015</v>
      </c>
      <c r="D151" s="2" t="s">
        <v>941</v>
      </c>
      <c r="E151" s="2" t="s">
        <v>942</v>
      </c>
      <c r="F151" s="2" t="str">
        <f t="array" ref="F151">IFERROR(INDEX(Triagem!$I$2:$I$451,MATCH($A151,Triagem!$A$2:$A$451,0))&amp;"","")</f>
        <v>Excluir</v>
      </c>
      <c r="G151" s="2" t="str">
        <f t="array" ref="G151">IFERROR(INDEX('Revisão_Gemini'!$H$7:$H$456,MATCH($A151,'Revisão_Gemini'!$A$7:$A$456,0))&amp;"","")</f>
        <v>Excluir</v>
      </c>
      <c r="H151" s="2" t="str">
        <f t="array" ref="H151">IFERROR(INDEX('Revisão_ChatGPT'!$H$7:$H$456,MATCH($A151,'Revisão_ChatGPT'!$A$7:$A$456,0))&amp;"","")</f>
        <v>Excluir</v>
      </c>
      <c r="I151" s="2" t="str">
        <f t="shared" si="1"/>
        <v>3/3</v>
      </c>
      <c r="J151" s="21"/>
      <c r="K151" s="21"/>
      <c r="L151" s="21"/>
      <c r="M151" s="22" t="b">
        <f t="shared" si="2"/>
        <v>0</v>
      </c>
      <c r="N151" s="21" t="s">
        <v>3231</v>
      </c>
      <c r="O151" s="2" t="str">
        <f t="shared" si="3"/>
        <v>Fora do recorte anual + Excluir</v>
      </c>
      <c r="P151" s="2" t="str">
        <f t="array" ref="P151">IF(O151&lt;&gt;"Incluir","",IF(K151&lt;&gt;"",K151,IF(IFERROR(INDEX(Triagem!$J$2:$J$451,MATCH($A151,Triagem!$A$2:$A$451,0))&amp;"","")&lt;&gt;"",IFERROR(INDEX(Triagem!$J$2:$J$451,MATCH($A151,Triagem!$A$2:$A$451,0))&amp;"",""),IF(IFERROR(INDEX('Revisão_Gemini'!$I$7:$I$456,MATCH($A151,'Revisão_Gemini'!$A$7:$A$456,0))&amp;"","")&lt;&gt;"",IFERROR(INDEX('Revisão_Gemini'!$I$7:$I$456,MATCH($A151,'Revisão_Gemini'!$A$7:$A$456,0))&amp;"",""),IFERROR(INDEX('Revisão_ChatGPT'!$I$7:$I$456,MATCH($A151,'Revisão_ChatGPT'!$A$7:$A$456,0))&amp;"","")))))</f>
        <v/>
      </c>
      <c r="Q151" s="2" t="str">
        <f t="array" ref="Q151">IF(O151&lt;&gt;"Excluir","",IF(L151&lt;&gt;"",L151,IF(F151="Excluir",IFERROR(INDEX(Triagem!$K$2:$K$451,MATCH($A151,Triagem!$A$2:$A$451,0))&amp;"",""),IF(G151="Excluir",IFERROR(INDEX('Revisão_Gemini'!$J$7:$J$456,MATCH($A151,'Revisão_Gemini'!$A$7:$A$456,0))&amp;"",""),IFERROR(INDEX('Revisão_ChatGPT'!$J$7:$J$456,MATCH($A151,'Revisão_ChatGPT'!$A$7:$A$456,0))&amp;"","")))))</f>
        <v/>
      </c>
    </row>
    <row r="152" ht="15.75" customHeight="1">
      <c r="A152" s="2" t="s">
        <v>464</v>
      </c>
      <c r="B152" s="19" t="str">
        <f t="array" ref="B152">INDEX(Triagem!$N$2:$N451 , MATCH(A152,Triagem!$A$2:$A451,0))</f>
        <v>abrir</v>
      </c>
      <c r="C152" s="20">
        <f t="array" ref="C152">INDEX(Triagem!$B$2:$B451 , MATCH(A152,Triagem!$A$2:$A451,0))</f>
        <v>2016</v>
      </c>
      <c r="D152" s="2" t="s">
        <v>466</v>
      </c>
      <c r="E152" s="2" t="s">
        <v>467</v>
      </c>
      <c r="F152" s="2" t="str">
        <f t="array" ref="F152">IFERROR(INDEX(Triagem!$I$2:$I$451,MATCH($A152,Triagem!$A$2:$A$451,0))&amp;"","")</f>
        <v>Incluir</v>
      </c>
      <c r="G152" s="2" t="str">
        <f t="array" ref="G152">IFERROR(INDEX('Revisão_Gemini'!$H$7:$H$456,MATCH($A152,'Revisão_Gemini'!$A$7:$A$456,0))&amp;"","")</f>
        <v>Incluir</v>
      </c>
      <c r="H152" s="2" t="str">
        <f t="array" ref="H152">IFERROR(INDEX('Revisão_ChatGPT'!$H$7:$H$456,MATCH($A152,'Revisão_ChatGPT'!$A$7:$A$456,0))&amp;"","")</f>
        <v>Incluir</v>
      </c>
      <c r="I152" s="2" t="str">
        <f t="shared" si="1"/>
        <v>3/3</v>
      </c>
      <c r="J152" s="21"/>
      <c r="K152" s="21"/>
      <c r="L152" s="21"/>
      <c r="M152" s="22" t="b">
        <f t="shared" si="2"/>
        <v>0</v>
      </c>
      <c r="N152" s="21"/>
      <c r="O152" s="2" t="str">
        <f t="shared" si="3"/>
        <v>Fora do recorte anual + Incluir</v>
      </c>
      <c r="P152" s="2" t="str">
        <f t="array" ref="P152">IF(O152&lt;&gt;"Incluir","",IF(K152&lt;&gt;"",K152,IF(IFERROR(INDEX(Triagem!$J$2:$J$451,MATCH($A152,Triagem!$A$2:$A$451,0))&amp;"","")&lt;&gt;"",IFERROR(INDEX(Triagem!$J$2:$J$451,MATCH($A152,Triagem!$A$2:$A$451,0))&amp;"",""),IF(IFERROR(INDEX('Revisão_Gemini'!$I$7:$I$456,MATCH($A152,'Revisão_Gemini'!$A$7:$A$456,0))&amp;"","")&lt;&gt;"",IFERROR(INDEX('Revisão_Gemini'!$I$7:$I$456,MATCH($A152,'Revisão_Gemini'!$A$7:$A$456,0))&amp;"",""),IFERROR(INDEX('Revisão_ChatGPT'!$I$7:$I$456,MATCH($A152,'Revisão_ChatGPT'!$A$7:$A$456,0))&amp;"","")))))</f>
        <v/>
      </c>
      <c r="Q152" s="2" t="str">
        <f t="array" ref="Q152">IF(O152&lt;&gt;"Excluir","",IF(L152&lt;&gt;"",L152,IF(F152="Excluir",IFERROR(INDEX(Triagem!$K$2:$K$451,MATCH($A152,Triagem!$A$2:$A$451,0))&amp;"",""),IF(G152="Excluir",IFERROR(INDEX('Revisão_Gemini'!$J$7:$J$456,MATCH($A152,'Revisão_Gemini'!$A$7:$A$456,0))&amp;"",""),IFERROR(INDEX('Revisão_ChatGPT'!$J$7:$J$456,MATCH($A152,'Revisão_ChatGPT'!$A$7:$A$456,0))&amp;"","")))))</f>
        <v/>
      </c>
    </row>
    <row r="153" ht="15.75" customHeight="1">
      <c r="A153" s="2" t="s">
        <v>1781</v>
      </c>
      <c r="B153" s="19" t="str">
        <f t="array" ref="B153">INDEX(Triagem!$N$2:$N451 , MATCH(A153,Triagem!$A$2:$A451,0))</f>
        <v>abrir</v>
      </c>
      <c r="C153" s="20">
        <f t="array" ref="C153">INDEX(Triagem!$B$2:$B451 , MATCH(A153,Triagem!$A$2:$A451,0))</f>
        <v>2014</v>
      </c>
      <c r="D153" s="2" t="s">
        <v>1783</v>
      </c>
      <c r="E153" s="2" t="s">
        <v>1784</v>
      </c>
      <c r="F153" s="2" t="str">
        <f t="array" ref="F153">IFERROR(INDEX(Triagem!$I$2:$I$451,MATCH($A153,Triagem!$A$2:$A$451,0))&amp;"","")</f>
        <v>Excluir</v>
      </c>
      <c r="G153" s="2" t="str">
        <f t="array" ref="G153">IFERROR(INDEX('Revisão_Gemini'!$H$7:$H$456,MATCH($A153,'Revisão_Gemini'!$A$7:$A$456,0))&amp;"","")</f>
        <v>Excluir</v>
      </c>
      <c r="H153" s="2" t="str">
        <f t="array" ref="H153">IFERROR(INDEX('Revisão_ChatGPT'!$H$7:$H$456,MATCH($A153,'Revisão_ChatGPT'!$A$7:$A$456,0))&amp;"","")</f>
        <v>Excluir</v>
      </c>
      <c r="I153" s="2" t="str">
        <f t="shared" si="1"/>
        <v>3/3</v>
      </c>
      <c r="J153" s="21"/>
      <c r="K153" s="21"/>
      <c r="L153" s="21"/>
      <c r="M153" s="22" t="b">
        <f t="shared" si="2"/>
        <v>0</v>
      </c>
      <c r="N153" s="21" t="s">
        <v>3232</v>
      </c>
      <c r="O153" s="2" t="str">
        <f t="shared" si="3"/>
        <v>Fora do recorte anual + Excluir</v>
      </c>
      <c r="P153" s="2" t="str">
        <f t="array" ref="P153">IF(O153&lt;&gt;"Incluir","",IF(K153&lt;&gt;"",K153,IF(IFERROR(INDEX(Triagem!$J$2:$J$451,MATCH($A153,Triagem!$A$2:$A$451,0))&amp;"","")&lt;&gt;"",IFERROR(INDEX(Triagem!$J$2:$J$451,MATCH($A153,Triagem!$A$2:$A$451,0))&amp;"",""),IF(IFERROR(INDEX('Revisão_Gemini'!$I$7:$I$456,MATCH($A153,'Revisão_Gemini'!$A$7:$A$456,0))&amp;"","")&lt;&gt;"",IFERROR(INDEX('Revisão_Gemini'!$I$7:$I$456,MATCH($A153,'Revisão_Gemini'!$A$7:$A$456,0))&amp;"",""),IFERROR(INDEX('Revisão_ChatGPT'!$I$7:$I$456,MATCH($A153,'Revisão_ChatGPT'!$A$7:$A$456,0))&amp;"","")))))</f>
        <v/>
      </c>
      <c r="Q153" s="2" t="str">
        <f t="array" ref="Q153">IF(O153&lt;&gt;"Excluir","",IF(L153&lt;&gt;"",L153,IF(F153="Excluir",IFERROR(INDEX(Triagem!$K$2:$K$451,MATCH($A153,Triagem!$A$2:$A$451,0))&amp;"",""),IF(G153="Excluir",IFERROR(INDEX('Revisão_Gemini'!$J$7:$J$456,MATCH($A153,'Revisão_Gemini'!$A$7:$A$456,0))&amp;"",""),IFERROR(INDEX('Revisão_ChatGPT'!$J$7:$J$456,MATCH($A153,'Revisão_ChatGPT'!$A$7:$A$456,0))&amp;"","")))))</f>
        <v/>
      </c>
    </row>
    <row r="154" ht="15.75" customHeight="1">
      <c r="A154" s="2" t="s">
        <v>1748</v>
      </c>
      <c r="B154" s="19" t="str">
        <f t="array" ref="B154">INDEX(Triagem!$N$2:$N451 , MATCH(A154,Triagem!$A$2:$A451,0))</f>
        <v>abrir</v>
      </c>
      <c r="C154" s="20">
        <f t="array" ref="C154">INDEX(Triagem!$B$2:$B451 , MATCH(A154,Triagem!$A$2:$A451,0))</f>
        <v>2016</v>
      </c>
      <c r="D154" s="2" t="s">
        <v>1750</v>
      </c>
      <c r="E154" s="2" t="s">
        <v>1751</v>
      </c>
      <c r="F154" s="2" t="str">
        <f t="array" ref="F154">IFERROR(INDEX(Triagem!$I$2:$I$451,MATCH($A154,Triagem!$A$2:$A$451,0))&amp;"","")</f>
        <v>Excluir</v>
      </c>
      <c r="G154" s="2" t="str">
        <f t="array" ref="G154">IFERROR(INDEX('Revisão_Gemini'!$H$7:$H$456,MATCH($A154,'Revisão_Gemini'!$A$7:$A$456,0))&amp;"","")</f>
        <v>Excluir</v>
      </c>
      <c r="H154" s="2" t="str">
        <f t="array" ref="H154">IFERROR(INDEX('Revisão_ChatGPT'!$H$7:$H$456,MATCH($A154,'Revisão_ChatGPT'!$A$7:$A$456,0))&amp;"","")</f>
        <v>Excluir</v>
      </c>
      <c r="I154" s="2" t="str">
        <f t="shared" si="1"/>
        <v>3/3</v>
      </c>
      <c r="J154" s="21"/>
      <c r="K154" s="21"/>
      <c r="L154" s="21"/>
      <c r="M154" s="22" t="b">
        <f t="shared" si="2"/>
        <v>0</v>
      </c>
      <c r="N154" s="21"/>
      <c r="O154" s="2" t="str">
        <f t="shared" si="3"/>
        <v>Fora do recorte anual + Excluir</v>
      </c>
      <c r="P154" s="2" t="str">
        <f t="array" ref="P154">IF(O154&lt;&gt;"Incluir","",IF(K154&lt;&gt;"",K154,IF(IFERROR(INDEX(Triagem!$J$2:$J$451,MATCH($A154,Triagem!$A$2:$A$451,0))&amp;"","")&lt;&gt;"",IFERROR(INDEX(Triagem!$J$2:$J$451,MATCH($A154,Triagem!$A$2:$A$451,0))&amp;"",""),IF(IFERROR(INDEX('Revisão_Gemini'!$I$7:$I$456,MATCH($A154,'Revisão_Gemini'!$A$7:$A$456,0))&amp;"","")&lt;&gt;"",IFERROR(INDEX('Revisão_Gemini'!$I$7:$I$456,MATCH($A154,'Revisão_Gemini'!$A$7:$A$456,0))&amp;"",""),IFERROR(INDEX('Revisão_ChatGPT'!$I$7:$I$456,MATCH($A154,'Revisão_ChatGPT'!$A$7:$A$456,0))&amp;"","")))))</f>
        <v/>
      </c>
      <c r="Q154" s="2" t="str">
        <f t="array" ref="Q154">IF(O154&lt;&gt;"Excluir","",IF(L154&lt;&gt;"",L154,IF(F154="Excluir",IFERROR(INDEX(Triagem!$K$2:$K$451,MATCH($A154,Triagem!$A$2:$A$451,0))&amp;"",""),IF(G154="Excluir",IFERROR(INDEX('Revisão_Gemini'!$J$7:$J$456,MATCH($A154,'Revisão_Gemini'!$A$7:$A$456,0))&amp;"",""),IFERROR(INDEX('Revisão_ChatGPT'!$J$7:$J$456,MATCH($A154,'Revisão_ChatGPT'!$A$7:$A$456,0))&amp;"","")))))</f>
        <v/>
      </c>
    </row>
    <row r="155" ht="15.75" customHeight="1">
      <c r="A155" s="2" t="s">
        <v>1374</v>
      </c>
      <c r="B155" s="19" t="str">
        <f t="array" ref="B155">INDEX(Triagem!$N$2:$N451 , MATCH(A155,Triagem!$A$2:$A451,0))</f>
        <v>abrir</v>
      </c>
      <c r="C155" s="20">
        <f t="array" ref="C155">INDEX(Triagem!$B$2:$B451 , MATCH(A155,Triagem!$A$2:$A451,0))</f>
        <v>2015</v>
      </c>
      <c r="D155" s="2" t="s">
        <v>1376</v>
      </c>
      <c r="E155" s="2" t="s">
        <v>1377</v>
      </c>
      <c r="F155" s="2" t="str">
        <f t="array" ref="F155">IFERROR(INDEX(Triagem!$I$2:$I$451,MATCH($A155,Triagem!$A$2:$A$451,0))&amp;"","")</f>
        <v>Excluir</v>
      </c>
      <c r="G155" s="2" t="str">
        <f t="array" ref="G155">IFERROR(INDEX('Revisão_Gemini'!$H$7:$H$456,MATCH($A155,'Revisão_Gemini'!$A$7:$A$456,0))&amp;"","")</f>
        <v>Excluir</v>
      </c>
      <c r="H155" s="2" t="str">
        <f t="array" ref="H155">IFERROR(INDEX('Revisão_ChatGPT'!$H$7:$H$456,MATCH($A155,'Revisão_ChatGPT'!$A$7:$A$456,0))&amp;"","")</f>
        <v>Excluir</v>
      </c>
      <c r="I155" s="2" t="str">
        <f t="shared" si="1"/>
        <v>3/3</v>
      </c>
      <c r="J155" s="21"/>
      <c r="K155" s="21"/>
      <c r="L155" s="21"/>
      <c r="M155" s="22" t="b">
        <f t="shared" si="2"/>
        <v>0</v>
      </c>
      <c r="N155" s="21" t="s">
        <v>3233</v>
      </c>
      <c r="O155" s="2" t="str">
        <f t="shared" si="3"/>
        <v>Fora do recorte anual + Excluir</v>
      </c>
      <c r="P155" s="2" t="str">
        <f t="array" ref="P155">IF(O155&lt;&gt;"Incluir","",IF(K155&lt;&gt;"",K155,IF(IFERROR(INDEX(Triagem!$J$2:$J$451,MATCH($A155,Triagem!$A$2:$A$451,0))&amp;"","")&lt;&gt;"",IFERROR(INDEX(Triagem!$J$2:$J$451,MATCH($A155,Triagem!$A$2:$A$451,0))&amp;"",""),IF(IFERROR(INDEX('Revisão_Gemini'!$I$7:$I$456,MATCH($A155,'Revisão_Gemini'!$A$7:$A$456,0))&amp;"","")&lt;&gt;"",IFERROR(INDEX('Revisão_Gemini'!$I$7:$I$456,MATCH($A155,'Revisão_Gemini'!$A$7:$A$456,0))&amp;"",""),IFERROR(INDEX('Revisão_ChatGPT'!$I$7:$I$456,MATCH($A155,'Revisão_ChatGPT'!$A$7:$A$456,0))&amp;"","")))))</f>
        <v/>
      </c>
      <c r="Q155" s="2" t="str">
        <f t="array" ref="Q155">IF(O155&lt;&gt;"Excluir","",IF(L155&lt;&gt;"",L155,IF(F155="Excluir",IFERROR(INDEX(Triagem!$K$2:$K$451,MATCH($A155,Triagem!$A$2:$A$451,0))&amp;"",""),IF(G155="Excluir",IFERROR(INDEX('Revisão_Gemini'!$J$7:$J$456,MATCH($A155,'Revisão_Gemini'!$A$7:$A$456,0))&amp;"",""),IFERROR(INDEX('Revisão_ChatGPT'!$J$7:$J$456,MATCH($A155,'Revisão_ChatGPT'!$A$7:$A$456,0))&amp;"","")))))</f>
        <v/>
      </c>
    </row>
    <row r="156" ht="15.75" customHeight="1">
      <c r="A156" s="2" t="s">
        <v>1380</v>
      </c>
      <c r="B156" s="19" t="str">
        <f t="array" ref="B156">INDEX(Triagem!$N$2:$N451 , MATCH(A156,Triagem!$A$2:$A451,0))</f>
        <v>abrir</v>
      </c>
      <c r="C156" s="20">
        <f t="array" ref="C156">INDEX(Triagem!$B$2:$B451 , MATCH(A156,Triagem!$A$2:$A451,0))</f>
        <v>2015</v>
      </c>
      <c r="D156" s="2" t="s">
        <v>1382</v>
      </c>
      <c r="E156" s="2" t="s">
        <v>1383</v>
      </c>
      <c r="F156" s="2" t="str">
        <f t="array" ref="F156">IFERROR(INDEX(Triagem!$I$2:$I$451,MATCH($A156,Triagem!$A$2:$A$451,0))&amp;"","")</f>
        <v>Excluir</v>
      </c>
      <c r="G156" s="2" t="str">
        <f t="array" ref="G156">IFERROR(INDEX('Revisão_Gemini'!$H$7:$H$456,MATCH($A156,'Revisão_Gemini'!$A$7:$A$456,0))&amp;"","")</f>
        <v>Excluir</v>
      </c>
      <c r="H156" s="2" t="str">
        <f t="array" ref="H156">IFERROR(INDEX('Revisão_ChatGPT'!$H$7:$H$456,MATCH($A156,'Revisão_ChatGPT'!$A$7:$A$456,0))&amp;"","")</f>
        <v>Excluir</v>
      </c>
      <c r="I156" s="2" t="str">
        <f t="shared" si="1"/>
        <v>3/3</v>
      </c>
      <c r="J156" s="21"/>
      <c r="K156" s="21"/>
      <c r="L156" s="21"/>
      <c r="M156" s="22" t="b">
        <f t="shared" si="2"/>
        <v>0</v>
      </c>
      <c r="N156" s="21" t="s">
        <v>3234</v>
      </c>
      <c r="O156" s="2" t="str">
        <f t="shared" si="3"/>
        <v>Fora do recorte anual + Excluir</v>
      </c>
      <c r="P156" s="2" t="str">
        <f t="array" ref="P156">IF(O156&lt;&gt;"Incluir","",IF(K156&lt;&gt;"",K156,IF(IFERROR(INDEX(Triagem!$J$2:$J$451,MATCH($A156,Triagem!$A$2:$A$451,0))&amp;"","")&lt;&gt;"",IFERROR(INDEX(Triagem!$J$2:$J$451,MATCH($A156,Triagem!$A$2:$A$451,0))&amp;"",""),IF(IFERROR(INDEX('Revisão_Gemini'!$I$7:$I$456,MATCH($A156,'Revisão_Gemini'!$A$7:$A$456,0))&amp;"","")&lt;&gt;"",IFERROR(INDEX('Revisão_Gemini'!$I$7:$I$456,MATCH($A156,'Revisão_Gemini'!$A$7:$A$456,0))&amp;"",""),IFERROR(INDEX('Revisão_ChatGPT'!$I$7:$I$456,MATCH($A156,'Revisão_ChatGPT'!$A$7:$A$456,0))&amp;"","")))))</f>
        <v/>
      </c>
      <c r="Q156" s="2" t="str">
        <f t="array" ref="Q156">IF(O156&lt;&gt;"Excluir","",IF(L156&lt;&gt;"",L156,IF(F156="Excluir",IFERROR(INDEX(Triagem!$K$2:$K$451,MATCH($A156,Triagem!$A$2:$A$451,0))&amp;"",""),IF(G156="Excluir",IFERROR(INDEX('Revisão_Gemini'!$J$7:$J$456,MATCH($A156,'Revisão_Gemini'!$A$7:$A$456,0))&amp;"",""),IFERROR(INDEX('Revisão_ChatGPT'!$J$7:$J$456,MATCH($A156,'Revisão_ChatGPT'!$A$7:$A$456,0))&amp;"","")))))</f>
        <v/>
      </c>
    </row>
    <row r="157" ht="15.75" customHeight="1">
      <c r="A157" s="2" t="s">
        <v>532</v>
      </c>
      <c r="B157" s="19" t="str">
        <f t="array" ref="B157">INDEX(Triagem!$N$2:$N451 , MATCH(A157,Triagem!$A$2:$A451,0))</f>
        <v>abrir</v>
      </c>
      <c r="C157" s="20">
        <f t="array" ref="C157">INDEX(Triagem!$B$2:$B451 , MATCH(A157,Triagem!$A$2:$A451,0))</f>
        <v>2015</v>
      </c>
      <c r="D157" s="2" t="s">
        <v>534</v>
      </c>
      <c r="E157" s="2" t="s">
        <v>535</v>
      </c>
      <c r="F157" s="2" t="str">
        <f t="array" ref="F157">IFERROR(INDEX(Triagem!$I$2:$I$451,MATCH($A157,Triagem!$A$2:$A$451,0))&amp;"","")</f>
        <v>Incluir</v>
      </c>
      <c r="G157" s="2" t="str">
        <f t="array" ref="G157">IFERROR(INDEX('Revisão_Gemini'!$H$7:$H$456,MATCH($A157,'Revisão_Gemini'!$A$7:$A$456,0))&amp;"","")</f>
        <v>Incluir</v>
      </c>
      <c r="H157" s="2" t="str">
        <f t="array" ref="H157">IFERROR(INDEX('Revisão_ChatGPT'!$H$7:$H$456,MATCH($A157,'Revisão_ChatGPT'!$A$7:$A$456,0))&amp;"","")</f>
        <v>Incluir</v>
      </c>
      <c r="I157" s="2" t="str">
        <f t="shared" si="1"/>
        <v>3/3</v>
      </c>
      <c r="J157" s="21"/>
      <c r="K157" s="21"/>
      <c r="L157" s="21"/>
      <c r="M157" s="22" t="b">
        <f t="shared" si="2"/>
        <v>0</v>
      </c>
      <c r="N157" s="21"/>
      <c r="O157" s="2" t="str">
        <f t="shared" si="3"/>
        <v>Fora do recorte anual + Incluir</v>
      </c>
      <c r="P157" s="2" t="str">
        <f t="array" ref="P157">IF(O157&lt;&gt;"Incluir","",IF(K157&lt;&gt;"",K157,IF(IFERROR(INDEX(Triagem!$J$2:$J$451,MATCH($A157,Triagem!$A$2:$A$451,0))&amp;"","")&lt;&gt;"",IFERROR(INDEX(Triagem!$J$2:$J$451,MATCH($A157,Triagem!$A$2:$A$451,0))&amp;"",""),IF(IFERROR(INDEX('Revisão_Gemini'!$I$7:$I$456,MATCH($A157,'Revisão_Gemini'!$A$7:$A$456,0))&amp;"","")&lt;&gt;"",IFERROR(INDEX('Revisão_Gemini'!$I$7:$I$456,MATCH($A157,'Revisão_Gemini'!$A$7:$A$456,0))&amp;"",""),IFERROR(INDEX('Revisão_ChatGPT'!$I$7:$I$456,MATCH($A157,'Revisão_ChatGPT'!$A$7:$A$456,0))&amp;"","")))))</f>
        <v/>
      </c>
      <c r="Q157" s="2" t="str">
        <f t="array" ref="Q157">IF(O157&lt;&gt;"Excluir","",IF(L157&lt;&gt;"",L157,IF(F157="Excluir",IFERROR(INDEX(Triagem!$K$2:$K$451,MATCH($A157,Triagem!$A$2:$A$451,0))&amp;"",""),IF(G157="Excluir",IFERROR(INDEX('Revisão_Gemini'!$J$7:$J$456,MATCH($A157,'Revisão_Gemini'!$A$7:$A$456,0))&amp;"",""),IFERROR(INDEX('Revisão_ChatGPT'!$J$7:$J$456,MATCH($A157,'Revisão_ChatGPT'!$A$7:$A$456,0))&amp;"","")))))</f>
        <v/>
      </c>
    </row>
    <row r="158" ht="15.75" customHeight="1">
      <c r="A158" s="2" t="s">
        <v>857</v>
      </c>
      <c r="B158" s="19" t="str">
        <f t="array" ref="B158">INDEX(Triagem!$N$2:$N451 , MATCH(A158,Triagem!$A$2:$A451,0))</f>
        <v>abrir</v>
      </c>
      <c r="C158" s="20">
        <f t="array" ref="C158">INDEX(Triagem!$B$2:$B451 , MATCH(A158,Triagem!$A$2:$A451,0))</f>
        <v>2015</v>
      </c>
      <c r="D158" s="2" t="s">
        <v>859</v>
      </c>
      <c r="E158" s="2" t="s">
        <v>860</v>
      </c>
      <c r="F158" s="2" t="str">
        <f t="array" ref="F158">IFERROR(INDEX(Triagem!$I$2:$I$451,MATCH($A158,Triagem!$A$2:$A$451,0))&amp;"","")</f>
        <v>Apoio</v>
      </c>
      <c r="G158" s="2" t="str">
        <f t="array" ref="G158">IFERROR(INDEX('Revisão_Gemini'!$H$7:$H$456,MATCH($A158,'Revisão_Gemini'!$A$7:$A$456,0))&amp;"","")</f>
        <v>Excluir</v>
      </c>
      <c r="H158" s="2" t="str">
        <f t="array" ref="H158">IFERROR(INDEX('Revisão_ChatGPT'!$H$7:$H$456,MATCH($A158,'Revisão_ChatGPT'!$A$7:$A$456,0))&amp;"","")</f>
        <v>Incluir</v>
      </c>
      <c r="I158" s="2" t="str">
        <f t="shared" si="1"/>
        <v>divergente</v>
      </c>
      <c r="J158" s="21" t="s">
        <v>694</v>
      </c>
      <c r="K158" s="21"/>
      <c r="L158" s="21"/>
      <c r="M158" s="22" t="b">
        <f t="shared" si="2"/>
        <v>0</v>
      </c>
      <c r="N158" s="21"/>
      <c r="O158" s="2" t="str">
        <f t="shared" si="3"/>
        <v>Fora do recorte anual + Apoio</v>
      </c>
      <c r="P158" s="2" t="str">
        <f t="array" ref="P158">IF(O158&lt;&gt;"Incluir","",IF(K158&lt;&gt;"",K158,IF(IFERROR(INDEX(Triagem!$J$2:$J$451,MATCH($A158,Triagem!$A$2:$A$451,0))&amp;"","")&lt;&gt;"",IFERROR(INDEX(Triagem!$J$2:$J$451,MATCH($A158,Triagem!$A$2:$A$451,0))&amp;"",""),IF(IFERROR(INDEX('Revisão_Gemini'!$I$7:$I$456,MATCH($A158,'Revisão_Gemini'!$A$7:$A$456,0))&amp;"","")&lt;&gt;"",IFERROR(INDEX('Revisão_Gemini'!$I$7:$I$456,MATCH($A158,'Revisão_Gemini'!$A$7:$A$456,0))&amp;"",""),IFERROR(INDEX('Revisão_ChatGPT'!$I$7:$I$456,MATCH($A158,'Revisão_ChatGPT'!$A$7:$A$456,0))&amp;"","")))))</f>
        <v/>
      </c>
      <c r="Q158" s="2" t="str">
        <f t="array" ref="Q158">IF(O158&lt;&gt;"Excluir","",IF(L158&lt;&gt;"",L158,IF(F158="Excluir",IFERROR(INDEX(Triagem!$K$2:$K$451,MATCH($A158,Triagem!$A$2:$A$451,0))&amp;"",""),IF(G158="Excluir",IFERROR(INDEX('Revisão_Gemini'!$J$7:$J$456,MATCH($A158,'Revisão_Gemini'!$A$7:$A$456,0))&amp;"",""),IFERROR(INDEX('Revisão_ChatGPT'!$J$7:$J$456,MATCH($A158,'Revisão_ChatGPT'!$A$7:$A$456,0))&amp;"","")))))</f>
        <v/>
      </c>
    </row>
    <row r="159" ht="15.75" customHeight="1">
      <c r="A159" s="2" t="s">
        <v>1753</v>
      </c>
      <c r="B159" s="19" t="str">
        <f t="array" ref="B159">INDEX(Triagem!$N$2:$N451 , MATCH(A159,Triagem!$A$2:$A451,0))</f>
        <v>abrir</v>
      </c>
      <c r="C159" s="20">
        <f t="array" ref="C159">INDEX(Triagem!$B$2:$B451 , MATCH(A159,Triagem!$A$2:$A451,0))</f>
        <v>2016</v>
      </c>
      <c r="D159" s="2" t="s">
        <v>1755</v>
      </c>
      <c r="E159" s="2" t="s">
        <v>1756</v>
      </c>
      <c r="F159" s="2" t="str">
        <f t="array" ref="F159">IFERROR(INDEX(Triagem!$I$2:$I$451,MATCH($A159,Triagem!$A$2:$A$451,0))&amp;"","")</f>
        <v>Excluir</v>
      </c>
      <c r="G159" s="2" t="str">
        <f t="array" ref="G159">IFERROR(INDEX('Revisão_Gemini'!$H$7:$H$456,MATCH($A159,'Revisão_Gemini'!$A$7:$A$456,0))&amp;"","")</f>
        <v>Excluir</v>
      </c>
      <c r="H159" s="2" t="str">
        <f t="array" ref="H159">IFERROR(INDEX('Revisão_ChatGPT'!$H$7:$H$456,MATCH($A159,'Revisão_ChatGPT'!$A$7:$A$456,0))&amp;"","")</f>
        <v>Excluir</v>
      </c>
      <c r="I159" s="2" t="str">
        <f t="shared" si="1"/>
        <v>3/3</v>
      </c>
      <c r="J159" s="21"/>
      <c r="K159" s="21"/>
      <c r="L159" s="21"/>
      <c r="M159" s="22" t="b">
        <f t="shared" si="2"/>
        <v>0</v>
      </c>
      <c r="N159" s="21"/>
      <c r="O159" s="2" t="str">
        <f t="shared" si="3"/>
        <v>Fora do recorte anual + Excluir</v>
      </c>
      <c r="P159" s="2" t="str">
        <f t="array" ref="P159">IF(O159&lt;&gt;"Incluir","",IF(K159&lt;&gt;"",K159,IF(IFERROR(INDEX(Triagem!$J$2:$J$451,MATCH($A159,Triagem!$A$2:$A$451,0))&amp;"","")&lt;&gt;"",IFERROR(INDEX(Triagem!$J$2:$J$451,MATCH($A159,Triagem!$A$2:$A$451,0))&amp;"",""),IF(IFERROR(INDEX('Revisão_Gemini'!$I$7:$I$456,MATCH($A159,'Revisão_Gemini'!$A$7:$A$456,0))&amp;"","")&lt;&gt;"",IFERROR(INDEX('Revisão_Gemini'!$I$7:$I$456,MATCH($A159,'Revisão_Gemini'!$A$7:$A$456,0))&amp;"",""),IFERROR(INDEX('Revisão_ChatGPT'!$I$7:$I$456,MATCH($A159,'Revisão_ChatGPT'!$A$7:$A$456,0))&amp;"","")))))</f>
        <v/>
      </c>
      <c r="Q159" s="2" t="str">
        <f t="array" ref="Q159">IF(O159&lt;&gt;"Excluir","",IF(L159&lt;&gt;"",L159,IF(F159="Excluir",IFERROR(INDEX(Triagem!$K$2:$K$451,MATCH($A159,Triagem!$A$2:$A$451,0))&amp;"",""),IF(G159="Excluir",IFERROR(INDEX('Revisão_Gemini'!$J$7:$J$456,MATCH($A159,'Revisão_Gemini'!$A$7:$A$456,0))&amp;"",""),IFERROR(INDEX('Revisão_ChatGPT'!$J$7:$J$456,MATCH($A159,'Revisão_ChatGPT'!$A$7:$A$456,0))&amp;"","")))))</f>
        <v/>
      </c>
    </row>
    <row r="160" ht="15.75" customHeight="1">
      <c r="A160" s="2" t="s">
        <v>2029</v>
      </c>
      <c r="B160" s="19" t="str">
        <f t="array" ref="B160">INDEX(Triagem!$N$2:$N451 , MATCH(A160,Triagem!$A$2:$A451,0))</f>
        <v>abrir</v>
      </c>
      <c r="C160" s="20">
        <f t="array" ref="C160">INDEX(Triagem!$B$2:$B451 , MATCH(A160,Triagem!$A$2:$A451,0))</f>
        <v>2015</v>
      </c>
      <c r="D160" s="2" t="s">
        <v>2031</v>
      </c>
      <c r="E160" s="2" t="s">
        <v>2032</v>
      </c>
      <c r="F160" s="2" t="str">
        <f t="array" ref="F160">IFERROR(INDEX(Triagem!$I$2:$I$451,MATCH($A160,Triagem!$A$2:$A$451,0))&amp;"","")</f>
        <v>Excluir</v>
      </c>
      <c r="G160" s="2" t="str">
        <f t="array" ref="G160">IFERROR(INDEX('Revisão_Gemini'!$H$7:$H$456,MATCH($A160,'Revisão_Gemini'!$A$7:$A$456,0))&amp;"","")</f>
        <v>Apoio</v>
      </c>
      <c r="H160" s="2" t="str">
        <f t="array" ref="H160">IFERROR(INDEX('Revisão_ChatGPT'!$H$7:$H$456,MATCH($A160,'Revisão_ChatGPT'!$A$7:$A$456,0))&amp;"","")</f>
        <v>Excluir</v>
      </c>
      <c r="I160" s="2" t="str">
        <f t="shared" si="1"/>
        <v>2/3</v>
      </c>
      <c r="J160" s="21" t="s">
        <v>906</v>
      </c>
      <c r="K160" s="21"/>
      <c r="L160" s="21"/>
      <c r="M160" s="22" t="b">
        <f t="shared" si="2"/>
        <v>0</v>
      </c>
      <c r="N160" s="21" t="s">
        <v>3235</v>
      </c>
      <c r="O160" s="2" t="str">
        <f t="shared" si="3"/>
        <v>Fora do recorte anual + Excluir</v>
      </c>
      <c r="P160" s="2" t="str">
        <f t="array" ref="P160">IF(O160&lt;&gt;"Incluir","",IF(K160&lt;&gt;"",K160,IF(IFERROR(INDEX(Triagem!$J$2:$J$451,MATCH($A160,Triagem!$A$2:$A$451,0))&amp;"","")&lt;&gt;"",IFERROR(INDEX(Triagem!$J$2:$J$451,MATCH($A160,Triagem!$A$2:$A$451,0))&amp;"",""),IF(IFERROR(INDEX('Revisão_Gemini'!$I$7:$I$456,MATCH($A160,'Revisão_Gemini'!$A$7:$A$456,0))&amp;"","")&lt;&gt;"",IFERROR(INDEX('Revisão_Gemini'!$I$7:$I$456,MATCH($A160,'Revisão_Gemini'!$A$7:$A$456,0))&amp;"",""),IFERROR(INDEX('Revisão_ChatGPT'!$I$7:$I$456,MATCH($A160,'Revisão_ChatGPT'!$A$7:$A$456,0))&amp;"","")))))</f>
        <v/>
      </c>
      <c r="Q160" s="2" t="str">
        <f t="array" ref="Q160">IF(O160&lt;&gt;"Excluir","",IF(L160&lt;&gt;"",L160,IF(F160="Excluir",IFERROR(INDEX(Triagem!$K$2:$K$451,MATCH($A160,Triagem!$A$2:$A$451,0))&amp;"",""),IF(G160="Excluir",IFERROR(INDEX('Revisão_Gemini'!$J$7:$J$456,MATCH($A160,'Revisão_Gemini'!$A$7:$A$456,0))&amp;"",""),IFERROR(INDEX('Revisão_ChatGPT'!$J$7:$J$456,MATCH($A160,'Revisão_ChatGPT'!$A$7:$A$456,0))&amp;"","")))))</f>
        <v/>
      </c>
    </row>
    <row r="161" ht="15.75" customHeight="1">
      <c r="A161" s="2" t="s">
        <v>943</v>
      </c>
      <c r="B161" s="19" t="str">
        <f t="array" ref="B161">INDEX(Triagem!$N$2:$N451 , MATCH(A161,Triagem!$A$2:$A451,0))</f>
        <v>abrir</v>
      </c>
      <c r="C161" s="20">
        <f t="array" ref="C161">INDEX(Triagem!$B$2:$B451 , MATCH(A161,Triagem!$A$2:$A451,0))</f>
        <v>2015</v>
      </c>
      <c r="D161" s="2" t="s">
        <v>945</v>
      </c>
      <c r="E161" s="2" t="s">
        <v>946</v>
      </c>
      <c r="F161" s="2" t="str">
        <f t="array" ref="F161">IFERROR(INDEX(Triagem!$I$2:$I$451,MATCH($A161,Triagem!$A$2:$A$451,0))&amp;"","")</f>
        <v>Excluir</v>
      </c>
      <c r="G161" s="2" t="str">
        <f t="array" ref="G161">IFERROR(INDEX('Revisão_Gemini'!$H$7:$H$456,MATCH($A161,'Revisão_Gemini'!$A$7:$A$456,0))&amp;"","")</f>
        <v>Excluir</v>
      </c>
      <c r="H161" s="2" t="str">
        <f t="array" ref="H161">IFERROR(INDEX('Revisão_ChatGPT'!$H$7:$H$456,MATCH($A161,'Revisão_ChatGPT'!$A$7:$A$456,0))&amp;"","")</f>
        <v>Excluir</v>
      </c>
      <c r="I161" s="2" t="str">
        <f t="shared" si="1"/>
        <v>3/3</v>
      </c>
      <c r="J161" s="21"/>
      <c r="K161" s="21"/>
      <c r="L161" s="21"/>
      <c r="M161" s="22" t="b">
        <f t="shared" si="2"/>
        <v>0</v>
      </c>
      <c r="N161" s="21"/>
      <c r="O161" s="2" t="str">
        <f t="shared" si="3"/>
        <v>Fora do recorte anual + Excluir</v>
      </c>
      <c r="P161" s="2" t="str">
        <f t="array" ref="P161">IF(O161&lt;&gt;"Incluir","",IF(K161&lt;&gt;"",K161,IF(IFERROR(INDEX(Triagem!$J$2:$J$451,MATCH($A161,Triagem!$A$2:$A$451,0))&amp;"","")&lt;&gt;"",IFERROR(INDEX(Triagem!$J$2:$J$451,MATCH($A161,Triagem!$A$2:$A$451,0))&amp;"",""),IF(IFERROR(INDEX('Revisão_Gemini'!$I$7:$I$456,MATCH($A161,'Revisão_Gemini'!$A$7:$A$456,0))&amp;"","")&lt;&gt;"",IFERROR(INDEX('Revisão_Gemini'!$I$7:$I$456,MATCH($A161,'Revisão_Gemini'!$A$7:$A$456,0))&amp;"",""),IFERROR(INDEX('Revisão_ChatGPT'!$I$7:$I$456,MATCH($A161,'Revisão_ChatGPT'!$A$7:$A$456,0))&amp;"","")))))</f>
        <v/>
      </c>
      <c r="Q161" s="2" t="str">
        <f t="array" ref="Q161">IF(O161&lt;&gt;"Excluir","",IF(L161&lt;&gt;"",L161,IF(F161="Excluir",IFERROR(INDEX(Triagem!$K$2:$K$451,MATCH($A161,Triagem!$A$2:$A$451,0))&amp;"",""),IF(G161="Excluir",IFERROR(INDEX('Revisão_Gemini'!$J$7:$J$456,MATCH($A161,'Revisão_Gemini'!$A$7:$A$456,0))&amp;"",""),IFERROR(INDEX('Revisão_ChatGPT'!$J$7:$J$456,MATCH($A161,'Revisão_ChatGPT'!$A$7:$A$456,0))&amp;"","")))))</f>
        <v/>
      </c>
    </row>
    <row r="162" ht="15.75" customHeight="1">
      <c r="A162" s="2" t="s">
        <v>469</v>
      </c>
      <c r="B162" s="19" t="str">
        <f t="array" ref="B162">INDEX(Triagem!$N$2:$N451 , MATCH(A162,Triagem!$A$2:$A451,0))</f>
        <v>abrir</v>
      </c>
      <c r="C162" s="20">
        <f t="array" ref="C162">INDEX(Triagem!$B$2:$B451 , MATCH(A162,Triagem!$A$2:$A451,0))</f>
        <v>2016</v>
      </c>
      <c r="D162" s="2" t="s">
        <v>471</v>
      </c>
      <c r="E162" s="2" t="s">
        <v>472</v>
      </c>
      <c r="F162" s="2" t="str">
        <f t="array" ref="F162">IFERROR(INDEX(Triagem!$I$2:$I$451,MATCH($A162,Triagem!$A$2:$A$451,0))&amp;"","")</f>
        <v>Incluir</v>
      </c>
      <c r="G162" s="2" t="str">
        <f t="array" ref="G162">IFERROR(INDEX('Revisão_Gemini'!$H$7:$H$456,MATCH($A162,'Revisão_Gemini'!$A$7:$A$456,0))&amp;"","")</f>
        <v>Incluir</v>
      </c>
      <c r="H162" s="2" t="str">
        <f t="array" ref="H162">IFERROR(INDEX('Revisão_ChatGPT'!$H$7:$H$456,MATCH($A162,'Revisão_ChatGPT'!$A$7:$A$456,0))&amp;"","")</f>
        <v>Incluir</v>
      </c>
      <c r="I162" s="2" t="str">
        <f t="shared" si="1"/>
        <v>3/3</v>
      </c>
      <c r="J162" s="21"/>
      <c r="K162" s="21"/>
      <c r="L162" s="21"/>
      <c r="M162" s="22" t="b">
        <f t="shared" si="2"/>
        <v>0</v>
      </c>
      <c r="N162" s="21"/>
      <c r="O162" s="2" t="str">
        <f t="shared" si="3"/>
        <v>Fora do recorte anual + Incluir</v>
      </c>
      <c r="P162" s="2" t="str">
        <f t="array" ref="P162">IF(O162&lt;&gt;"Incluir","",IF(K162&lt;&gt;"",K162,IF(IFERROR(INDEX(Triagem!$J$2:$J$451,MATCH($A162,Triagem!$A$2:$A$451,0))&amp;"","")&lt;&gt;"",IFERROR(INDEX(Triagem!$J$2:$J$451,MATCH($A162,Triagem!$A$2:$A$451,0))&amp;"",""),IF(IFERROR(INDEX('Revisão_Gemini'!$I$7:$I$456,MATCH($A162,'Revisão_Gemini'!$A$7:$A$456,0))&amp;"","")&lt;&gt;"",IFERROR(INDEX('Revisão_Gemini'!$I$7:$I$456,MATCH($A162,'Revisão_Gemini'!$A$7:$A$456,0))&amp;"",""),IFERROR(INDEX('Revisão_ChatGPT'!$I$7:$I$456,MATCH($A162,'Revisão_ChatGPT'!$A$7:$A$456,0))&amp;"","")))))</f>
        <v/>
      </c>
      <c r="Q162" s="2" t="str">
        <f t="array" ref="Q162">IF(O162&lt;&gt;"Excluir","",IF(L162&lt;&gt;"",L162,IF(F162="Excluir",IFERROR(INDEX(Triagem!$K$2:$K$451,MATCH($A162,Triagem!$A$2:$A$451,0))&amp;"",""),IF(G162="Excluir",IFERROR(INDEX('Revisão_Gemini'!$J$7:$J$456,MATCH($A162,'Revisão_Gemini'!$A$7:$A$456,0))&amp;"",""),IFERROR(INDEX('Revisão_ChatGPT'!$J$7:$J$456,MATCH($A162,'Revisão_ChatGPT'!$A$7:$A$456,0))&amp;"","")))))</f>
        <v/>
      </c>
    </row>
    <row r="163" ht="15.75" customHeight="1">
      <c r="A163" s="2" t="s">
        <v>473</v>
      </c>
      <c r="B163" s="19" t="str">
        <f t="array" ref="B163">INDEX(Triagem!$N$2:$N451 , MATCH(A163,Triagem!$A$2:$A451,0))</f>
        <v>abrir</v>
      </c>
      <c r="C163" s="20">
        <f t="array" ref="C163">INDEX(Triagem!$B$2:$B451 , MATCH(A163,Triagem!$A$2:$A451,0))</f>
        <v>2016</v>
      </c>
      <c r="D163" s="2" t="s">
        <v>475</v>
      </c>
      <c r="E163" s="2" t="s">
        <v>476</v>
      </c>
      <c r="F163" s="2" t="str">
        <f t="array" ref="F163">IFERROR(INDEX(Triagem!$I$2:$I$451,MATCH($A163,Triagem!$A$2:$A$451,0))&amp;"","")</f>
        <v>Incluir</v>
      </c>
      <c r="G163" s="2" t="str">
        <f t="array" ref="G163">IFERROR(INDEX('Revisão_Gemini'!$H$7:$H$456,MATCH($A163,'Revisão_Gemini'!$A$7:$A$456,0))&amp;"","")</f>
        <v>Incluir</v>
      </c>
      <c r="H163" s="2" t="str">
        <f t="array" ref="H163">IFERROR(INDEX('Revisão_ChatGPT'!$H$7:$H$456,MATCH($A163,'Revisão_ChatGPT'!$A$7:$A$456,0))&amp;"","")</f>
        <v>Incluir</v>
      </c>
      <c r="I163" s="2" t="str">
        <f t="shared" si="1"/>
        <v>3/3</v>
      </c>
      <c r="J163" s="21"/>
      <c r="K163" s="21"/>
      <c r="L163" s="21"/>
      <c r="M163" s="22" t="b">
        <f t="shared" si="2"/>
        <v>0</v>
      </c>
      <c r="N163" s="21" t="s">
        <v>3236</v>
      </c>
      <c r="O163" s="2" t="str">
        <f t="shared" si="3"/>
        <v>Fora do recorte anual + Incluir</v>
      </c>
      <c r="P163" s="2" t="str">
        <f t="array" ref="P163">IF(O163&lt;&gt;"Incluir","",IF(K163&lt;&gt;"",K163,IF(IFERROR(INDEX(Triagem!$J$2:$J$451,MATCH($A163,Triagem!$A$2:$A$451,0))&amp;"","")&lt;&gt;"",IFERROR(INDEX(Triagem!$J$2:$J$451,MATCH($A163,Triagem!$A$2:$A$451,0))&amp;"",""),IF(IFERROR(INDEX('Revisão_Gemini'!$I$7:$I$456,MATCH($A163,'Revisão_Gemini'!$A$7:$A$456,0))&amp;"","")&lt;&gt;"",IFERROR(INDEX('Revisão_Gemini'!$I$7:$I$456,MATCH($A163,'Revisão_Gemini'!$A$7:$A$456,0))&amp;"",""),IFERROR(INDEX('Revisão_ChatGPT'!$I$7:$I$456,MATCH($A163,'Revisão_ChatGPT'!$A$7:$A$456,0))&amp;"","")))))</f>
        <v/>
      </c>
      <c r="Q163" s="2" t="str">
        <f t="array" ref="Q163">IF(O163&lt;&gt;"Excluir","",IF(L163&lt;&gt;"",L163,IF(F163="Excluir",IFERROR(INDEX(Triagem!$K$2:$K$451,MATCH($A163,Triagem!$A$2:$A$451,0))&amp;"",""),IF(G163="Excluir",IFERROR(INDEX('Revisão_Gemini'!$J$7:$J$456,MATCH($A163,'Revisão_Gemini'!$A$7:$A$456,0))&amp;"",""),IFERROR(INDEX('Revisão_ChatGPT'!$J$7:$J$456,MATCH($A163,'Revisão_ChatGPT'!$A$7:$A$456,0))&amp;"","")))))</f>
        <v/>
      </c>
    </row>
    <row r="164" ht="15.75" customHeight="1">
      <c r="A164" s="2" t="s">
        <v>1337</v>
      </c>
      <c r="B164" s="19" t="str">
        <f t="array" ref="B164">INDEX(Triagem!$N$2:$N451 , MATCH(A164,Triagem!$A$2:$A451,0))</f>
        <v>abrir</v>
      </c>
      <c r="C164" s="20">
        <f t="array" ref="C164">INDEX(Triagem!$B$2:$B451 , MATCH(A164,Triagem!$A$2:$A451,0))</f>
        <v>2016</v>
      </c>
      <c r="D164" s="2" t="s">
        <v>1338</v>
      </c>
      <c r="E164" s="2" t="s">
        <v>1339</v>
      </c>
      <c r="F164" s="2" t="str">
        <f t="array" ref="F164">IFERROR(INDEX(Triagem!$I$2:$I$451,MATCH($A164,Triagem!$A$2:$A$451,0))&amp;"","")</f>
        <v>Excluir</v>
      </c>
      <c r="G164" s="2" t="str">
        <f t="array" ref="G164">IFERROR(INDEX('Revisão_Gemini'!$H$7:$H$456,MATCH($A164,'Revisão_Gemini'!$A$7:$A$456,0))&amp;"","")</f>
        <v>Excluir</v>
      </c>
      <c r="H164" s="2" t="str">
        <f t="array" ref="H164">IFERROR(INDEX('Revisão_ChatGPT'!$H$7:$H$456,MATCH($A164,'Revisão_ChatGPT'!$A$7:$A$456,0))&amp;"","")</f>
        <v>Excluir</v>
      </c>
      <c r="I164" s="2" t="str">
        <f t="shared" si="1"/>
        <v>3/3</v>
      </c>
      <c r="J164" s="21"/>
      <c r="K164" s="21"/>
      <c r="L164" s="21"/>
      <c r="M164" s="22" t="b">
        <f t="shared" si="2"/>
        <v>0</v>
      </c>
      <c r="N164" s="21" t="s">
        <v>3237</v>
      </c>
      <c r="O164" s="2" t="str">
        <f t="shared" si="3"/>
        <v>Fora do recorte anual + Excluir</v>
      </c>
      <c r="P164" s="2" t="str">
        <f t="array" ref="P164">IF(O164&lt;&gt;"Incluir","",IF(K164&lt;&gt;"",K164,IF(IFERROR(INDEX(Triagem!$J$2:$J$451,MATCH($A164,Triagem!$A$2:$A$451,0))&amp;"","")&lt;&gt;"",IFERROR(INDEX(Triagem!$J$2:$J$451,MATCH($A164,Triagem!$A$2:$A$451,0))&amp;"",""),IF(IFERROR(INDEX('Revisão_Gemini'!$I$7:$I$456,MATCH($A164,'Revisão_Gemini'!$A$7:$A$456,0))&amp;"","")&lt;&gt;"",IFERROR(INDEX('Revisão_Gemini'!$I$7:$I$456,MATCH($A164,'Revisão_Gemini'!$A$7:$A$456,0))&amp;"",""),IFERROR(INDEX('Revisão_ChatGPT'!$I$7:$I$456,MATCH($A164,'Revisão_ChatGPT'!$A$7:$A$456,0))&amp;"","")))))</f>
        <v/>
      </c>
      <c r="Q164" s="2" t="str">
        <f t="array" ref="Q164">IF(O164&lt;&gt;"Excluir","",IF(L164&lt;&gt;"",L164,IF(F164="Excluir",IFERROR(INDEX(Triagem!$K$2:$K$451,MATCH($A164,Triagem!$A$2:$A$451,0))&amp;"",""),IF(G164="Excluir",IFERROR(INDEX('Revisão_Gemini'!$J$7:$J$456,MATCH($A164,'Revisão_Gemini'!$A$7:$A$456,0))&amp;"",""),IFERROR(INDEX('Revisão_ChatGPT'!$J$7:$J$456,MATCH($A164,'Revisão_ChatGPT'!$A$7:$A$456,0))&amp;"","")))))</f>
        <v/>
      </c>
    </row>
    <row r="165" ht="15.75" customHeight="1">
      <c r="A165" s="2" t="s">
        <v>1757</v>
      </c>
      <c r="B165" s="19" t="str">
        <f t="array" ref="B165">INDEX(Triagem!$N$2:$N451 , MATCH(A165,Triagem!$A$2:$A451,0))</f>
        <v>abrir</v>
      </c>
      <c r="C165" s="20">
        <f t="array" ref="C165">INDEX(Triagem!$B$2:$B451 , MATCH(A165,Triagem!$A$2:$A451,0))</f>
        <v>2016</v>
      </c>
      <c r="D165" s="2" t="s">
        <v>1759</v>
      </c>
      <c r="E165" s="2" t="s">
        <v>1760</v>
      </c>
      <c r="F165" s="2" t="str">
        <f t="array" ref="F165">IFERROR(INDEX(Triagem!$I$2:$I$451,MATCH($A165,Triagem!$A$2:$A$451,0))&amp;"","")</f>
        <v>Excluir</v>
      </c>
      <c r="G165" s="2" t="str">
        <f t="array" ref="G165">IFERROR(INDEX('Revisão_Gemini'!$H$7:$H$456,MATCH($A165,'Revisão_Gemini'!$A$7:$A$456,0))&amp;"","")</f>
        <v>Excluir</v>
      </c>
      <c r="H165" s="2" t="str">
        <f t="array" ref="H165">IFERROR(INDEX('Revisão_ChatGPT'!$H$7:$H$456,MATCH($A165,'Revisão_ChatGPT'!$A$7:$A$456,0))&amp;"","")</f>
        <v>Excluir</v>
      </c>
      <c r="I165" s="2" t="str">
        <f t="shared" si="1"/>
        <v>3/3</v>
      </c>
      <c r="J165" s="21"/>
      <c r="K165" s="21"/>
      <c r="L165" s="21"/>
      <c r="M165" s="22" t="b">
        <f t="shared" si="2"/>
        <v>0</v>
      </c>
      <c r="N165" s="21" t="s">
        <v>3238</v>
      </c>
      <c r="O165" s="2" t="str">
        <f t="shared" si="3"/>
        <v>Fora do recorte anual + Excluir</v>
      </c>
      <c r="P165" s="2" t="str">
        <f t="array" ref="P165">IF(O165&lt;&gt;"Incluir","",IF(K165&lt;&gt;"",K165,IF(IFERROR(INDEX(Triagem!$J$2:$J$451,MATCH($A165,Triagem!$A$2:$A$451,0))&amp;"","")&lt;&gt;"",IFERROR(INDEX(Triagem!$J$2:$J$451,MATCH($A165,Triagem!$A$2:$A$451,0))&amp;"",""),IF(IFERROR(INDEX('Revisão_Gemini'!$I$7:$I$456,MATCH($A165,'Revisão_Gemini'!$A$7:$A$456,0))&amp;"","")&lt;&gt;"",IFERROR(INDEX('Revisão_Gemini'!$I$7:$I$456,MATCH($A165,'Revisão_Gemini'!$A$7:$A$456,0))&amp;"",""),IFERROR(INDEX('Revisão_ChatGPT'!$I$7:$I$456,MATCH($A165,'Revisão_ChatGPT'!$A$7:$A$456,0))&amp;"","")))))</f>
        <v/>
      </c>
      <c r="Q165" s="2" t="str">
        <f t="array" ref="Q165">IF(O165&lt;&gt;"Excluir","",IF(L165&lt;&gt;"",L165,IF(F165="Excluir",IFERROR(INDEX(Triagem!$K$2:$K$451,MATCH($A165,Triagem!$A$2:$A$451,0))&amp;"",""),IF(G165="Excluir",IFERROR(INDEX('Revisão_Gemini'!$J$7:$J$456,MATCH($A165,'Revisão_Gemini'!$A$7:$A$456,0))&amp;"",""),IFERROR(INDEX('Revisão_ChatGPT'!$J$7:$J$456,MATCH($A165,'Revisão_ChatGPT'!$A$7:$A$456,0))&amp;"","")))))</f>
        <v/>
      </c>
    </row>
    <row r="166" ht="15.75" customHeight="1">
      <c r="A166" s="2" t="s">
        <v>1340</v>
      </c>
      <c r="B166" s="19" t="str">
        <f t="array" ref="B166">INDEX(Triagem!$N$2:$N451 , MATCH(A166,Triagem!$A$2:$A451,0))</f>
        <v>abrir</v>
      </c>
      <c r="C166" s="20">
        <f t="array" ref="C166">INDEX(Triagem!$B$2:$B451 , MATCH(A166,Triagem!$A$2:$A451,0))</f>
        <v>2016</v>
      </c>
      <c r="D166" s="2" t="s">
        <v>1342</v>
      </c>
      <c r="E166" s="2" t="s">
        <v>1343</v>
      </c>
      <c r="F166" s="2" t="str">
        <f t="array" ref="F166">IFERROR(INDEX(Triagem!$I$2:$I$451,MATCH($A166,Triagem!$A$2:$A$451,0))&amp;"","")</f>
        <v>Excluir</v>
      </c>
      <c r="G166" s="2" t="str">
        <f t="array" ref="G166">IFERROR(INDEX('Revisão_Gemini'!$H$7:$H$456,MATCH($A166,'Revisão_Gemini'!$A$7:$A$456,0))&amp;"","")</f>
        <v>Excluir</v>
      </c>
      <c r="H166" s="2" t="str">
        <f t="array" ref="H166">IFERROR(INDEX('Revisão_ChatGPT'!$H$7:$H$456,MATCH($A166,'Revisão_ChatGPT'!$A$7:$A$456,0))&amp;"","")</f>
        <v>Excluir</v>
      </c>
      <c r="I166" s="2" t="str">
        <f t="shared" si="1"/>
        <v>3/3</v>
      </c>
      <c r="J166" s="21"/>
      <c r="K166" s="21"/>
      <c r="L166" s="21"/>
      <c r="M166" s="22" t="b">
        <f t="shared" si="2"/>
        <v>0</v>
      </c>
      <c r="N166" s="21" t="s">
        <v>3239</v>
      </c>
      <c r="O166" s="2" t="str">
        <f t="shared" si="3"/>
        <v>Fora do recorte anual + Excluir</v>
      </c>
      <c r="P166" s="2" t="str">
        <f t="array" ref="P166">IF(O166&lt;&gt;"Incluir","",IF(K166&lt;&gt;"",K166,IF(IFERROR(INDEX(Triagem!$J$2:$J$451,MATCH($A166,Triagem!$A$2:$A$451,0))&amp;"","")&lt;&gt;"",IFERROR(INDEX(Triagem!$J$2:$J$451,MATCH($A166,Triagem!$A$2:$A$451,0))&amp;"",""),IF(IFERROR(INDEX('Revisão_Gemini'!$I$7:$I$456,MATCH($A166,'Revisão_Gemini'!$A$7:$A$456,0))&amp;"","")&lt;&gt;"",IFERROR(INDEX('Revisão_Gemini'!$I$7:$I$456,MATCH($A166,'Revisão_Gemini'!$A$7:$A$456,0))&amp;"",""),IFERROR(INDEX('Revisão_ChatGPT'!$I$7:$I$456,MATCH($A166,'Revisão_ChatGPT'!$A$7:$A$456,0))&amp;"","")))))</f>
        <v/>
      </c>
      <c r="Q166" s="2" t="str">
        <f t="array" ref="Q166">IF(O166&lt;&gt;"Excluir","",IF(L166&lt;&gt;"",L166,IF(F166="Excluir",IFERROR(INDEX(Triagem!$K$2:$K$451,MATCH($A166,Triagem!$A$2:$A$451,0))&amp;"",""),IF(G166="Excluir",IFERROR(INDEX('Revisão_Gemini'!$J$7:$J$456,MATCH($A166,'Revisão_Gemini'!$A$7:$A$456,0))&amp;"",""),IFERROR(INDEX('Revisão_ChatGPT'!$J$7:$J$456,MATCH($A166,'Revisão_ChatGPT'!$A$7:$A$456,0))&amp;"","")))))</f>
        <v/>
      </c>
    </row>
    <row r="167" ht="15.75" customHeight="1">
      <c r="A167" s="2" t="s">
        <v>478</v>
      </c>
      <c r="B167" s="19" t="str">
        <f t="array" ref="B167">INDEX(Triagem!$N$2:$N451 , MATCH(A167,Triagem!$A$2:$A451,0))</f>
        <v>abrir</v>
      </c>
      <c r="C167" s="20">
        <f t="array" ref="C167">INDEX(Triagem!$B$2:$B451 , MATCH(A167,Triagem!$A$2:$A451,0))</f>
        <v>2016</v>
      </c>
      <c r="D167" s="2" t="s">
        <v>480</v>
      </c>
      <c r="E167" s="2" t="s">
        <v>481</v>
      </c>
      <c r="F167" s="2" t="str">
        <f t="array" ref="F167">IFERROR(INDEX(Triagem!$I$2:$I$451,MATCH($A167,Triagem!$A$2:$A$451,0))&amp;"","")</f>
        <v>Incluir</v>
      </c>
      <c r="G167" s="2" t="str">
        <f t="array" ref="G167">IFERROR(INDEX('Revisão_Gemini'!$H$7:$H$456,MATCH($A167,'Revisão_Gemini'!$A$7:$A$456,0))&amp;"","")</f>
        <v>Incluir</v>
      </c>
      <c r="H167" s="2" t="str">
        <f t="array" ref="H167">IFERROR(INDEX('Revisão_ChatGPT'!$H$7:$H$456,MATCH($A167,'Revisão_ChatGPT'!$A$7:$A$456,0))&amp;"","")</f>
        <v>Incluir</v>
      </c>
      <c r="I167" s="2" t="str">
        <f t="shared" si="1"/>
        <v>3/3</v>
      </c>
      <c r="J167" s="21"/>
      <c r="K167" s="21"/>
      <c r="L167" s="21"/>
      <c r="M167" s="22" t="b">
        <f t="shared" si="2"/>
        <v>0</v>
      </c>
      <c r="N167" s="21"/>
      <c r="O167" s="2" t="str">
        <f t="shared" si="3"/>
        <v>Fora do recorte anual + Incluir</v>
      </c>
      <c r="P167" s="2" t="str">
        <f t="array" ref="P167">IF(O167&lt;&gt;"Incluir","",IF(K167&lt;&gt;"",K167,IF(IFERROR(INDEX(Triagem!$J$2:$J$451,MATCH($A167,Triagem!$A$2:$A$451,0))&amp;"","")&lt;&gt;"",IFERROR(INDEX(Triagem!$J$2:$J$451,MATCH($A167,Triagem!$A$2:$A$451,0))&amp;"",""),IF(IFERROR(INDEX('Revisão_Gemini'!$I$7:$I$456,MATCH($A167,'Revisão_Gemini'!$A$7:$A$456,0))&amp;"","")&lt;&gt;"",IFERROR(INDEX('Revisão_Gemini'!$I$7:$I$456,MATCH($A167,'Revisão_Gemini'!$A$7:$A$456,0))&amp;"",""),IFERROR(INDEX('Revisão_ChatGPT'!$I$7:$I$456,MATCH($A167,'Revisão_ChatGPT'!$A$7:$A$456,0))&amp;"","")))))</f>
        <v/>
      </c>
      <c r="Q167" s="2" t="str">
        <f t="array" ref="Q167">IF(O167&lt;&gt;"Excluir","",IF(L167&lt;&gt;"",L167,IF(F167="Excluir",IFERROR(INDEX(Triagem!$K$2:$K$451,MATCH($A167,Triagem!$A$2:$A$451,0))&amp;"",""),IF(G167="Excluir",IFERROR(INDEX('Revisão_Gemini'!$J$7:$J$456,MATCH($A167,'Revisão_Gemini'!$A$7:$A$456,0))&amp;"",""),IFERROR(INDEX('Revisão_ChatGPT'!$J$7:$J$456,MATCH($A167,'Revisão_ChatGPT'!$A$7:$A$456,0))&amp;"","")))))</f>
        <v/>
      </c>
    </row>
    <row r="168" ht="15.75" customHeight="1">
      <c r="A168" s="2" t="s">
        <v>482</v>
      </c>
      <c r="B168" s="19" t="str">
        <f t="array" ref="B168">INDEX(Triagem!$N$2:$N451 , MATCH(A168,Triagem!$A$2:$A451,0))</f>
        <v>abrir</v>
      </c>
      <c r="C168" s="20">
        <f t="array" ref="C168">INDEX(Triagem!$B$2:$B451 , MATCH(A168,Triagem!$A$2:$A451,0))</f>
        <v>2016</v>
      </c>
      <c r="D168" s="2" t="s">
        <v>484</v>
      </c>
      <c r="E168" s="2" t="s">
        <v>485</v>
      </c>
      <c r="F168" s="2" t="str">
        <f t="array" ref="F168">IFERROR(INDEX(Triagem!$I$2:$I$451,MATCH($A168,Triagem!$A$2:$A$451,0))&amp;"","")</f>
        <v>Incluir</v>
      </c>
      <c r="G168" s="2" t="str">
        <f t="array" ref="G168">IFERROR(INDEX('Revisão_Gemini'!$H$7:$H$456,MATCH($A168,'Revisão_Gemini'!$A$7:$A$456,0))&amp;"","")</f>
        <v>Incluir</v>
      </c>
      <c r="H168" s="2" t="str">
        <f t="array" ref="H168">IFERROR(INDEX('Revisão_ChatGPT'!$H$7:$H$456,MATCH($A168,'Revisão_ChatGPT'!$A$7:$A$456,0))&amp;"","")</f>
        <v>Incluir</v>
      </c>
      <c r="I168" s="2" t="str">
        <f t="shared" si="1"/>
        <v>3/3</v>
      </c>
      <c r="J168" s="21"/>
      <c r="K168" s="21"/>
      <c r="L168" s="21"/>
      <c r="M168" s="22" t="b">
        <f t="shared" si="2"/>
        <v>0</v>
      </c>
      <c r="N168" s="21"/>
      <c r="O168" s="2" t="str">
        <f t="shared" si="3"/>
        <v>Fora do recorte anual + Incluir</v>
      </c>
      <c r="P168" s="2" t="str">
        <f t="array" ref="P168">IF(O168&lt;&gt;"Incluir","",IF(K168&lt;&gt;"",K168,IF(IFERROR(INDEX(Triagem!$J$2:$J$451,MATCH($A168,Triagem!$A$2:$A$451,0))&amp;"","")&lt;&gt;"",IFERROR(INDEX(Triagem!$J$2:$J$451,MATCH($A168,Triagem!$A$2:$A$451,0))&amp;"",""),IF(IFERROR(INDEX('Revisão_Gemini'!$I$7:$I$456,MATCH($A168,'Revisão_Gemini'!$A$7:$A$456,0))&amp;"","")&lt;&gt;"",IFERROR(INDEX('Revisão_Gemini'!$I$7:$I$456,MATCH($A168,'Revisão_Gemini'!$A$7:$A$456,0))&amp;"",""),IFERROR(INDEX('Revisão_ChatGPT'!$I$7:$I$456,MATCH($A168,'Revisão_ChatGPT'!$A$7:$A$456,0))&amp;"","")))))</f>
        <v/>
      </c>
      <c r="Q168" s="2" t="str">
        <f t="array" ref="Q168">IF(O168&lt;&gt;"Excluir","",IF(L168&lt;&gt;"",L168,IF(F168="Excluir",IFERROR(INDEX(Triagem!$K$2:$K$451,MATCH($A168,Triagem!$A$2:$A$451,0))&amp;"",""),IF(G168="Excluir",IFERROR(INDEX('Revisão_Gemini'!$J$7:$J$456,MATCH($A168,'Revisão_Gemini'!$A$7:$A$456,0))&amp;"",""),IFERROR(INDEX('Revisão_ChatGPT'!$J$7:$J$456,MATCH($A168,'Revisão_ChatGPT'!$A$7:$A$456,0))&amp;"","")))))</f>
        <v/>
      </c>
    </row>
    <row r="169" ht="15.75" customHeight="1">
      <c r="A169" s="2" t="s">
        <v>1761</v>
      </c>
      <c r="B169" s="19" t="str">
        <f t="array" ref="B169">INDEX(Triagem!$N$2:$N451 , MATCH(A169,Triagem!$A$2:$A451,0))</f>
        <v>abrir</v>
      </c>
      <c r="C169" s="20">
        <f t="array" ref="C169">INDEX(Triagem!$B$2:$B451 , MATCH(A169,Triagem!$A$2:$A451,0))</f>
        <v>2016</v>
      </c>
      <c r="D169" s="2" t="s">
        <v>1763</v>
      </c>
      <c r="E169" s="2" t="s">
        <v>1764</v>
      </c>
      <c r="F169" s="2" t="str">
        <f t="array" ref="F169">IFERROR(INDEX(Triagem!$I$2:$I$451,MATCH($A169,Triagem!$A$2:$A$451,0))&amp;"","")</f>
        <v>Excluir</v>
      </c>
      <c r="G169" s="2" t="str">
        <f t="array" ref="G169">IFERROR(INDEX('Revisão_Gemini'!$H$7:$H$456,MATCH($A169,'Revisão_Gemini'!$A$7:$A$456,0))&amp;"","")</f>
        <v>Excluir</v>
      </c>
      <c r="H169" s="2" t="str">
        <f t="array" ref="H169">IFERROR(INDEX('Revisão_ChatGPT'!$H$7:$H$456,MATCH($A169,'Revisão_ChatGPT'!$A$7:$A$456,0))&amp;"","")</f>
        <v>Excluir</v>
      </c>
      <c r="I169" s="2" t="str">
        <f t="shared" si="1"/>
        <v>3/3</v>
      </c>
      <c r="J169" s="21"/>
      <c r="K169" s="21"/>
      <c r="L169" s="21"/>
      <c r="M169" s="22" t="b">
        <f t="shared" si="2"/>
        <v>0</v>
      </c>
      <c r="N169" s="21" t="s">
        <v>3240</v>
      </c>
      <c r="O169" s="2" t="str">
        <f t="shared" si="3"/>
        <v>Fora do recorte anual + Excluir</v>
      </c>
      <c r="P169" s="2" t="str">
        <f t="array" ref="P169">IF(O169&lt;&gt;"Incluir","",IF(K169&lt;&gt;"",K169,IF(IFERROR(INDEX(Triagem!$J$2:$J$451,MATCH($A169,Triagem!$A$2:$A$451,0))&amp;"","")&lt;&gt;"",IFERROR(INDEX(Triagem!$J$2:$J$451,MATCH($A169,Triagem!$A$2:$A$451,0))&amp;"",""),IF(IFERROR(INDEX('Revisão_Gemini'!$I$7:$I$456,MATCH($A169,'Revisão_Gemini'!$A$7:$A$456,0))&amp;"","")&lt;&gt;"",IFERROR(INDEX('Revisão_Gemini'!$I$7:$I$456,MATCH($A169,'Revisão_Gemini'!$A$7:$A$456,0))&amp;"",""),IFERROR(INDEX('Revisão_ChatGPT'!$I$7:$I$456,MATCH($A169,'Revisão_ChatGPT'!$A$7:$A$456,0))&amp;"","")))))</f>
        <v/>
      </c>
      <c r="Q169" s="2" t="str">
        <f t="array" ref="Q169">IF(O169&lt;&gt;"Excluir","",IF(L169&lt;&gt;"",L169,IF(F169="Excluir",IFERROR(INDEX(Triagem!$K$2:$K$451,MATCH($A169,Triagem!$A$2:$A$451,0))&amp;"",""),IF(G169="Excluir",IFERROR(INDEX('Revisão_Gemini'!$J$7:$J$456,MATCH($A169,'Revisão_Gemini'!$A$7:$A$456,0))&amp;"",""),IFERROR(INDEX('Revisão_ChatGPT'!$J$7:$J$456,MATCH($A169,'Revisão_ChatGPT'!$A$7:$A$456,0))&amp;"","")))))</f>
        <v/>
      </c>
    </row>
    <row r="170" ht="15.75" customHeight="1">
      <c r="A170" s="2" t="s">
        <v>846</v>
      </c>
      <c r="B170" s="19" t="str">
        <f t="array" ref="B170">INDEX(Triagem!$N$2:$N451 , MATCH(A170,Triagem!$A$2:$A451,0))</f>
        <v>abrir</v>
      </c>
      <c r="C170" s="20">
        <f t="array" ref="C170">INDEX(Triagem!$B$2:$B451 , MATCH(A170,Triagem!$A$2:$A451,0))</f>
        <v>2016</v>
      </c>
      <c r="D170" s="2" t="s">
        <v>847</v>
      </c>
      <c r="E170" s="2" t="s">
        <v>848</v>
      </c>
      <c r="F170" s="2" t="str">
        <f t="array" ref="F170">IFERROR(INDEX(Triagem!$I$2:$I$451,MATCH($A170,Triagem!$A$2:$A$451,0))&amp;"","")</f>
        <v>Apoio</v>
      </c>
      <c r="G170" s="2" t="str">
        <f t="array" ref="G170">IFERROR(INDEX('Revisão_Gemini'!$H$7:$H$456,MATCH($A170,'Revisão_Gemini'!$A$7:$A$456,0))&amp;"","")</f>
        <v>Apoio</v>
      </c>
      <c r="H170" s="2" t="str">
        <f t="array" ref="H170">IFERROR(INDEX('Revisão_ChatGPT'!$H$7:$H$456,MATCH($A170,'Revisão_ChatGPT'!$A$7:$A$456,0))&amp;"","")</f>
        <v>Apoio</v>
      </c>
      <c r="I170" s="2" t="str">
        <f t="shared" si="1"/>
        <v>3/3</v>
      </c>
      <c r="J170" s="21"/>
      <c r="K170" s="21"/>
      <c r="L170" s="21"/>
      <c r="M170" s="22" t="b">
        <f t="shared" si="2"/>
        <v>0</v>
      </c>
      <c r="N170" s="21"/>
      <c r="O170" s="2" t="str">
        <f t="shared" si="3"/>
        <v>Fora do recorte anual + Apoio</v>
      </c>
      <c r="P170" s="2" t="str">
        <f t="array" ref="P170">IF(O170&lt;&gt;"Incluir","",IF(K170&lt;&gt;"",K170,IF(IFERROR(INDEX(Triagem!$J$2:$J$451,MATCH($A170,Triagem!$A$2:$A$451,0))&amp;"","")&lt;&gt;"",IFERROR(INDEX(Triagem!$J$2:$J$451,MATCH($A170,Triagem!$A$2:$A$451,0))&amp;"",""),IF(IFERROR(INDEX('Revisão_Gemini'!$I$7:$I$456,MATCH($A170,'Revisão_Gemini'!$A$7:$A$456,0))&amp;"","")&lt;&gt;"",IFERROR(INDEX('Revisão_Gemini'!$I$7:$I$456,MATCH($A170,'Revisão_Gemini'!$A$7:$A$456,0))&amp;"",""),IFERROR(INDEX('Revisão_ChatGPT'!$I$7:$I$456,MATCH($A170,'Revisão_ChatGPT'!$A$7:$A$456,0))&amp;"","")))))</f>
        <v/>
      </c>
      <c r="Q170" s="2" t="str">
        <f t="array" ref="Q170">IF(O170&lt;&gt;"Excluir","",IF(L170&lt;&gt;"",L170,IF(F170="Excluir",IFERROR(INDEX(Triagem!$K$2:$K$451,MATCH($A170,Triagem!$A$2:$A$451,0))&amp;"",""),IF(G170="Excluir",IFERROR(INDEX('Revisão_Gemini'!$J$7:$J$456,MATCH($A170,'Revisão_Gemini'!$A$7:$A$456,0))&amp;"",""),IFERROR(INDEX('Revisão_ChatGPT'!$J$7:$J$456,MATCH($A170,'Revisão_ChatGPT'!$A$7:$A$456,0))&amp;"","")))))</f>
        <v/>
      </c>
    </row>
    <row r="171" ht="15.75" customHeight="1">
      <c r="A171" s="2" t="s">
        <v>486</v>
      </c>
      <c r="B171" s="19" t="str">
        <f t="array" ref="B171">INDEX(Triagem!$N$2:$N451 , MATCH(A171,Triagem!$A$2:$A451,0))</f>
        <v>abrir</v>
      </c>
      <c r="C171" s="20">
        <f t="array" ref="C171">INDEX(Triagem!$B$2:$B451 , MATCH(A171,Triagem!$A$2:$A451,0))</f>
        <v>2016</v>
      </c>
      <c r="D171" s="2" t="s">
        <v>488</v>
      </c>
      <c r="E171" s="2" t="s">
        <v>489</v>
      </c>
      <c r="F171" s="2" t="str">
        <f t="array" ref="F171">IFERROR(INDEX(Triagem!$I$2:$I$451,MATCH($A171,Triagem!$A$2:$A$451,0))&amp;"","")</f>
        <v>Incluir</v>
      </c>
      <c r="G171" s="2" t="str">
        <f t="array" ref="G171">IFERROR(INDEX('Revisão_Gemini'!$H$7:$H$456,MATCH($A171,'Revisão_Gemini'!$A$7:$A$456,0))&amp;"","")</f>
        <v>Incluir</v>
      </c>
      <c r="H171" s="2" t="str">
        <f t="array" ref="H171">IFERROR(INDEX('Revisão_ChatGPT'!$H$7:$H$456,MATCH($A171,'Revisão_ChatGPT'!$A$7:$A$456,0))&amp;"","")</f>
        <v>Incluir</v>
      </c>
      <c r="I171" s="2" t="str">
        <f t="shared" si="1"/>
        <v>3/3</v>
      </c>
      <c r="J171" s="21"/>
      <c r="K171" s="21"/>
      <c r="L171" s="21"/>
      <c r="M171" s="22" t="b">
        <f t="shared" si="2"/>
        <v>0</v>
      </c>
      <c r="N171" s="21"/>
      <c r="O171" s="2" t="str">
        <f t="shared" si="3"/>
        <v>Fora do recorte anual + Incluir</v>
      </c>
      <c r="P171" s="2" t="str">
        <f t="array" ref="P171">IF(O171&lt;&gt;"Incluir","",IF(K171&lt;&gt;"",K171,IF(IFERROR(INDEX(Triagem!$J$2:$J$451,MATCH($A171,Triagem!$A$2:$A$451,0))&amp;"","")&lt;&gt;"",IFERROR(INDEX(Triagem!$J$2:$J$451,MATCH($A171,Triagem!$A$2:$A$451,0))&amp;"",""),IF(IFERROR(INDEX('Revisão_Gemini'!$I$7:$I$456,MATCH($A171,'Revisão_Gemini'!$A$7:$A$456,0))&amp;"","")&lt;&gt;"",IFERROR(INDEX('Revisão_Gemini'!$I$7:$I$456,MATCH($A171,'Revisão_Gemini'!$A$7:$A$456,0))&amp;"",""),IFERROR(INDEX('Revisão_ChatGPT'!$I$7:$I$456,MATCH($A171,'Revisão_ChatGPT'!$A$7:$A$456,0))&amp;"","")))))</f>
        <v/>
      </c>
      <c r="Q171" s="2" t="str">
        <f t="array" ref="Q171">IF(O171&lt;&gt;"Excluir","",IF(L171&lt;&gt;"",L171,IF(F171="Excluir",IFERROR(INDEX(Triagem!$K$2:$K$451,MATCH($A171,Triagem!$A$2:$A$451,0))&amp;"",""),IF(G171="Excluir",IFERROR(INDEX('Revisão_Gemini'!$J$7:$J$456,MATCH($A171,'Revisão_Gemini'!$A$7:$A$456,0))&amp;"",""),IFERROR(INDEX('Revisão_ChatGPT'!$J$7:$J$456,MATCH($A171,'Revisão_ChatGPT'!$A$7:$A$456,0))&amp;"","")))))</f>
        <v/>
      </c>
    </row>
    <row r="172" ht="15.75" customHeight="1">
      <c r="A172" s="2" t="s">
        <v>491</v>
      </c>
      <c r="B172" s="19" t="str">
        <f t="array" ref="B172">INDEX(Triagem!$N$2:$N451 , MATCH(A172,Triagem!$A$2:$A451,0))</f>
        <v>abrir</v>
      </c>
      <c r="C172" s="20">
        <f t="array" ref="C172">INDEX(Triagem!$B$2:$B451 , MATCH(A172,Triagem!$A$2:$A451,0))</f>
        <v>2016</v>
      </c>
      <c r="D172" s="2" t="s">
        <v>493</v>
      </c>
      <c r="E172" s="2" t="s">
        <v>494</v>
      </c>
      <c r="F172" s="2" t="str">
        <f t="array" ref="F172">IFERROR(INDEX(Triagem!$I$2:$I$451,MATCH($A172,Triagem!$A$2:$A$451,0))&amp;"","")</f>
        <v>Incluir</v>
      </c>
      <c r="G172" s="2" t="str">
        <f t="array" ref="G172">IFERROR(INDEX('Revisão_Gemini'!$H$7:$H$456,MATCH($A172,'Revisão_Gemini'!$A$7:$A$456,0))&amp;"","")</f>
        <v>Incluir</v>
      </c>
      <c r="H172" s="2" t="str">
        <f t="array" ref="H172">IFERROR(INDEX('Revisão_ChatGPT'!$H$7:$H$456,MATCH($A172,'Revisão_ChatGPT'!$A$7:$A$456,0))&amp;"","")</f>
        <v>Incluir</v>
      </c>
      <c r="I172" s="2" t="str">
        <f t="shared" si="1"/>
        <v>3/3</v>
      </c>
      <c r="J172" s="21"/>
      <c r="K172" s="21"/>
      <c r="L172" s="21"/>
      <c r="M172" s="22" t="b">
        <f t="shared" si="2"/>
        <v>0</v>
      </c>
      <c r="N172" s="21" t="s">
        <v>3241</v>
      </c>
      <c r="O172" s="2" t="str">
        <f t="shared" si="3"/>
        <v>Fora do recorte anual + Incluir</v>
      </c>
      <c r="P172" s="2" t="str">
        <f t="array" ref="P172">IF(O172&lt;&gt;"Incluir","",IF(K172&lt;&gt;"",K172,IF(IFERROR(INDEX(Triagem!$J$2:$J$451,MATCH($A172,Triagem!$A$2:$A$451,0))&amp;"","")&lt;&gt;"",IFERROR(INDEX(Triagem!$J$2:$J$451,MATCH($A172,Triagem!$A$2:$A$451,0))&amp;"",""),IF(IFERROR(INDEX('Revisão_Gemini'!$I$7:$I$456,MATCH($A172,'Revisão_Gemini'!$A$7:$A$456,0))&amp;"","")&lt;&gt;"",IFERROR(INDEX('Revisão_Gemini'!$I$7:$I$456,MATCH($A172,'Revisão_Gemini'!$A$7:$A$456,0))&amp;"",""),IFERROR(INDEX('Revisão_ChatGPT'!$I$7:$I$456,MATCH($A172,'Revisão_ChatGPT'!$A$7:$A$456,0))&amp;"","")))))</f>
        <v/>
      </c>
      <c r="Q172" s="2" t="str">
        <f t="array" ref="Q172">IF(O172&lt;&gt;"Excluir","",IF(L172&lt;&gt;"",L172,IF(F172="Excluir",IFERROR(INDEX(Triagem!$K$2:$K$451,MATCH($A172,Triagem!$A$2:$A$451,0))&amp;"",""),IF(G172="Excluir",IFERROR(INDEX('Revisão_Gemini'!$J$7:$J$456,MATCH($A172,'Revisão_Gemini'!$A$7:$A$456,0))&amp;"",""),IFERROR(INDEX('Revisão_ChatGPT'!$J$7:$J$456,MATCH($A172,'Revisão_ChatGPT'!$A$7:$A$456,0))&amp;"","")))))</f>
        <v/>
      </c>
    </row>
    <row r="173" ht="15.75" customHeight="1">
      <c r="A173" s="2" t="s">
        <v>803</v>
      </c>
      <c r="B173" s="19" t="str">
        <f t="array" ref="B173">INDEX(Triagem!$N$2:$N451 , MATCH(A173,Triagem!$A$2:$A451,0))</f>
        <v>abrir</v>
      </c>
      <c r="C173" s="20">
        <f t="array" ref="C173">INDEX(Triagem!$B$2:$B451 , MATCH(A173,Triagem!$A$2:$A451,0))</f>
        <v>2016</v>
      </c>
      <c r="D173" s="2" t="s">
        <v>804</v>
      </c>
      <c r="E173" s="2" t="s">
        <v>805</v>
      </c>
      <c r="F173" s="2" t="str">
        <f t="array" ref="F173">IFERROR(INDEX(Triagem!$I$2:$I$451,MATCH($A173,Triagem!$A$2:$A$451,0))&amp;"","")</f>
        <v>Apoio</v>
      </c>
      <c r="G173" s="2" t="str">
        <f t="array" ref="G173">IFERROR(INDEX('Revisão_Gemini'!$H$7:$H$456,MATCH($A173,'Revisão_Gemini'!$A$7:$A$456,0))&amp;"","")</f>
        <v>Apoio</v>
      </c>
      <c r="H173" s="2" t="str">
        <f t="array" ref="H173">IFERROR(INDEX('Revisão_ChatGPT'!$H$7:$H$456,MATCH($A173,'Revisão_ChatGPT'!$A$7:$A$456,0))&amp;"","")</f>
        <v>Apoio</v>
      </c>
      <c r="I173" s="2" t="str">
        <f t="shared" si="1"/>
        <v>3/3</v>
      </c>
      <c r="J173" s="21"/>
      <c r="K173" s="21"/>
      <c r="L173" s="21"/>
      <c r="M173" s="22" t="b">
        <f t="shared" si="2"/>
        <v>0</v>
      </c>
      <c r="N173" s="21"/>
      <c r="O173" s="2" t="str">
        <f t="shared" si="3"/>
        <v>Fora do recorte anual + Apoio</v>
      </c>
      <c r="P173" s="2" t="str">
        <f t="array" ref="P173">IF(O173&lt;&gt;"Incluir","",IF(K173&lt;&gt;"",K173,IF(IFERROR(INDEX(Triagem!$J$2:$J$451,MATCH($A173,Triagem!$A$2:$A$451,0))&amp;"","")&lt;&gt;"",IFERROR(INDEX(Triagem!$J$2:$J$451,MATCH($A173,Triagem!$A$2:$A$451,0))&amp;"",""),IF(IFERROR(INDEX('Revisão_Gemini'!$I$7:$I$456,MATCH($A173,'Revisão_Gemini'!$A$7:$A$456,0))&amp;"","")&lt;&gt;"",IFERROR(INDEX('Revisão_Gemini'!$I$7:$I$456,MATCH($A173,'Revisão_Gemini'!$A$7:$A$456,0))&amp;"",""),IFERROR(INDEX('Revisão_ChatGPT'!$I$7:$I$456,MATCH($A173,'Revisão_ChatGPT'!$A$7:$A$456,0))&amp;"","")))))</f>
        <v/>
      </c>
      <c r="Q173" s="2" t="str">
        <f t="array" ref="Q173">IF(O173&lt;&gt;"Excluir","",IF(L173&lt;&gt;"",L173,IF(F173="Excluir",IFERROR(INDEX(Triagem!$K$2:$K$451,MATCH($A173,Triagem!$A$2:$A$451,0))&amp;"",""),IF(G173="Excluir",IFERROR(INDEX('Revisão_Gemini'!$J$7:$J$456,MATCH($A173,'Revisão_Gemini'!$A$7:$A$456,0))&amp;"",""),IFERROR(INDEX('Revisão_ChatGPT'!$J$7:$J$456,MATCH($A173,'Revisão_ChatGPT'!$A$7:$A$456,0))&amp;"","")))))</f>
        <v/>
      </c>
    </row>
    <row r="174" ht="15.75" customHeight="1">
      <c r="A174" s="2" t="s">
        <v>1765</v>
      </c>
      <c r="B174" s="19" t="str">
        <f t="array" ref="B174">INDEX(Triagem!$N$2:$N451 , MATCH(A174,Triagem!$A$2:$A451,0))</f>
        <v>abrir</v>
      </c>
      <c r="C174" s="20">
        <f t="array" ref="C174">INDEX(Triagem!$B$2:$B451 , MATCH(A174,Triagem!$A$2:$A451,0))</f>
        <v>2016</v>
      </c>
      <c r="D174" s="2" t="s">
        <v>1767</v>
      </c>
      <c r="E174" s="2" t="s">
        <v>1768</v>
      </c>
      <c r="F174" s="2" t="str">
        <f t="array" ref="F174">IFERROR(INDEX(Triagem!$I$2:$I$451,MATCH($A174,Triagem!$A$2:$A$451,0))&amp;"","")</f>
        <v>Excluir</v>
      </c>
      <c r="G174" s="2" t="str">
        <f t="array" ref="G174">IFERROR(INDEX('Revisão_Gemini'!$H$7:$H$456,MATCH($A174,'Revisão_Gemini'!$A$7:$A$456,0))&amp;"","")</f>
        <v>Excluir</v>
      </c>
      <c r="H174" s="2" t="str">
        <f t="array" ref="H174">IFERROR(INDEX('Revisão_ChatGPT'!$H$7:$H$456,MATCH($A174,'Revisão_ChatGPT'!$A$7:$A$456,0))&amp;"","")</f>
        <v>Excluir</v>
      </c>
      <c r="I174" s="2" t="str">
        <f t="shared" si="1"/>
        <v>3/3</v>
      </c>
      <c r="J174" s="21"/>
      <c r="K174" s="21"/>
      <c r="L174" s="21"/>
      <c r="M174" s="22" t="b">
        <f t="shared" si="2"/>
        <v>0</v>
      </c>
      <c r="N174" s="21" t="s">
        <v>3242</v>
      </c>
      <c r="O174" s="2" t="str">
        <f t="shared" si="3"/>
        <v>Fora do recorte anual + Excluir</v>
      </c>
      <c r="P174" s="2" t="str">
        <f t="array" ref="P174">IF(O174&lt;&gt;"Incluir","",IF(K174&lt;&gt;"",K174,IF(IFERROR(INDEX(Triagem!$J$2:$J$451,MATCH($A174,Triagem!$A$2:$A$451,0))&amp;"","")&lt;&gt;"",IFERROR(INDEX(Triagem!$J$2:$J$451,MATCH($A174,Triagem!$A$2:$A$451,0))&amp;"",""),IF(IFERROR(INDEX('Revisão_Gemini'!$I$7:$I$456,MATCH($A174,'Revisão_Gemini'!$A$7:$A$456,0))&amp;"","")&lt;&gt;"",IFERROR(INDEX('Revisão_Gemini'!$I$7:$I$456,MATCH($A174,'Revisão_Gemini'!$A$7:$A$456,0))&amp;"",""),IFERROR(INDEX('Revisão_ChatGPT'!$I$7:$I$456,MATCH($A174,'Revisão_ChatGPT'!$A$7:$A$456,0))&amp;"","")))))</f>
        <v/>
      </c>
      <c r="Q174" s="2" t="str">
        <f t="array" ref="Q174">IF(O174&lt;&gt;"Excluir","",IF(L174&lt;&gt;"",L174,IF(F174="Excluir",IFERROR(INDEX(Triagem!$K$2:$K$451,MATCH($A174,Triagem!$A$2:$A$451,0))&amp;"",""),IF(G174="Excluir",IFERROR(INDEX('Revisão_Gemini'!$J$7:$J$456,MATCH($A174,'Revisão_Gemini'!$A$7:$A$456,0))&amp;"",""),IFERROR(INDEX('Revisão_ChatGPT'!$J$7:$J$456,MATCH($A174,'Revisão_ChatGPT'!$A$7:$A$456,0))&amp;"","")))))</f>
        <v/>
      </c>
    </row>
    <row r="175" ht="15.75" customHeight="1">
      <c r="A175" s="2" t="s">
        <v>1344</v>
      </c>
      <c r="B175" s="19" t="str">
        <f t="array" ref="B175">INDEX(Triagem!$N$2:$N451 , MATCH(A175,Triagem!$A$2:$A451,0))</f>
        <v>abrir</v>
      </c>
      <c r="C175" s="20">
        <f t="array" ref="C175">INDEX(Triagem!$B$2:$B451 , MATCH(A175,Triagem!$A$2:$A451,0))</f>
        <v>2016</v>
      </c>
      <c r="D175" s="2" t="s">
        <v>1346</v>
      </c>
      <c r="E175" s="2" t="s">
        <v>1347</v>
      </c>
      <c r="F175" s="2" t="str">
        <f t="array" ref="F175">IFERROR(INDEX(Triagem!$I$2:$I$451,MATCH($A175,Triagem!$A$2:$A$451,0))&amp;"","")</f>
        <v>Excluir</v>
      </c>
      <c r="G175" s="2" t="str">
        <f t="array" ref="G175">IFERROR(INDEX('Revisão_Gemini'!$H$7:$H$456,MATCH($A175,'Revisão_Gemini'!$A$7:$A$456,0))&amp;"","")</f>
        <v>Excluir</v>
      </c>
      <c r="H175" s="2" t="str">
        <f t="array" ref="H175">IFERROR(INDEX('Revisão_ChatGPT'!$H$7:$H$456,MATCH($A175,'Revisão_ChatGPT'!$A$7:$A$456,0))&amp;"","")</f>
        <v>Excluir</v>
      </c>
      <c r="I175" s="2" t="str">
        <f t="shared" si="1"/>
        <v>3/3</v>
      </c>
      <c r="J175" s="21"/>
      <c r="K175" s="21"/>
      <c r="L175" s="21"/>
      <c r="M175" s="22" t="b">
        <f t="shared" si="2"/>
        <v>0</v>
      </c>
      <c r="N175" s="21" t="s">
        <v>3243</v>
      </c>
      <c r="O175" s="2" t="str">
        <f t="shared" si="3"/>
        <v>Fora do recorte anual + Excluir</v>
      </c>
      <c r="P175" s="2" t="str">
        <f t="array" ref="P175">IF(O175&lt;&gt;"Incluir","",IF(K175&lt;&gt;"",K175,IF(IFERROR(INDEX(Triagem!$J$2:$J$451,MATCH($A175,Triagem!$A$2:$A$451,0))&amp;"","")&lt;&gt;"",IFERROR(INDEX(Triagem!$J$2:$J$451,MATCH($A175,Triagem!$A$2:$A$451,0))&amp;"",""),IF(IFERROR(INDEX('Revisão_Gemini'!$I$7:$I$456,MATCH($A175,'Revisão_Gemini'!$A$7:$A$456,0))&amp;"","")&lt;&gt;"",IFERROR(INDEX('Revisão_Gemini'!$I$7:$I$456,MATCH($A175,'Revisão_Gemini'!$A$7:$A$456,0))&amp;"",""),IFERROR(INDEX('Revisão_ChatGPT'!$I$7:$I$456,MATCH($A175,'Revisão_ChatGPT'!$A$7:$A$456,0))&amp;"","")))))</f>
        <v/>
      </c>
      <c r="Q175" s="2" t="str">
        <f t="array" ref="Q175">IF(O175&lt;&gt;"Excluir","",IF(L175&lt;&gt;"",L175,IF(F175="Excluir",IFERROR(INDEX(Triagem!$K$2:$K$451,MATCH($A175,Triagem!$A$2:$A$451,0))&amp;"",""),IF(G175="Excluir",IFERROR(INDEX('Revisão_Gemini'!$J$7:$J$456,MATCH($A175,'Revisão_Gemini'!$A$7:$A$456,0))&amp;"",""),IFERROR(INDEX('Revisão_ChatGPT'!$J$7:$J$456,MATCH($A175,'Revisão_ChatGPT'!$A$7:$A$456,0))&amp;"","")))))</f>
        <v/>
      </c>
    </row>
    <row r="176" ht="15.75" customHeight="1">
      <c r="A176" s="2" t="s">
        <v>1348</v>
      </c>
      <c r="B176" s="19" t="str">
        <f t="array" ref="B176">INDEX(Triagem!$N$2:$N451 , MATCH(A176,Triagem!$A$2:$A451,0))</f>
        <v>abrir</v>
      </c>
      <c r="C176" s="20">
        <f t="array" ref="C176">INDEX(Triagem!$B$2:$B451 , MATCH(A176,Triagem!$A$2:$A451,0))</f>
        <v>2016</v>
      </c>
      <c r="D176" s="2" t="s">
        <v>1350</v>
      </c>
      <c r="E176" s="2" t="s">
        <v>1351</v>
      </c>
      <c r="F176" s="2" t="str">
        <f t="array" ref="F176">IFERROR(INDEX(Triagem!$I$2:$I$451,MATCH($A176,Triagem!$A$2:$A$451,0))&amp;"","")</f>
        <v>Excluir</v>
      </c>
      <c r="G176" s="2" t="str">
        <f t="array" ref="G176">IFERROR(INDEX('Revisão_Gemini'!$H$7:$H$456,MATCH($A176,'Revisão_Gemini'!$A$7:$A$456,0))&amp;"","")</f>
        <v>Excluir</v>
      </c>
      <c r="H176" s="2" t="str">
        <f t="array" ref="H176">IFERROR(INDEX('Revisão_ChatGPT'!$H$7:$H$456,MATCH($A176,'Revisão_ChatGPT'!$A$7:$A$456,0))&amp;"","")</f>
        <v>Excluir</v>
      </c>
      <c r="I176" s="2" t="str">
        <f t="shared" si="1"/>
        <v>3/3</v>
      </c>
      <c r="J176" s="21"/>
      <c r="K176" s="21"/>
      <c r="L176" s="21"/>
      <c r="M176" s="22" t="b">
        <f t="shared" si="2"/>
        <v>0</v>
      </c>
      <c r="N176" s="21"/>
      <c r="O176" s="2" t="str">
        <f t="shared" si="3"/>
        <v>Fora do recorte anual + Excluir</v>
      </c>
      <c r="P176" s="2" t="str">
        <f t="array" ref="P176">IF(O176&lt;&gt;"Incluir","",IF(K176&lt;&gt;"",K176,IF(IFERROR(INDEX(Triagem!$J$2:$J$451,MATCH($A176,Triagem!$A$2:$A$451,0))&amp;"","")&lt;&gt;"",IFERROR(INDEX(Triagem!$J$2:$J$451,MATCH($A176,Triagem!$A$2:$A$451,0))&amp;"",""),IF(IFERROR(INDEX('Revisão_Gemini'!$I$7:$I$456,MATCH($A176,'Revisão_Gemini'!$A$7:$A$456,0))&amp;"","")&lt;&gt;"",IFERROR(INDEX('Revisão_Gemini'!$I$7:$I$456,MATCH($A176,'Revisão_Gemini'!$A$7:$A$456,0))&amp;"",""),IFERROR(INDEX('Revisão_ChatGPT'!$I$7:$I$456,MATCH($A176,'Revisão_ChatGPT'!$A$7:$A$456,0))&amp;"","")))))</f>
        <v/>
      </c>
      <c r="Q176" s="2" t="str">
        <f t="array" ref="Q176">IF(O176&lt;&gt;"Excluir","",IF(L176&lt;&gt;"",L176,IF(F176="Excluir",IFERROR(INDEX(Triagem!$K$2:$K$451,MATCH($A176,Triagem!$A$2:$A$451,0))&amp;"",""),IF(G176="Excluir",IFERROR(INDEX('Revisão_Gemini'!$J$7:$J$456,MATCH($A176,'Revisão_Gemini'!$A$7:$A$456,0))&amp;"",""),IFERROR(INDEX('Revisão_ChatGPT'!$J$7:$J$456,MATCH($A176,'Revisão_ChatGPT'!$A$7:$A$456,0))&amp;"","")))))</f>
        <v/>
      </c>
    </row>
    <row r="177" ht="15.75" customHeight="1">
      <c r="A177" s="2" t="s">
        <v>1936</v>
      </c>
      <c r="B177" s="19" t="str">
        <f t="array" ref="B177">INDEX(Triagem!$N$2:$N451 , MATCH(A177,Triagem!$A$2:$A451,0))</f>
        <v>abrir</v>
      </c>
      <c r="C177" s="20">
        <f t="array" ref="C177">INDEX(Triagem!$B$2:$B451 , MATCH(A177,Triagem!$A$2:$A451,0))</f>
        <v>2016</v>
      </c>
      <c r="D177" s="2" t="s">
        <v>1938</v>
      </c>
      <c r="E177" s="2" t="s">
        <v>1939</v>
      </c>
      <c r="F177" s="2" t="str">
        <f t="array" ref="F177">IFERROR(INDEX(Triagem!$I$2:$I$451,MATCH($A177,Triagem!$A$2:$A$451,0))&amp;"","")</f>
        <v>Excluir</v>
      </c>
      <c r="G177" s="2" t="str">
        <f t="array" ref="G177">IFERROR(INDEX('Revisão_Gemini'!$H$7:$H$456,MATCH($A177,'Revisão_Gemini'!$A$7:$A$456,0))&amp;"","")</f>
        <v>Apoio</v>
      </c>
      <c r="H177" s="2" t="str">
        <f t="array" ref="H177">IFERROR(INDEX('Revisão_ChatGPT'!$H$7:$H$456,MATCH($A177,'Revisão_ChatGPT'!$A$7:$A$456,0))&amp;"","")</f>
        <v>Apoio</v>
      </c>
      <c r="I177" s="2" t="str">
        <f t="shared" si="1"/>
        <v>2/3</v>
      </c>
      <c r="J177" s="21" t="s">
        <v>906</v>
      </c>
      <c r="K177" s="21"/>
      <c r="L177" s="21"/>
      <c r="M177" s="22" t="b">
        <f t="shared" si="2"/>
        <v>0</v>
      </c>
      <c r="N177" s="21"/>
      <c r="O177" s="2" t="str">
        <f t="shared" si="3"/>
        <v>Fora do recorte anual + Excluir</v>
      </c>
      <c r="P177" s="2" t="str">
        <f t="array" ref="P177">IF(O177&lt;&gt;"Incluir","",IF(K177&lt;&gt;"",K177,IF(IFERROR(INDEX(Triagem!$J$2:$J$451,MATCH($A177,Triagem!$A$2:$A$451,0))&amp;"","")&lt;&gt;"",IFERROR(INDEX(Triagem!$J$2:$J$451,MATCH($A177,Triagem!$A$2:$A$451,0))&amp;"",""),IF(IFERROR(INDEX('Revisão_Gemini'!$I$7:$I$456,MATCH($A177,'Revisão_Gemini'!$A$7:$A$456,0))&amp;"","")&lt;&gt;"",IFERROR(INDEX('Revisão_Gemini'!$I$7:$I$456,MATCH($A177,'Revisão_Gemini'!$A$7:$A$456,0))&amp;"",""),IFERROR(INDEX('Revisão_ChatGPT'!$I$7:$I$456,MATCH($A177,'Revisão_ChatGPT'!$A$7:$A$456,0))&amp;"","")))))</f>
        <v/>
      </c>
      <c r="Q177" s="2" t="str">
        <f t="array" ref="Q177">IF(O177&lt;&gt;"Excluir","",IF(L177&lt;&gt;"",L177,IF(F177="Excluir",IFERROR(INDEX(Triagem!$K$2:$K$451,MATCH($A177,Triagem!$A$2:$A$451,0))&amp;"",""),IF(G177="Excluir",IFERROR(INDEX('Revisão_Gemini'!$J$7:$J$456,MATCH($A177,'Revisão_Gemini'!$A$7:$A$456,0))&amp;"",""),IFERROR(INDEX('Revisão_ChatGPT'!$J$7:$J$456,MATCH($A177,'Revisão_ChatGPT'!$A$7:$A$456,0))&amp;"","")))))</f>
        <v/>
      </c>
    </row>
    <row r="178" ht="15.75" customHeight="1">
      <c r="A178" s="2" t="s">
        <v>2154</v>
      </c>
      <c r="B178" s="19" t="str">
        <f t="array" ref="B178">INDEX(Triagem!$N$2:$N451 , MATCH(A178,Triagem!$A$2:$A451,0))</f>
        <v>abrir</v>
      </c>
      <c r="C178" s="20">
        <f t="array" ref="C178">INDEX(Triagem!$B$2:$B451 , MATCH(A178,Triagem!$A$2:$A451,0))</f>
        <v>2016</v>
      </c>
      <c r="D178" s="2" t="s">
        <v>2156</v>
      </c>
      <c r="E178" s="2" t="s">
        <v>2157</v>
      </c>
      <c r="F178" s="2" t="str">
        <f t="array" ref="F178">IFERROR(INDEX(Triagem!$I$2:$I$451,MATCH($A178,Triagem!$A$2:$A$451,0))&amp;"","")</f>
        <v>Excluir</v>
      </c>
      <c r="G178" s="2" t="str">
        <f t="array" ref="G178">IFERROR(INDEX('Revisão_Gemini'!$H$7:$H$456,MATCH($A178,'Revisão_Gemini'!$A$7:$A$456,0))&amp;"","")</f>
        <v>Excluir</v>
      </c>
      <c r="H178" s="2" t="str">
        <f t="array" ref="H178">IFERROR(INDEX('Revisão_ChatGPT'!$H$7:$H$456,MATCH($A178,'Revisão_ChatGPT'!$A$7:$A$456,0))&amp;"","")</f>
        <v>Excluir</v>
      </c>
      <c r="I178" s="2" t="str">
        <f t="shared" si="1"/>
        <v>3/3</v>
      </c>
      <c r="J178" s="21"/>
      <c r="K178" s="21"/>
      <c r="L178" s="21"/>
      <c r="M178" s="22" t="b">
        <f t="shared" si="2"/>
        <v>0</v>
      </c>
      <c r="N178" s="21" t="s">
        <v>3244</v>
      </c>
      <c r="O178" s="2" t="str">
        <f t="shared" si="3"/>
        <v>Fora do recorte anual + Excluir</v>
      </c>
      <c r="P178" s="2" t="str">
        <f t="array" ref="P178">IF(O178&lt;&gt;"Incluir","",IF(K178&lt;&gt;"",K178,IF(IFERROR(INDEX(Triagem!$J$2:$J$451,MATCH($A178,Triagem!$A$2:$A$451,0))&amp;"","")&lt;&gt;"",IFERROR(INDEX(Triagem!$J$2:$J$451,MATCH($A178,Triagem!$A$2:$A$451,0))&amp;"",""),IF(IFERROR(INDEX('Revisão_Gemini'!$I$7:$I$456,MATCH($A178,'Revisão_Gemini'!$A$7:$A$456,0))&amp;"","")&lt;&gt;"",IFERROR(INDEX('Revisão_Gemini'!$I$7:$I$456,MATCH($A178,'Revisão_Gemini'!$A$7:$A$456,0))&amp;"",""),IFERROR(INDEX('Revisão_ChatGPT'!$I$7:$I$456,MATCH($A178,'Revisão_ChatGPT'!$A$7:$A$456,0))&amp;"","")))))</f>
        <v/>
      </c>
      <c r="Q178" s="2" t="str">
        <f t="array" ref="Q178">IF(O178&lt;&gt;"Excluir","",IF(L178&lt;&gt;"",L178,IF(F178="Excluir",IFERROR(INDEX(Triagem!$K$2:$K$451,MATCH($A178,Triagem!$A$2:$A$451,0))&amp;"",""),IF(G178="Excluir",IFERROR(INDEX('Revisão_Gemini'!$J$7:$J$456,MATCH($A178,'Revisão_Gemini'!$A$7:$A$456,0))&amp;"",""),IFERROR(INDEX('Revisão_ChatGPT'!$J$7:$J$456,MATCH($A178,'Revisão_ChatGPT'!$A$7:$A$456,0))&amp;"","")))))</f>
        <v/>
      </c>
    </row>
    <row r="179" ht="15.75" customHeight="1">
      <c r="A179" s="2" t="s">
        <v>495</v>
      </c>
      <c r="B179" s="19" t="str">
        <f t="array" ref="B179">INDEX(Triagem!$N$2:$N451 , MATCH(A179,Triagem!$A$2:$A451,0))</f>
        <v>abrir</v>
      </c>
      <c r="C179" s="20">
        <f t="array" ref="C179">INDEX(Triagem!$B$2:$B451 , MATCH(A179,Triagem!$A$2:$A451,0))</f>
        <v>2016</v>
      </c>
      <c r="D179" s="2" t="s">
        <v>497</v>
      </c>
      <c r="E179" s="2" t="s">
        <v>498</v>
      </c>
      <c r="F179" s="2" t="str">
        <f t="array" ref="F179">IFERROR(INDEX(Triagem!$I$2:$I$451,MATCH($A179,Triagem!$A$2:$A$451,0))&amp;"","")</f>
        <v>Incluir</v>
      </c>
      <c r="G179" s="2" t="str">
        <f t="array" ref="G179">IFERROR(INDEX('Revisão_Gemini'!$H$7:$H$456,MATCH($A179,'Revisão_Gemini'!$A$7:$A$456,0))&amp;"","")</f>
        <v>Incluir</v>
      </c>
      <c r="H179" s="2" t="str">
        <f t="array" ref="H179">IFERROR(INDEX('Revisão_ChatGPT'!$H$7:$H$456,MATCH($A179,'Revisão_ChatGPT'!$A$7:$A$456,0))&amp;"","")</f>
        <v>Excluir</v>
      </c>
      <c r="I179" s="2" t="str">
        <f t="shared" si="1"/>
        <v>2/3</v>
      </c>
      <c r="J179" s="21" t="s">
        <v>694</v>
      </c>
      <c r="K179" s="21"/>
      <c r="L179" s="21"/>
      <c r="M179" s="22" t="b">
        <f t="shared" si="2"/>
        <v>0</v>
      </c>
      <c r="N179" s="21"/>
      <c r="O179" s="2" t="str">
        <f t="shared" si="3"/>
        <v>Fora do recorte anual + Apoio</v>
      </c>
      <c r="P179" s="2" t="str">
        <f t="array" ref="P179">IF(O179&lt;&gt;"Incluir","",IF(K179&lt;&gt;"",K179,IF(IFERROR(INDEX(Triagem!$J$2:$J$451,MATCH($A179,Triagem!$A$2:$A$451,0))&amp;"","")&lt;&gt;"",IFERROR(INDEX(Triagem!$J$2:$J$451,MATCH($A179,Triagem!$A$2:$A$451,0))&amp;"",""),IF(IFERROR(INDEX('Revisão_Gemini'!$I$7:$I$456,MATCH($A179,'Revisão_Gemini'!$A$7:$A$456,0))&amp;"","")&lt;&gt;"",IFERROR(INDEX('Revisão_Gemini'!$I$7:$I$456,MATCH($A179,'Revisão_Gemini'!$A$7:$A$456,0))&amp;"",""),IFERROR(INDEX('Revisão_ChatGPT'!$I$7:$I$456,MATCH($A179,'Revisão_ChatGPT'!$A$7:$A$456,0))&amp;"","")))))</f>
        <v/>
      </c>
      <c r="Q179" s="2" t="str">
        <f t="array" ref="Q179">IF(O179&lt;&gt;"Excluir","",IF(L179&lt;&gt;"",L179,IF(F179="Excluir",IFERROR(INDEX(Triagem!$K$2:$K$451,MATCH($A179,Triagem!$A$2:$A$451,0))&amp;"",""),IF(G179="Excluir",IFERROR(INDEX('Revisão_Gemini'!$J$7:$J$456,MATCH($A179,'Revisão_Gemini'!$A$7:$A$456,0))&amp;"",""),IFERROR(INDEX('Revisão_ChatGPT'!$J$7:$J$456,MATCH($A179,'Revisão_ChatGPT'!$A$7:$A$456,0))&amp;"","")))))</f>
        <v/>
      </c>
    </row>
    <row r="180" ht="15.75" customHeight="1">
      <c r="A180" s="2" t="s">
        <v>808</v>
      </c>
      <c r="B180" s="19" t="str">
        <f t="array" ref="B180">INDEX(Triagem!$N$2:$N451 , MATCH(A180,Triagem!$A$2:$A451,0))</f>
        <v>abrir</v>
      </c>
      <c r="C180" s="20">
        <f t="array" ref="C180">INDEX(Triagem!$B$2:$B451 , MATCH(A180,Triagem!$A$2:$A451,0))</f>
        <v>2016</v>
      </c>
      <c r="D180" s="2" t="s">
        <v>809</v>
      </c>
      <c r="E180" s="2" t="s">
        <v>810</v>
      </c>
      <c r="F180" s="2" t="str">
        <f t="array" ref="F180">IFERROR(INDEX(Triagem!$I$2:$I$451,MATCH($A180,Triagem!$A$2:$A$451,0))&amp;"","")</f>
        <v>Apoio</v>
      </c>
      <c r="G180" s="2" t="str">
        <f t="array" ref="G180">IFERROR(INDEX('Revisão_Gemini'!$H$7:$H$456,MATCH($A180,'Revisão_Gemini'!$A$7:$A$456,0))&amp;"","")</f>
        <v>Apoio</v>
      </c>
      <c r="H180" s="2" t="str">
        <f t="array" ref="H180">IFERROR(INDEX('Revisão_ChatGPT'!$H$7:$H$456,MATCH($A180,'Revisão_ChatGPT'!$A$7:$A$456,0))&amp;"","")</f>
        <v>Apoio</v>
      </c>
      <c r="I180" s="2" t="str">
        <f t="shared" si="1"/>
        <v>3/3</v>
      </c>
      <c r="J180" s="21"/>
      <c r="K180" s="21"/>
      <c r="L180" s="21"/>
      <c r="M180" s="22" t="b">
        <f t="shared" si="2"/>
        <v>0</v>
      </c>
      <c r="N180" s="21"/>
      <c r="O180" s="2" t="str">
        <f t="shared" si="3"/>
        <v>Fora do recorte anual + Apoio</v>
      </c>
      <c r="P180" s="2" t="str">
        <f t="array" ref="P180">IF(O180&lt;&gt;"Incluir","",IF(K180&lt;&gt;"",K180,IF(IFERROR(INDEX(Triagem!$J$2:$J$451,MATCH($A180,Triagem!$A$2:$A$451,0))&amp;"","")&lt;&gt;"",IFERROR(INDEX(Triagem!$J$2:$J$451,MATCH($A180,Triagem!$A$2:$A$451,0))&amp;"",""),IF(IFERROR(INDEX('Revisão_Gemini'!$I$7:$I$456,MATCH($A180,'Revisão_Gemini'!$A$7:$A$456,0))&amp;"","")&lt;&gt;"",IFERROR(INDEX('Revisão_Gemini'!$I$7:$I$456,MATCH($A180,'Revisão_Gemini'!$A$7:$A$456,0))&amp;"",""),IFERROR(INDEX('Revisão_ChatGPT'!$I$7:$I$456,MATCH($A180,'Revisão_ChatGPT'!$A$7:$A$456,0))&amp;"","")))))</f>
        <v/>
      </c>
      <c r="Q180" s="2" t="str">
        <f t="array" ref="Q180">IF(O180&lt;&gt;"Excluir","",IF(L180&lt;&gt;"",L180,IF(F180="Excluir",IFERROR(INDEX(Triagem!$K$2:$K$451,MATCH($A180,Triagem!$A$2:$A$451,0))&amp;"",""),IF(G180="Excluir",IFERROR(INDEX('Revisão_Gemini'!$J$7:$J$456,MATCH($A180,'Revisão_Gemini'!$A$7:$A$456,0))&amp;"",""),IFERROR(INDEX('Revisão_ChatGPT'!$J$7:$J$456,MATCH($A180,'Revisão_ChatGPT'!$A$7:$A$456,0))&amp;"","")))))</f>
        <v/>
      </c>
    </row>
    <row r="181" ht="15.75" customHeight="1">
      <c r="A181" s="2" t="s">
        <v>813</v>
      </c>
      <c r="B181" s="19" t="str">
        <f t="array" ref="B181">INDEX(Triagem!$N$2:$N451 , MATCH(A181,Triagem!$A$2:$A451,0))</f>
        <v>abrir</v>
      </c>
      <c r="C181" s="20">
        <f t="array" ref="C181">INDEX(Triagem!$B$2:$B451 , MATCH(A181,Triagem!$A$2:$A451,0))</f>
        <v>2016</v>
      </c>
      <c r="D181" s="2" t="s">
        <v>815</v>
      </c>
      <c r="E181" s="2" t="s">
        <v>816</v>
      </c>
      <c r="F181" s="2" t="str">
        <f t="array" ref="F181">IFERROR(INDEX(Triagem!$I$2:$I$451,MATCH($A181,Triagem!$A$2:$A$451,0))&amp;"","")</f>
        <v>Apoio</v>
      </c>
      <c r="G181" s="2" t="str">
        <f t="array" ref="G181">IFERROR(INDEX('Revisão_Gemini'!$H$7:$H$456,MATCH($A181,'Revisão_Gemini'!$A$7:$A$456,0))&amp;"","")</f>
        <v>Apoio</v>
      </c>
      <c r="H181" s="2" t="str">
        <f t="array" ref="H181">IFERROR(INDEX('Revisão_ChatGPT'!$H$7:$H$456,MATCH($A181,'Revisão_ChatGPT'!$A$7:$A$456,0))&amp;"","")</f>
        <v>Apoio</v>
      </c>
      <c r="I181" s="2" t="str">
        <f t="shared" si="1"/>
        <v>3/3</v>
      </c>
      <c r="J181" s="21"/>
      <c r="K181" s="21"/>
      <c r="L181" s="21"/>
      <c r="M181" s="22" t="b">
        <f t="shared" si="2"/>
        <v>0</v>
      </c>
      <c r="N181" s="21" t="s">
        <v>3245</v>
      </c>
      <c r="O181" s="2" t="str">
        <f t="shared" si="3"/>
        <v>Fora do recorte anual + Apoio</v>
      </c>
      <c r="P181" s="2" t="str">
        <f t="array" ref="P181">IF(O181&lt;&gt;"Incluir","",IF(K181&lt;&gt;"",K181,IF(IFERROR(INDEX(Triagem!$J$2:$J$451,MATCH($A181,Triagem!$A$2:$A$451,0))&amp;"","")&lt;&gt;"",IFERROR(INDEX(Triagem!$J$2:$J$451,MATCH($A181,Triagem!$A$2:$A$451,0))&amp;"",""),IF(IFERROR(INDEX('Revisão_Gemini'!$I$7:$I$456,MATCH($A181,'Revisão_Gemini'!$A$7:$A$456,0))&amp;"","")&lt;&gt;"",IFERROR(INDEX('Revisão_Gemini'!$I$7:$I$456,MATCH($A181,'Revisão_Gemini'!$A$7:$A$456,0))&amp;"",""),IFERROR(INDEX('Revisão_ChatGPT'!$I$7:$I$456,MATCH($A181,'Revisão_ChatGPT'!$A$7:$A$456,0))&amp;"","")))))</f>
        <v/>
      </c>
      <c r="Q181" s="2" t="str">
        <f t="array" ref="Q181">IF(O181&lt;&gt;"Excluir","",IF(L181&lt;&gt;"",L181,IF(F181="Excluir",IFERROR(INDEX(Triagem!$K$2:$K$451,MATCH($A181,Triagem!$A$2:$A$451,0))&amp;"",""),IF(G181="Excluir",IFERROR(INDEX('Revisão_Gemini'!$J$7:$J$456,MATCH($A181,'Revisão_Gemini'!$A$7:$A$456,0))&amp;"",""),IFERROR(INDEX('Revisão_ChatGPT'!$J$7:$J$456,MATCH($A181,'Revisão_ChatGPT'!$A$7:$A$456,0))&amp;"","")))))</f>
        <v/>
      </c>
    </row>
    <row r="182" ht="15.75" customHeight="1">
      <c r="A182" s="2" t="s">
        <v>820</v>
      </c>
      <c r="B182" s="19" t="str">
        <f t="array" ref="B182">INDEX(Triagem!$N$2:$N451 , MATCH(A182,Triagem!$A$2:$A451,0))</f>
        <v>abrir</v>
      </c>
      <c r="C182" s="20">
        <f t="array" ref="C182">INDEX(Triagem!$B$2:$B451 , MATCH(A182,Triagem!$A$2:$A451,0))</f>
        <v>2016</v>
      </c>
      <c r="D182" s="2" t="s">
        <v>822</v>
      </c>
      <c r="E182" s="2" t="s">
        <v>823</v>
      </c>
      <c r="F182" s="2" t="str">
        <f t="array" ref="F182">IFERROR(INDEX(Triagem!$I$2:$I$451,MATCH($A182,Triagem!$A$2:$A$451,0))&amp;"","")</f>
        <v>Apoio</v>
      </c>
      <c r="G182" s="2" t="str">
        <f t="array" ref="G182">IFERROR(INDEX('Revisão_Gemini'!$H$7:$H$456,MATCH($A182,'Revisão_Gemini'!$A$7:$A$456,0))&amp;"","")</f>
        <v>Apoio</v>
      </c>
      <c r="H182" s="2" t="str">
        <f t="array" ref="H182">IFERROR(INDEX('Revisão_ChatGPT'!$H$7:$H$456,MATCH($A182,'Revisão_ChatGPT'!$A$7:$A$456,0))&amp;"","")</f>
        <v>Apoio</v>
      </c>
      <c r="I182" s="2" t="str">
        <f t="shared" si="1"/>
        <v>3/3</v>
      </c>
      <c r="J182" s="21"/>
      <c r="K182" s="21"/>
      <c r="L182" s="21"/>
      <c r="M182" s="22" t="b">
        <f t="shared" si="2"/>
        <v>0</v>
      </c>
      <c r="N182" s="21"/>
      <c r="O182" s="2" t="str">
        <f t="shared" si="3"/>
        <v>Fora do recorte anual + Apoio</v>
      </c>
      <c r="P182" s="2" t="str">
        <f t="array" ref="P182">IF(O182&lt;&gt;"Incluir","",IF(K182&lt;&gt;"",K182,IF(IFERROR(INDEX(Triagem!$J$2:$J$451,MATCH($A182,Triagem!$A$2:$A$451,0))&amp;"","")&lt;&gt;"",IFERROR(INDEX(Triagem!$J$2:$J$451,MATCH($A182,Triagem!$A$2:$A$451,0))&amp;"",""),IF(IFERROR(INDEX('Revisão_Gemini'!$I$7:$I$456,MATCH($A182,'Revisão_Gemini'!$A$7:$A$456,0))&amp;"","")&lt;&gt;"",IFERROR(INDEX('Revisão_Gemini'!$I$7:$I$456,MATCH($A182,'Revisão_Gemini'!$A$7:$A$456,0))&amp;"",""),IFERROR(INDEX('Revisão_ChatGPT'!$I$7:$I$456,MATCH($A182,'Revisão_ChatGPT'!$A$7:$A$456,0))&amp;"","")))))</f>
        <v/>
      </c>
      <c r="Q182" s="2" t="str">
        <f t="array" ref="Q182">IF(O182&lt;&gt;"Excluir","",IF(L182&lt;&gt;"",L182,IF(F182="Excluir",IFERROR(INDEX(Triagem!$K$2:$K$451,MATCH($A182,Triagem!$A$2:$A$451,0))&amp;"",""),IF(G182="Excluir",IFERROR(INDEX('Revisão_Gemini'!$J$7:$J$456,MATCH($A182,'Revisão_Gemini'!$A$7:$A$456,0))&amp;"",""),IFERROR(INDEX('Revisão_ChatGPT'!$J$7:$J$456,MATCH($A182,'Revisão_ChatGPT'!$A$7:$A$456,0))&amp;"","")))))</f>
        <v/>
      </c>
    </row>
    <row r="183" ht="15.75" customHeight="1">
      <c r="A183" s="2" t="s">
        <v>825</v>
      </c>
      <c r="B183" s="19" t="str">
        <f t="array" ref="B183">INDEX(Triagem!$N$2:$N451 , MATCH(A183,Triagem!$A$2:$A451,0))</f>
        <v>abrir</v>
      </c>
      <c r="C183" s="20">
        <f t="array" ref="C183">INDEX(Triagem!$B$2:$B451 , MATCH(A183,Triagem!$A$2:$A451,0))</f>
        <v>2016</v>
      </c>
      <c r="D183" s="2" t="s">
        <v>827</v>
      </c>
      <c r="E183" s="2" t="s">
        <v>828</v>
      </c>
      <c r="F183" s="2" t="str">
        <f t="array" ref="F183">IFERROR(INDEX(Triagem!$I$2:$I$451,MATCH($A183,Triagem!$A$2:$A$451,0))&amp;"","")</f>
        <v>Apoio</v>
      </c>
      <c r="G183" s="2" t="str">
        <f t="array" ref="G183">IFERROR(INDEX('Revisão_Gemini'!$H$7:$H$456,MATCH($A183,'Revisão_Gemini'!$A$7:$A$456,0))&amp;"","")</f>
        <v>Apoio</v>
      </c>
      <c r="H183" s="2" t="str">
        <f t="array" ref="H183">IFERROR(INDEX('Revisão_ChatGPT'!$H$7:$H$456,MATCH($A183,'Revisão_ChatGPT'!$A$7:$A$456,0))&amp;"","")</f>
        <v>Apoio</v>
      </c>
      <c r="I183" s="2" t="str">
        <f t="shared" si="1"/>
        <v>3/3</v>
      </c>
      <c r="J183" s="21"/>
      <c r="K183" s="21"/>
      <c r="L183" s="21"/>
      <c r="M183" s="22" t="b">
        <f t="shared" si="2"/>
        <v>0</v>
      </c>
      <c r="N183" s="21"/>
      <c r="O183" s="2" t="str">
        <f t="shared" si="3"/>
        <v>Fora do recorte anual + Apoio</v>
      </c>
      <c r="P183" s="2" t="str">
        <f t="array" ref="P183">IF(O183&lt;&gt;"Incluir","",IF(K183&lt;&gt;"",K183,IF(IFERROR(INDEX(Triagem!$J$2:$J$451,MATCH($A183,Triagem!$A$2:$A$451,0))&amp;"","")&lt;&gt;"",IFERROR(INDEX(Triagem!$J$2:$J$451,MATCH($A183,Triagem!$A$2:$A$451,0))&amp;"",""),IF(IFERROR(INDEX('Revisão_Gemini'!$I$7:$I$456,MATCH($A183,'Revisão_Gemini'!$A$7:$A$456,0))&amp;"","")&lt;&gt;"",IFERROR(INDEX('Revisão_Gemini'!$I$7:$I$456,MATCH($A183,'Revisão_Gemini'!$A$7:$A$456,0))&amp;"",""),IFERROR(INDEX('Revisão_ChatGPT'!$I$7:$I$456,MATCH($A183,'Revisão_ChatGPT'!$A$7:$A$456,0))&amp;"","")))))</f>
        <v/>
      </c>
      <c r="Q183" s="2" t="str">
        <f t="array" ref="Q183">IF(O183&lt;&gt;"Excluir","",IF(L183&lt;&gt;"",L183,IF(F183="Excluir",IFERROR(INDEX(Triagem!$K$2:$K$451,MATCH($A183,Triagem!$A$2:$A$451,0))&amp;"",""),IF(G183="Excluir",IFERROR(INDEX('Revisão_Gemini'!$J$7:$J$456,MATCH($A183,'Revisão_Gemini'!$A$7:$A$456,0))&amp;"",""),IFERROR(INDEX('Revisão_ChatGPT'!$J$7:$J$456,MATCH($A183,'Revisão_ChatGPT'!$A$7:$A$456,0))&amp;"","")))))</f>
        <v/>
      </c>
    </row>
    <row r="184" ht="15.75" customHeight="1">
      <c r="A184" s="2" t="s">
        <v>500</v>
      </c>
      <c r="B184" s="19" t="str">
        <f t="array" ref="B184">INDEX(Triagem!$N$2:$N451 , MATCH(A184,Triagem!$A$2:$A451,0))</f>
        <v>abrir</v>
      </c>
      <c r="C184" s="20">
        <f t="array" ref="C184">INDEX(Triagem!$B$2:$B451 , MATCH(A184,Triagem!$A$2:$A451,0))</f>
        <v>2016</v>
      </c>
      <c r="D184" s="2" t="s">
        <v>502</v>
      </c>
      <c r="E184" s="2" t="s">
        <v>503</v>
      </c>
      <c r="F184" s="2" t="str">
        <f t="array" ref="F184">IFERROR(INDEX(Triagem!$I$2:$I$451,MATCH($A184,Triagem!$A$2:$A$451,0))&amp;"","")</f>
        <v>Incluir</v>
      </c>
      <c r="G184" s="2" t="str">
        <f t="array" ref="G184">IFERROR(INDEX('Revisão_Gemini'!$H$7:$H$456,MATCH($A184,'Revisão_Gemini'!$A$7:$A$456,0))&amp;"","")</f>
        <v>Incluir</v>
      </c>
      <c r="H184" s="2" t="str">
        <f t="array" ref="H184">IFERROR(INDEX('Revisão_ChatGPT'!$H$7:$H$456,MATCH($A184,'Revisão_ChatGPT'!$A$7:$A$456,0))&amp;"","")</f>
        <v>Excluir</v>
      </c>
      <c r="I184" s="2" t="str">
        <f t="shared" si="1"/>
        <v>2/3</v>
      </c>
      <c r="J184" s="21" t="s">
        <v>694</v>
      </c>
      <c r="K184" s="21"/>
      <c r="L184" s="21"/>
      <c r="M184" s="22" t="b">
        <f t="shared" si="2"/>
        <v>0</v>
      </c>
      <c r="N184" s="21" t="s">
        <v>3246</v>
      </c>
      <c r="O184" s="2" t="str">
        <f t="shared" si="3"/>
        <v>Fora do recorte anual + Apoio</v>
      </c>
      <c r="P184" s="2" t="str">
        <f t="array" ref="P184">IF(O184&lt;&gt;"Incluir","",IF(K184&lt;&gt;"",K184,IF(IFERROR(INDEX(Triagem!$J$2:$J$451,MATCH($A184,Triagem!$A$2:$A$451,0))&amp;"","")&lt;&gt;"",IFERROR(INDEX(Triagem!$J$2:$J$451,MATCH($A184,Triagem!$A$2:$A$451,0))&amp;"",""),IF(IFERROR(INDEX('Revisão_Gemini'!$I$7:$I$456,MATCH($A184,'Revisão_Gemini'!$A$7:$A$456,0))&amp;"","")&lt;&gt;"",IFERROR(INDEX('Revisão_Gemini'!$I$7:$I$456,MATCH($A184,'Revisão_Gemini'!$A$7:$A$456,0))&amp;"",""),IFERROR(INDEX('Revisão_ChatGPT'!$I$7:$I$456,MATCH($A184,'Revisão_ChatGPT'!$A$7:$A$456,0))&amp;"","")))))</f>
        <v/>
      </c>
      <c r="Q184" s="2" t="str">
        <f t="array" ref="Q184">IF(O184&lt;&gt;"Excluir","",IF(L184&lt;&gt;"",L184,IF(F184="Excluir",IFERROR(INDEX(Triagem!$K$2:$K$451,MATCH($A184,Triagem!$A$2:$A$451,0))&amp;"",""),IF(G184="Excluir",IFERROR(INDEX('Revisão_Gemini'!$J$7:$J$456,MATCH($A184,'Revisão_Gemini'!$A$7:$A$456,0))&amp;"",""),IFERROR(INDEX('Revisão_ChatGPT'!$J$7:$J$456,MATCH($A184,'Revisão_ChatGPT'!$A$7:$A$456,0))&amp;"","")))))</f>
        <v/>
      </c>
    </row>
    <row r="185" ht="15.75" customHeight="1">
      <c r="A185" s="2" t="s">
        <v>504</v>
      </c>
      <c r="B185" s="19" t="str">
        <f t="array" ref="B185">INDEX(Triagem!$N$2:$N451 , MATCH(A185,Triagem!$A$2:$A451,0))</f>
        <v>abrir</v>
      </c>
      <c r="C185" s="20">
        <f t="array" ref="C185">INDEX(Triagem!$B$2:$B451 , MATCH(A185,Triagem!$A$2:$A451,0))</f>
        <v>2016</v>
      </c>
      <c r="D185" s="2" t="s">
        <v>506</v>
      </c>
      <c r="E185" s="2" t="s">
        <v>507</v>
      </c>
      <c r="F185" s="2" t="str">
        <f t="array" ref="F185">IFERROR(INDEX(Triagem!$I$2:$I$451,MATCH($A185,Triagem!$A$2:$A$451,0))&amp;"","")</f>
        <v>Incluir</v>
      </c>
      <c r="G185" s="2" t="str">
        <f t="array" ref="G185">IFERROR(INDEX('Revisão_Gemini'!$H$7:$H$456,MATCH($A185,'Revisão_Gemini'!$A$7:$A$456,0))&amp;"","")</f>
        <v>Incluir</v>
      </c>
      <c r="H185" s="2" t="str">
        <f t="array" ref="H185">IFERROR(INDEX('Revisão_ChatGPT'!$H$7:$H$456,MATCH($A185,'Revisão_ChatGPT'!$A$7:$A$456,0))&amp;"","")</f>
        <v>Incluir</v>
      </c>
      <c r="I185" s="2" t="str">
        <f t="shared" si="1"/>
        <v>3/3</v>
      </c>
      <c r="J185" s="21"/>
      <c r="K185" s="21"/>
      <c r="L185" s="21"/>
      <c r="M185" s="22" t="b">
        <f t="shared" si="2"/>
        <v>0</v>
      </c>
      <c r="N185" s="21" t="s">
        <v>3247</v>
      </c>
      <c r="O185" s="2" t="str">
        <f t="shared" si="3"/>
        <v>Fora do recorte anual + Incluir</v>
      </c>
      <c r="P185" s="2" t="str">
        <f t="array" ref="P185">IF(O185&lt;&gt;"Incluir","",IF(K185&lt;&gt;"",K185,IF(IFERROR(INDEX(Triagem!$J$2:$J$451,MATCH($A185,Triagem!$A$2:$A$451,0))&amp;"","")&lt;&gt;"",IFERROR(INDEX(Triagem!$J$2:$J$451,MATCH($A185,Triagem!$A$2:$A$451,0))&amp;"",""),IF(IFERROR(INDEX('Revisão_Gemini'!$I$7:$I$456,MATCH($A185,'Revisão_Gemini'!$A$7:$A$456,0))&amp;"","")&lt;&gt;"",IFERROR(INDEX('Revisão_Gemini'!$I$7:$I$456,MATCH($A185,'Revisão_Gemini'!$A$7:$A$456,0))&amp;"",""),IFERROR(INDEX('Revisão_ChatGPT'!$I$7:$I$456,MATCH($A185,'Revisão_ChatGPT'!$A$7:$A$456,0))&amp;"","")))))</f>
        <v/>
      </c>
      <c r="Q185" s="2" t="str">
        <f t="array" ref="Q185">IF(O185&lt;&gt;"Excluir","",IF(L185&lt;&gt;"",L185,IF(F185="Excluir",IFERROR(INDEX(Triagem!$K$2:$K$451,MATCH($A185,Triagem!$A$2:$A$451,0))&amp;"",""),IF(G185="Excluir",IFERROR(INDEX('Revisão_Gemini'!$J$7:$J$456,MATCH($A185,'Revisão_Gemini'!$A$7:$A$456,0))&amp;"",""),IFERROR(INDEX('Revisão_ChatGPT'!$J$7:$J$456,MATCH($A185,'Revisão_ChatGPT'!$A$7:$A$456,0))&amp;"","")))))</f>
        <v/>
      </c>
    </row>
    <row r="186" ht="15.75" customHeight="1">
      <c r="A186" s="2" t="s">
        <v>2021</v>
      </c>
      <c r="B186" s="19" t="str">
        <f t="array" ref="B186">INDEX(Triagem!$N$2:$N451 , MATCH(A186,Triagem!$A$2:$A451,0))</f>
        <v>abrir</v>
      </c>
      <c r="C186" s="20">
        <f t="array" ref="C186">INDEX(Triagem!$B$2:$B451 , MATCH(A186,Triagem!$A$2:$A451,0))</f>
        <v>2016</v>
      </c>
      <c r="D186" s="2" t="s">
        <v>2023</v>
      </c>
      <c r="E186" s="2" t="s">
        <v>2024</v>
      </c>
      <c r="F186" s="2" t="str">
        <f t="array" ref="F186">IFERROR(INDEX(Triagem!$I$2:$I$451,MATCH($A186,Triagem!$A$2:$A$451,0))&amp;"","")</f>
        <v>Excluir</v>
      </c>
      <c r="G186" s="2" t="str">
        <f t="array" ref="G186">IFERROR(INDEX('Revisão_Gemini'!$H$7:$H$456,MATCH($A186,'Revisão_Gemini'!$A$7:$A$456,0))&amp;"","")</f>
        <v>Apoio</v>
      </c>
      <c r="H186" s="2" t="str">
        <f t="array" ref="H186">IFERROR(INDEX('Revisão_ChatGPT'!$H$7:$H$456,MATCH($A186,'Revisão_ChatGPT'!$A$7:$A$456,0))&amp;"","")</f>
        <v>Excluir</v>
      </c>
      <c r="I186" s="2" t="str">
        <f t="shared" si="1"/>
        <v>2/3</v>
      </c>
      <c r="J186" s="21" t="s">
        <v>906</v>
      </c>
      <c r="K186" s="21"/>
      <c r="L186" s="21"/>
      <c r="M186" s="22" t="b">
        <f t="shared" si="2"/>
        <v>0</v>
      </c>
      <c r="N186" s="21"/>
      <c r="O186" s="2" t="str">
        <f t="shared" si="3"/>
        <v>Fora do recorte anual + Excluir</v>
      </c>
      <c r="P186" s="2" t="str">
        <f t="array" ref="P186">IF(O186&lt;&gt;"Incluir","",IF(K186&lt;&gt;"",K186,IF(IFERROR(INDEX(Triagem!$J$2:$J$451,MATCH($A186,Triagem!$A$2:$A$451,0))&amp;"","")&lt;&gt;"",IFERROR(INDEX(Triagem!$J$2:$J$451,MATCH($A186,Triagem!$A$2:$A$451,0))&amp;"",""),IF(IFERROR(INDEX('Revisão_Gemini'!$I$7:$I$456,MATCH($A186,'Revisão_Gemini'!$A$7:$A$456,0))&amp;"","")&lt;&gt;"",IFERROR(INDEX('Revisão_Gemini'!$I$7:$I$456,MATCH($A186,'Revisão_Gemini'!$A$7:$A$456,0))&amp;"",""),IFERROR(INDEX('Revisão_ChatGPT'!$I$7:$I$456,MATCH($A186,'Revisão_ChatGPT'!$A$7:$A$456,0))&amp;"","")))))</f>
        <v/>
      </c>
      <c r="Q186" s="2" t="str">
        <f t="array" ref="Q186">IF(O186&lt;&gt;"Excluir","",IF(L186&lt;&gt;"",L186,IF(F186="Excluir",IFERROR(INDEX(Triagem!$K$2:$K$451,MATCH($A186,Triagem!$A$2:$A$451,0))&amp;"",""),IF(G186="Excluir",IFERROR(INDEX('Revisão_Gemini'!$J$7:$J$456,MATCH($A186,'Revisão_Gemini'!$A$7:$A$456,0))&amp;"",""),IFERROR(INDEX('Revisão_ChatGPT'!$J$7:$J$456,MATCH($A186,'Revisão_ChatGPT'!$A$7:$A$456,0))&amp;"","")))))</f>
        <v/>
      </c>
    </row>
    <row r="187" ht="15.75" customHeight="1">
      <c r="A187" s="2" t="s">
        <v>433</v>
      </c>
      <c r="B187" s="19" t="str">
        <f t="array" ref="B187">INDEX(Triagem!$N$2:$N451 , MATCH(A187,Triagem!$A$2:$A451,0))</f>
        <v>abrir</v>
      </c>
      <c r="C187" s="20">
        <f t="array" ref="C187">INDEX(Triagem!$B$2:$B451 , MATCH(A187,Triagem!$A$2:$A451,0))</f>
        <v>2017</v>
      </c>
      <c r="D187" s="2" t="s">
        <v>435</v>
      </c>
      <c r="E187" s="2" t="s">
        <v>436</v>
      </c>
      <c r="F187" s="2" t="str">
        <f t="array" ref="F187">IFERROR(INDEX(Triagem!$I$2:$I$451,MATCH($A187,Triagem!$A$2:$A$451,0))&amp;"","")</f>
        <v>Incluir</v>
      </c>
      <c r="G187" s="2" t="str">
        <f t="array" ref="G187">IFERROR(INDEX('Revisão_Gemini'!$H$7:$H$456,MATCH($A187,'Revisão_Gemini'!$A$7:$A$456,0))&amp;"","")</f>
        <v>Incluir</v>
      </c>
      <c r="H187" s="2" t="str">
        <f t="array" ref="H187">IFERROR(INDEX('Revisão_ChatGPT'!$H$7:$H$456,MATCH($A187,'Revisão_ChatGPT'!$A$7:$A$456,0))&amp;"","")</f>
        <v>Incluir</v>
      </c>
      <c r="I187" s="2" t="str">
        <f t="shared" si="1"/>
        <v>3/3</v>
      </c>
      <c r="J187" s="21"/>
      <c r="K187" s="21"/>
      <c r="L187" s="21"/>
      <c r="M187" s="22" t="b">
        <f t="shared" si="2"/>
        <v>0</v>
      </c>
      <c r="N187" s="21" t="s">
        <v>3248</v>
      </c>
      <c r="O187" s="2" t="str">
        <f t="shared" si="3"/>
        <v>Fora do recorte anual + Incluir</v>
      </c>
      <c r="P187" s="2" t="str">
        <f t="array" ref="P187">IF(O187&lt;&gt;"Incluir","",IF(K187&lt;&gt;"",K187,IF(IFERROR(INDEX(Triagem!$J$2:$J$451,MATCH($A187,Triagem!$A$2:$A$451,0))&amp;"","")&lt;&gt;"",IFERROR(INDEX(Triagem!$J$2:$J$451,MATCH($A187,Triagem!$A$2:$A$451,0))&amp;"",""),IF(IFERROR(INDEX('Revisão_Gemini'!$I$7:$I$456,MATCH($A187,'Revisão_Gemini'!$A$7:$A$456,0))&amp;"","")&lt;&gt;"",IFERROR(INDEX('Revisão_Gemini'!$I$7:$I$456,MATCH($A187,'Revisão_Gemini'!$A$7:$A$456,0))&amp;"",""),IFERROR(INDEX('Revisão_ChatGPT'!$I$7:$I$456,MATCH($A187,'Revisão_ChatGPT'!$A$7:$A$456,0))&amp;"","")))))</f>
        <v/>
      </c>
      <c r="Q187" s="2" t="str">
        <f t="array" ref="Q187">IF(O187&lt;&gt;"Excluir","",IF(L187&lt;&gt;"",L187,IF(F187="Excluir",IFERROR(INDEX(Triagem!$K$2:$K$451,MATCH($A187,Triagem!$A$2:$A$451,0))&amp;"",""),IF(G187="Excluir",IFERROR(INDEX('Revisão_Gemini'!$J$7:$J$456,MATCH($A187,'Revisão_Gemini'!$A$7:$A$456,0))&amp;"",""),IFERROR(INDEX('Revisão_ChatGPT'!$J$7:$J$456,MATCH($A187,'Revisão_ChatGPT'!$A$7:$A$456,0))&amp;"","")))))</f>
        <v/>
      </c>
    </row>
    <row r="188" ht="15.75" customHeight="1">
      <c r="A188" s="2" t="s">
        <v>509</v>
      </c>
      <c r="B188" s="19" t="str">
        <f t="array" ref="B188">INDEX(Triagem!$N$2:$N451 , MATCH(A188,Triagem!$A$2:$A451,0))</f>
        <v>abrir</v>
      </c>
      <c r="C188" s="20">
        <f t="array" ref="C188">INDEX(Triagem!$B$2:$B451 , MATCH(A188,Triagem!$A$2:$A451,0))</f>
        <v>2016</v>
      </c>
      <c r="D188" s="2" t="s">
        <v>511</v>
      </c>
      <c r="E188" s="2" t="s">
        <v>512</v>
      </c>
      <c r="F188" s="2" t="str">
        <f t="array" ref="F188">IFERROR(INDEX(Triagem!$I$2:$I$451,MATCH($A188,Triagem!$A$2:$A$451,0))&amp;"","")</f>
        <v>Incluir</v>
      </c>
      <c r="G188" s="2" t="str">
        <f t="array" ref="G188">IFERROR(INDEX('Revisão_Gemini'!$H$7:$H$456,MATCH($A188,'Revisão_Gemini'!$A$7:$A$456,0))&amp;"","")</f>
        <v>Incluir</v>
      </c>
      <c r="H188" s="2" t="str">
        <f t="array" ref="H188">IFERROR(INDEX('Revisão_ChatGPT'!$H$7:$H$456,MATCH($A188,'Revisão_ChatGPT'!$A$7:$A$456,0))&amp;"","")</f>
        <v>Incluir</v>
      </c>
      <c r="I188" s="2" t="str">
        <f t="shared" si="1"/>
        <v>3/3</v>
      </c>
      <c r="J188" s="21"/>
      <c r="K188" s="21"/>
      <c r="L188" s="21"/>
      <c r="M188" s="22" t="b">
        <f t="shared" si="2"/>
        <v>0</v>
      </c>
      <c r="N188" s="21"/>
      <c r="O188" s="2" t="str">
        <f t="shared" si="3"/>
        <v>Fora do recorte anual + Incluir</v>
      </c>
      <c r="P188" s="2" t="str">
        <f t="array" ref="P188">IF(O188&lt;&gt;"Incluir","",IF(K188&lt;&gt;"",K188,IF(IFERROR(INDEX(Triagem!$J$2:$J$451,MATCH($A188,Triagem!$A$2:$A$451,0))&amp;"","")&lt;&gt;"",IFERROR(INDEX(Triagem!$J$2:$J$451,MATCH($A188,Triagem!$A$2:$A$451,0))&amp;"",""),IF(IFERROR(INDEX('Revisão_Gemini'!$I$7:$I$456,MATCH($A188,'Revisão_Gemini'!$A$7:$A$456,0))&amp;"","")&lt;&gt;"",IFERROR(INDEX('Revisão_Gemini'!$I$7:$I$456,MATCH($A188,'Revisão_Gemini'!$A$7:$A$456,0))&amp;"",""),IFERROR(INDEX('Revisão_ChatGPT'!$I$7:$I$456,MATCH($A188,'Revisão_ChatGPT'!$A$7:$A$456,0))&amp;"","")))))</f>
        <v/>
      </c>
      <c r="Q188" s="2" t="str">
        <f t="array" ref="Q188">IF(O188&lt;&gt;"Excluir","",IF(L188&lt;&gt;"",L188,IF(F188="Excluir",IFERROR(INDEX(Triagem!$K$2:$K$451,MATCH($A188,Triagem!$A$2:$A$451,0))&amp;"",""),IF(G188="Excluir",IFERROR(INDEX('Revisão_Gemini'!$J$7:$J$456,MATCH($A188,'Revisão_Gemini'!$A$7:$A$456,0))&amp;"",""),IFERROR(INDEX('Revisão_ChatGPT'!$J$7:$J$456,MATCH($A188,'Revisão_ChatGPT'!$A$7:$A$456,0))&amp;"","")))))</f>
        <v/>
      </c>
    </row>
    <row r="189" ht="15.75" customHeight="1">
      <c r="A189" s="2" t="s">
        <v>2025</v>
      </c>
      <c r="B189" s="19" t="str">
        <f t="array" ref="B189">INDEX(Triagem!$N$2:$N451 , MATCH(A189,Triagem!$A$2:$A451,0))</f>
        <v>abrir</v>
      </c>
      <c r="C189" s="20">
        <f t="array" ref="C189">INDEX(Triagem!$B$2:$B451 , MATCH(A189,Triagem!$A$2:$A451,0))</f>
        <v>2016</v>
      </c>
      <c r="D189" s="2" t="s">
        <v>2027</v>
      </c>
      <c r="E189" s="2" t="s">
        <v>2028</v>
      </c>
      <c r="F189" s="2" t="str">
        <f t="array" ref="F189">IFERROR(INDEX(Triagem!$I$2:$I$451,MATCH($A189,Triagem!$A$2:$A$451,0))&amp;"","")</f>
        <v>Excluir</v>
      </c>
      <c r="G189" s="2" t="str">
        <f t="array" ref="G189">IFERROR(INDEX('Revisão_Gemini'!$H$7:$H$456,MATCH($A189,'Revisão_Gemini'!$A$7:$A$456,0))&amp;"","")</f>
        <v>Incluir</v>
      </c>
      <c r="H189" s="2" t="str">
        <f t="array" ref="H189">IFERROR(INDEX('Revisão_ChatGPT'!$H$7:$H$456,MATCH($A189,'Revisão_ChatGPT'!$A$7:$A$456,0))&amp;"","")</f>
        <v>Incluir</v>
      </c>
      <c r="I189" s="2" t="str">
        <f t="shared" si="1"/>
        <v>2/3</v>
      </c>
      <c r="J189" s="21" t="s">
        <v>906</v>
      </c>
      <c r="K189" s="21"/>
      <c r="L189" s="21"/>
      <c r="M189" s="22" t="b">
        <f t="shared" si="2"/>
        <v>0</v>
      </c>
      <c r="N189" s="21"/>
      <c r="O189" s="2" t="str">
        <f t="shared" si="3"/>
        <v>Fora do recorte anual + Excluir</v>
      </c>
      <c r="P189" s="2" t="str">
        <f t="array" ref="P189">IF(O189&lt;&gt;"Incluir","",IF(K189&lt;&gt;"",K189,IF(IFERROR(INDEX(Triagem!$J$2:$J$451,MATCH($A189,Triagem!$A$2:$A$451,0))&amp;"","")&lt;&gt;"",IFERROR(INDEX(Triagem!$J$2:$J$451,MATCH($A189,Triagem!$A$2:$A$451,0))&amp;"",""),IF(IFERROR(INDEX('Revisão_Gemini'!$I$7:$I$456,MATCH($A189,'Revisão_Gemini'!$A$7:$A$456,0))&amp;"","")&lt;&gt;"",IFERROR(INDEX('Revisão_Gemini'!$I$7:$I$456,MATCH($A189,'Revisão_Gemini'!$A$7:$A$456,0))&amp;"",""),IFERROR(INDEX('Revisão_ChatGPT'!$I$7:$I$456,MATCH($A189,'Revisão_ChatGPT'!$A$7:$A$456,0))&amp;"","")))))</f>
        <v/>
      </c>
      <c r="Q189" s="2" t="str">
        <f t="array" ref="Q189">IF(O189&lt;&gt;"Excluir","",IF(L189&lt;&gt;"",L189,IF(F189="Excluir",IFERROR(INDEX(Triagem!$K$2:$K$451,MATCH($A189,Triagem!$A$2:$A$451,0))&amp;"",""),IF(G189="Excluir",IFERROR(INDEX('Revisão_Gemini'!$J$7:$J$456,MATCH($A189,'Revisão_Gemini'!$A$7:$A$456,0))&amp;"",""),IFERROR(INDEX('Revisão_ChatGPT'!$J$7:$J$456,MATCH($A189,'Revisão_ChatGPT'!$A$7:$A$456,0))&amp;"","")))))</f>
        <v/>
      </c>
    </row>
    <row r="190" ht="15.75" customHeight="1">
      <c r="A190" s="2" t="s">
        <v>1308</v>
      </c>
      <c r="B190" s="19" t="str">
        <f t="array" ref="B190">INDEX(Triagem!$N$2:$N451 , MATCH(A190,Triagem!$A$2:$A451,0))</f>
        <v>abrir</v>
      </c>
      <c r="C190" s="20">
        <f t="array" ref="C190">INDEX(Triagem!$B$2:$B451 , MATCH(A190,Triagem!$A$2:$A451,0))</f>
        <v>2017</v>
      </c>
      <c r="D190" s="2" t="s">
        <v>1310</v>
      </c>
      <c r="E190" s="2" t="s">
        <v>1311</v>
      </c>
      <c r="F190" s="2" t="str">
        <f t="array" ref="F190">IFERROR(INDEX(Triagem!$I$2:$I$451,MATCH($A190,Triagem!$A$2:$A$451,0))&amp;"","")</f>
        <v>Excluir</v>
      </c>
      <c r="G190" s="2" t="str">
        <f t="array" ref="G190">IFERROR(INDEX('Revisão_Gemini'!$H$7:$H$456,MATCH($A190,'Revisão_Gemini'!$A$7:$A$456,0))&amp;"","")</f>
        <v>Excluir</v>
      </c>
      <c r="H190" s="2" t="str">
        <f t="array" ref="H190">IFERROR(INDEX('Revisão_ChatGPT'!$H$7:$H$456,MATCH($A190,'Revisão_ChatGPT'!$A$7:$A$456,0))&amp;"","")</f>
        <v>Excluir</v>
      </c>
      <c r="I190" s="2" t="str">
        <f t="shared" si="1"/>
        <v>3/3</v>
      </c>
      <c r="J190" s="21"/>
      <c r="K190" s="21"/>
      <c r="L190" s="21"/>
      <c r="M190" s="22" t="b">
        <f t="shared" si="2"/>
        <v>0</v>
      </c>
      <c r="N190" s="21" t="s">
        <v>3249</v>
      </c>
      <c r="O190" s="2" t="str">
        <f t="shared" si="3"/>
        <v>Fora do recorte anual + Excluir</v>
      </c>
      <c r="P190" s="2" t="str">
        <f t="array" ref="P190">IF(O190&lt;&gt;"Incluir","",IF(K190&lt;&gt;"",K190,IF(IFERROR(INDEX(Triagem!$J$2:$J$451,MATCH($A190,Triagem!$A$2:$A$451,0))&amp;"","")&lt;&gt;"",IFERROR(INDEX(Triagem!$J$2:$J$451,MATCH($A190,Triagem!$A$2:$A$451,0))&amp;"",""),IF(IFERROR(INDEX('Revisão_Gemini'!$I$7:$I$456,MATCH($A190,'Revisão_Gemini'!$A$7:$A$456,0))&amp;"","")&lt;&gt;"",IFERROR(INDEX('Revisão_Gemini'!$I$7:$I$456,MATCH($A190,'Revisão_Gemini'!$A$7:$A$456,0))&amp;"",""),IFERROR(INDEX('Revisão_ChatGPT'!$I$7:$I$456,MATCH($A190,'Revisão_ChatGPT'!$A$7:$A$456,0))&amp;"","")))))</f>
        <v/>
      </c>
      <c r="Q190" s="2" t="str">
        <f t="array" ref="Q190">IF(O190&lt;&gt;"Excluir","",IF(L190&lt;&gt;"",L190,IF(F190="Excluir",IFERROR(INDEX(Triagem!$K$2:$K$451,MATCH($A190,Triagem!$A$2:$A$451,0))&amp;"",""),IF(G190="Excluir",IFERROR(INDEX('Revisão_Gemini'!$J$7:$J$456,MATCH($A190,'Revisão_Gemini'!$A$7:$A$456,0))&amp;"",""),IFERROR(INDEX('Revisão_ChatGPT'!$J$7:$J$456,MATCH($A190,'Revisão_ChatGPT'!$A$7:$A$456,0))&amp;"","")))))</f>
        <v/>
      </c>
    </row>
    <row r="191" ht="15.75" customHeight="1">
      <c r="A191" s="2" t="s">
        <v>514</v>
      </c>
      <c r="B191" s="19" t="str">
        <f t="array" ref="B191">INDEX(Triagem!$N$2:$N451 , MATCH(A191,Triagem!$A$2:$A451,0))</f>
        <v>abrir</v>
      </c>
      <c r="C191" s="20">
        <f t="array" ref="C191">INDEX(Triagem!$B$2:$B451 , MATCH(A191,Triagem!$A$2:$A451,0))</f>
        <v>2016</v>
      </c>
      <c r="D191" s="2" t="s">
        <v>516</v>
      </c>
      <c r="E191" s="2" t="s">
        <v>517</v>
      </c>
      <c r="F191" s="2" t="str">
        <f t="array" ref="F191">IFERROR(INDEX(Triagem!$I$2:$I$451,MATCH($A191,Triagem!$A$2:$A$451,0))&amp;"","")</f>
        <v>Incluir</v>
      </c>
      <c r="G191" s="2" t="str">
        <f t="array" ref="G191">IFERROR(INDEX('Revisão_Gemini'!$H$7:$H$456,MATCH($A191,'Revisão_Gemini'!$A$7:$A$456,0))&amp;"","")</f>
        <v>Incluir</v>
      </c>
      <c r="H191" s="2" t="str">
        <f t="array" ref="H191">IFERROR(INDEX('Revisão_ChatGPT'!$H$7:$H$456,MATCH($A191,'Revisão_ChatGPT'!$A$7:$A$456,0))&amp;"","")</f>
        <v>Excluir</v>
      </c>
      <c r="I191" s="2" t="str">
        <f t="shared" si="1"/>
        <v>2/3</v>
      </c>
      <c r="J191" s="21" t="s">
        <v>694</v>
      </c>
      <c r="K191" s="21"/>
      <c r="L191" s="21"/>
      <c r="M191" s="22" t="b">
        <f t="shared" si="2"/>
        <v>0</v>
      </c>
      <c r="N191" s="21"/>
      <c r="O191" s="2" t="str">
        <f t="shared" si="3"/>
        <v>Fora do recorte anual + Apoio</v>
      </c>
      <c r="P191" s="2" t="str">
        <f t="array" ref="P191">IF(O191&lt;&gt;"Incluir","",IF(K191&lt;&gt;"",K191,IF(IFERROR(INDEX(Triagem!$J$2:$J$451,MATCH($A191,Triagem!$A$2:$A$451,0))&amp;"","")&lt;&gt;"",IFERROR(INDEX(Triagem!$J$2:$J$451,MATCH($A191,Triagem!$A$2:$A$451,0))&amp;"",""),IF(IFERROR(INDEX('Revisão_Gemini'!$I$7:$I$456,MATCH($A191,'Revisão_Gemini'!$A$7:$A$456,0))&amp;"","")&lt;&gt;"",IFERROR(INDEX('Revisão_Gemini'!$I$7:$I$456,MATCH($A191,'Revisão_Gemini'!$A$7:$A$456,0))&amp;"",""),IFERROR(INDEX('Revisão_ChatGPT'!$I$7:$I$456,MATCH($A191,'Revisão_ChatGPT'!$A$7:$A$456,0))&amp;"","")))))</f>
        <v/>
      </c>
      <c r="Q191" s="2" t="str">
        <f t="array" ref="Q191">IF(O191&lt;&gt;"Excluir","",IF(L191&lt;&gt;"",L191,IF(F191="Excluir",IFERROR(INDEX(Triagem!$K$2:$K$451,MATCH($A191,Triagem!$A$2:$A$451,0))&amp;"",""),IF(G191="Excluir",IFERROR(INDEX('Revisão_Gemini'!$J$7:$J$456,MATCH($A191,'Revisão_Gemini'!$A$7:$A$456,0))&amp;"",""),IFERROR(INDEX('Revisão_ChatGPT'!$J$7:$J$456,MATCH($A191,'Revisão_ChatGPT'!$A$7:$A$456,0))&amp;"","")))))</f>
        <v/>
      </c>
    </row>
    <row r="192" ht="15.75" customHeight="1">
      <c r="A192" s="2" t="s">
        <v>831</v>
      </c>
      <c r="B192" s="19" t="str">
        <f t="array" ref="B192">INDEX(Triagem!$N$2:$N451 , MATCH(A192,Triagem!$A$2:$A451,0))</f>
        <v>abrir</v>
      </c>
      <c r="C192" s="20">
        <f t="array" ref="C192">INDEX(Triagem!$B$2:$B451 , MATCH(A192,Triagem!$A$2:$A451,0))</f>
        <v>2016</v>
      </c>
      <c r="D192" s="2" t="s">
        <v>833</v>
      </c>
      <c r="E192" s="2" t="s">
        <v>834</v>
      </c>
      <c r="F192" s="2" t="str">
        <f t="array" ref="F192">IFERROR(INDEX(Triagem!$I$2:$I$451,MATCH($A192,Triagem!$A$2:$A$451,0))&amp;"","")</f>
        <v>Apoio</v>
      </c>
      <c r="G192" s="2" t="str">
        <f t="array" ref="G192">IFERROR(INDEX('Revisão_Gemini'!$H$7:$H$456,MATCH($A192,'Revisão_Gemini'!$A$7:$A$456,0))&amp;"","")</f>
        <v>Apoio</v>
      </c>
      <c r="H192" s="2" t="str">
        <f t="array" ref="H192">IFERROR(INDEX('Revisão_ChatGPT'!$H$7:$H$456,MATCH($A192,'Revisão_ChatGPT'!$A$7:$A$456,0))&amp;"","")</f>
        <v>Apoio</v>
      </c>
      <c r="I192" s="2" t="str">
        <f t="shared" si="1"/>
        <v>3/3</v>
      </c>
      <c r="J192" s="21"/>
      <c r="K192" s="21"/>
      <c r="L192" s="21"/>
      <c r="M192" s="22" t="b">
        <f t="shared" si="2"/>
        <v>0</v>
      </c>
      <c r="N192" s="21"/>
      <c r="O192" s="2" t="str">
        <f t="shared" si="3"/>
        <v>Fora do recorte anual + Apoio</v>
      </c>
      <c r="P192" s="2" t="str">
        <f t="array" ref="P192">IF(O192&lt;&gt;"Incluir","",IF(K192&lt;&gt;"",K192,IF(IFERROR(INDEX(Triagem!$J$2:$J$451,MATCH($A192,Triagem!$A$2:$A$451,0))&amp;"","")&lt;&gt;"",IFERROR(INDEX(Triagem!$J$2:$J$451,MATCH($A192,Triagem!$A$2:$A$451,0))&amp;"",""),IF(IFERROR(INDEX('Revisão_Gemini'!$I$7:$I$456,MATCH($A192,'Revisão_Gemini'!$A$7:$A$456,0))&amp;"","")&lt;&gt;"",IFERROR(INDEX('Revisão_Gemini'!$I$7:$I$456,MATCH($A192,'Revisão_Gemini'!$A$7:$A$456,0))&amp;"",""),IFERROR(INDEX('Revisão_ChatGPT'!$I$7:$I$456,MATCH($A192,'Revisão_ChatGPT'!$A$7:$A$456,0))&amp;"","")))))</f>
        <v/>
      </c>
      <c r="Q192" s="2" t="str">
        <f t="array" ref="Q192">IF(O192&lt;&gt;"Excluir","",IF(L192&lt;&gt;"",L192,IF(F192="Excluir",IFERROR(INDEX(Triagem!$K$2:$K$451,MATCH($A192,Triagem!$A$2:$A$451,0))&amp;"",""),IF(G192="Excluir",IFERROR(INDEX('Revisão_Gemini'!$J$7:$J$456,MATCH($A192,'Revisão_Gemini'!$A$7:$A$456,0))&amp;"",""),IFERROR(INDEX('Revisão_ChatGPT'!$J$7:$J$456,MATCH($A192,'Revisão_ChatGPT'!$A$7:$A$456,0))&amp;"","")))))</f>
        <v/>
      </c>
    </row>
    <row r="193" ht="15.75" customHeight="1">
      <c r="A193" s="2" t="s">
        <v>437</v>
      </c>
      <c r="B193" s="19" t="str">
        <f t="array" ref="B193">INDEX(Triagem!$N$2:$N451 , MATCH(A193,Triagem!$A$2:$A451,0))</f>
        <v>abrir</v>
      </c>
      <c r="C193" s="20">
        <f t="array" ref="C193">INDEX(Triagem!$B$2:$B451 , MATCH(A193,Triagem!$A$2:$A451,0))</f>
        <v>2017</v>
      </c>
      <c r="D193" s="2" t="s">
        <v>439</v>
      </c>
      <c r="E193" s="2" t="s">
        <v>440</v>
      </c>
      <c r="F193" s="2" t="str">
        <f t="array" ref="F193">IFERROR(INDEX(Triagem!$I$2:$I$451,MATCH($A193,Triagem!$A$2:$A$451,0))&amp;"","")</f>
        <v>Incluir</v>
      </c>
      <c r="G193" s="2" t="str">
        <f t="array" ref="G193">IFERROR(INDEX('Revisão_Gemini'!$H$7:$H$456,MATCH($A193,'Revisão_Gemini'!$A$7:$A$456,0))&amp;"","")</f>
        <v>Incluir</v>
      </c>
      <c r="H193" s="2" t="str">
        <f t="array" ref="H193">IFERROR(INDEX('Revisão_ChatGPT'!$H$7:$H$456,MATCH($A193,'Revisão_ChatGPT'!$A$7:$A$456,0))&amp;"","")</f>
        <v>Excluir</v>
      </c>
      <c r="I193" s="2" t="str">
        <f t="shared" si="1"/>
        <v>2/3</v>
      </c>
      <c r="J193" s="21" t="s">
        <v>98</v>
      </c>
      <c r="K193" s="21"/>
      <c r="L193" s="21"/>
      <c r="M193" s="22" t="b">
        <f t="shared" si="2"/>
        <v>0</v>
      </c>
      <c r="N193" s="21" t="s">
        <v>3250</v>
      </c>
      <c r="O193" s="2" t="str">
        <f t="shared" si="3"/>
        <v>Fora do recorte anual + Incluir</v>
      </c>
      <c r="P193" s="2" t="str">
        <f t="array" ref="P193">IF(O193&lt;&gt;"Incluir","",IF(K193&lt;&gt;"",K193,IF(IFERROR(INDEX(Triagem!$J$2:$J$451,MATCH($A193,Triagem!$A$2:$A$451,0))&amp;"","")&lt;&gt;"",IFERROR(INDEX(Triagem!$J$2:$J$451,MATCH($A193,Triagem!$A$2:$A$451,0))&amp;"",""),IF(IFERROR(INDEX('Revisão_Gemini'!$I$7:$I$456,MATCH($A193,'Revisão_Gemini'!$A$7:$A$456,0))&amp;"","")&lt;&gt;"",IFERROR(INDEX('Revisão_Gemini'!$I$7:$I$456,MATCH($A193,'Revisão_Gemini'!$A$7:$A$456,0))&amp;"",""),IFERROR(INDEX('Revisão_ChatGPT'!$I$7:$I$456,MATCH($A193,'Revisão_ChatGPT'!$A$7:$A$456,0))&amp;"","")))))</f>
        <v/>
      </c>
      <c r="Q193" s="2" t="str">
        <f t="array" ref="Q193">IF(O193&lt;&gt;"Excluir","",IF(L193&lt;&gt;"",L193,IF(F193="Excluir",IFERROR(INDEX(Triagem!$K$2:$K$451,MATCH($A193,Triagem!$A$2:$A$451,0))&amp;"",""),IF(G193="Excluir",IFERROR(INDEX('Revisão_Gemini'!$J$7:$J$456,MATCH($A193,'Revisão_Gemini'!$A$7:$A$456,0))&amp;"",""),IFERROR(INDEX('Revisão_ChatGPT'!$J$7:$J$456,MATCH($A193,'Revisão_ChatGPT'!$A$7:$A$456,0))&amp;"","")))))</f>
        <v/>
      </c>
    </row>
    <row r="194" ht="15.75" customHeight="1">
      <c r="A194" s="2" t="s">
        <v>836</v>
      </c>
      <c r="B194" s="19" t="str">
        <f t="array" ref="B194">INDEX(Triagem!$N$2:$N451 , MATCH(A194,Triagem!$A$2:$A451,0))</f>
        <v>abrir</v>
      </c>
      <c r="C194" s="20">
        <f t="array" ref="C194">INDEX(Triagem!$B$2:$B451 , MATCH(A194,Triagem!$A$2:$A451,0))</f>
        <v>2016</v>
      </c>
      <c r="D194" s="2" t="s">
        <v>838</v>
      </c>
      <c r="E194" s="2" t="s">
        <v>839</v>
      </c>
      <c r="F194" s="2" t="str">
        <f t="array" ref="F194">IFERROR(INDEX(Triagem!$I$2:$I$451,MATCH($A194,Triagem!$A$2:$A$451,0))&amp;"","")</f>
        <v>Apoio</v>
      </c>
      <c r="G194" s="2" t="str">
        <f t="array" ref="G194">IFERROR(INDEX('Revisão_Gemini'!$H$7:$H$456,MATCH($A194,'Revisão_Gemini'!$A$7:$A$456,0))&amp;"","")</f>
        <v>Apoio</v>
      </c>
      <c r="H194" s="2" t="str">
        <f t="array" ref="H194">IFERROR(INDEX('Revisão_ChatGPT'!$H$7:$H$456,MATCH($A194,'Revisão_ChatGPT'!$A$7:$A$456,0))&amp;"","")</f>
        <v>Apoio</v>
      </c>
      <c r="I194" s="2" t="str">
        <f t="shared" si="1"/>
        <v>3/3</v>
      </c>
      <c r="J194" s="21"/>
      <c r="K194" s="21"/>
      <c r="L194" s="21"/>
      <c r="M194" s="22" t="b">
        <f t="shared" si="2"/>
        <v>0</v>
      </c>
      <c r="N194" s="21"/>
      <c r="O194" s="2" t="str">
        <f t="shared" si="3"/>
        <v>Fora do recorte anual + Apoio</v>
      </c>
      <c r="P194" s="2" t="str">
        <f t="array" ref="P194">IF(O194&lt;&gt;"Incluir","",IF(K194&lt;&gt;"",K194,IF(IFERROR(INDEX(Triagem!$J$2:$J$451,MATCH($A194,Triagem!$A$2:$A$451,0))&amp;"","")&lt;&gt;"",IFERROR(INDEX(Triagem!$J$2:$J$451,MATCH($A194,Triagem!$A$2:$A$451,0))&amp;"",""),IF(IFERROR(INDEX('Revisão_Gemini'!$I$7:$I$456,MATCH($A194,'Revisão_Gemini'!$A$7:$A$456,0))&amp;"","")&lt;&gt;"",IFERROR(INDEX('Revisão_Gemini'!$I$7:$I$456,MATCH($A194,'Revisão_Gemini'!$A$7:$A$456,0))&amp;"",""),IFERROR(INDEX('Revisão_ChatGPT'!$I$7:$I$456,MATCH($A194,'Revisão_ChatGPT'!$A$7:$A$456,0))&amp;"","")))))</f>
        <v/>
      </c>
      <c r="Q194" s="2" t="str">
        <f t="array" ref="Q194">IF(O194&lt;&gt;"Excluir","",IF(L194&lt;&gt;"",L194,IF(F194="Excluir",IFERROR(INDEX(Triagem!$K$2:$K$451,MATCH($A194,Triagem!$A$2:$A$451,0))&amp;"",""),IF(G194="Excluir",IFERROR(INDEX('Revisão_Gemini'!$J$7:$J$456,MATCH($A194,'Revisão_Gemini'!$A$7:$A$456,0))&amp;"",""),IFERROR(INDEX('Revisão_ChatGPT'!$J$7:$J$456,MATCH($A194,'Revisão_ChatGPT'!$A$7:$A$456,0))&amp;"","")))))</f>
        <v/>
      </c>
    </row>
    <row r="195" ht="15.75" customHeight="1">
      <c r="A195" s="2" t="s">
        <v>1353</v>
      </c>
      <c r="B195" s="19" t="str">
        <f t="array" ref="B195">INDEX(Triagem!$N$2:$N451 , MATCH(A195,Triagem!$A$2:$A451,0))</f>
        <v>abrir</v>
      </c>
      <c r="C195" s="20">
        <f t="array" ref="C195">INDEX(Triagem!$B$2:$B451 , MATCH(A195,Triagem!$A$2:$A451,0))</f>
        <v>2016</v>
      </c>
      <c r="D195" s="2" t="s">
        <v>1355</v>
      </c>
      <c r="E195" s="2" t="s">
        <v>1356</v>
      </c>
      <c r="F195" s="2" t="str">
        <f t="array" ref="F195">IFERROR(INDEX(Triagem!$I$2:$I$451,MATCH($A195,Triagem!$A$2:$A$451,0))&amp;"","")</f>
        <v>Excluir</v>
      </c>
      <c r="G195" s="2" t="str">
        <f t="array" ref="G195">IFERROR(INDEX('Revisão_Gemini'!$H$7:$H$456,MATCH($A195,'Revisão_Gemini'!$A$7:$A$456,0))&amp;"","")</f>
        <v>Excluir</v>
      </c>
      <c r="H195" s="2" t="str">
        <f t="array" ref="H195">IFERROR(INDEX('Revisão_ChatGPT'!$H$7:$H$456,MATCH($A195,'Revisão_ChatGPT'!$A$7:$A$456,0))&amp;"","")</f>
        <v>Excluir</v>
      </c>
      <c r="I195" s="2" t="str">
        <f t="shared" si="1"/>
        <v>3/3</v>
      </c>
      <c r="J195" s="21"/>
      <c r="K195" s="21"/>
      <c r="L195" s="21"/>
      <c r="M195" s="22" t="b">
        <f t="shared" si="2"/>
        <v>0</v>
      </c>
      <c r="N195" s="21" t="s">
        <v>3251</v>
      </c>
      <c r="O195" s="2" t="str">
        <f t="shared" si="3"/>
        <v>Fora do recorte anual + Excluir</v>
      </c>
      <c r="P195" s="2" t="str">
        <f t="array" ref="P195">IF(O195&lt;&gt;"Incluir","",IF(K195&lt;&gt;"",K195,IF(IFERROR(INDEX(Triagem!$J$2:$J$451,MATCH($A195,Triagem!$A$2:$A$451,0))&amp;"","")&lt;&gt;"",IFERROR(INDEX(Triagem!$J$2:$J$451,MATCH($A195,Triagem!$A$2:$A$451,0))&amp;"",""),IF(IFERROR(INDEX('Revisão_Gemini'!$I$7:$I$456,MATCH($A195,'Revisão_Gemini'!$A$7:$A$456,0))&amp;"","")&lt;&gt;"",IFERROR(INDEX('Revisão_Gemini'!$I$7:$I$456,MATCH($A195,'Revisão_Gemini'!$A$7:$A$456,0))&amp;"",""),IFERROR(INDEX('Revisão_ChatGPT'!$I$7:$I$456,MATCH($A195,'Revisão_ChatGPT'!$A$7:$A$456,0))&amp;"","")))))</f>
        <v/>
      </c>
      <c r="Q195" s="2" t="str">
        <f t="array" ref="Q195">IF(O195&lt;&gt;"Excluir","",IF(L195&lt;&gt;"",L195,IF(F195="Excluir",IFERROR(INDEX(Triagem!$K$2:$K$451,MATCH($A195,Triagem!$A$2:$A$451,0))&amp;"",""),IF(G195="Excluir",IFERROR(INDEX('Revisão_Gemini'!$J$7:$J$456,MATCH($A195,'Revisão_Gemini'!$A$7:$A$456,0))&amp;"",""),IFERROR(INDEX('Revisão_ChatGPT'!$J$7:$J$456,MATCH($A195,'Revisão_ChatGPT'!$A$7:$A$456,0))&amp;"","")))))</f>
        <v/>
      </c>
    </row>
    <row r="196" ht="15.75" customHeight="1">
      <c r="A196" s="2" t="s">
        <v>1358</v>
      </c>
      <c r="B196" s="19" t="str">
        <f t="array" ref="B196">INDEX(Triagem!$N$2:$N451 , MATCH(A196,Triagem!$A$2:$A451,0))</f>
        <v>abrir</v>
      </c>
      <c r="C196" s="20">
        <f t="array" ref="C196">INDEX(Triagem!$B$2:$B451 , MATCH(A196,Triagem!$A$2:$A451,0))</f>
        <v>2016</v>
      </c>
      <c r="D196" s="2" t="s">
        <v>1360</v>
      </c>
      <c r="E196" s="2" t="s">
        <v>1361</v>
      </c>
      <c r="F196" s="2" t="str">
        <f t="array" ref="F196">IFERROR(INDEX(Triagem!$I$2:$I$451,MATCH($A196,Triagem!$A$2:$A$451,0))&amp;"","")</f>
        <v>Excluir</v>
      </c>
      <c r="G196" s="2" t="str">
        <f t="array" ref="G196">IFERROR(INDEX('Revisão_Gemini'!$H$7:$H$456,MATCH($A196,'Revisão_Gemini'!$A$7:$A$456,0))&amp;"","")</f>
        <v>Excluir</v>
      </c>
      <c r="H196" s="2" t="str">
        <f t="array" ref="H196">IFERROR(INDEX('Revisão_ChatGPT'!$H$7:$H$456,MATCH($A196,'Revisão_ChatGPT'!$A$7:$A$456,0))&amp;"","")</f>
        <v>Excluir</v>
      </c>
      <c r="I196" s="2" t="str">
        <f t="shared" si="1"/>
        <v>3/3</v>
      </c>
      <c r="J196" s="21"/>
      <c r="K196" s="21"/>
      <c r="L196" s="21"/>
      <c r="M196" s="22" t="b">
        <f t="shared" si="2"/>
        <v>0</v>
      </c>
      <c r="N196" s="21" t="s">
        <v>3252</v>
      </c>
      <c r="O196" s="2" t="str">
        <f t="shared" si="3"/>
        <v>Fora do recorte anual + Excluir</v>
      </c>
      <c r="P196" s="2" t="str">
        <f t="array" ref="P196">IF(O196&lt;&gt;"Incluir","",IF(K196&lt;&gt;"",K196,IF(IFERROR(INDEX(Triagem!$J$2:$J$451,MATCH($A196,Triagem!$A$2:$A$451,0))&amp;"","")&lt;&gt;"",IFERROR(INDEX(Triagem!$J$2:$J$451,MATCH($A196,Triagem!$A$2:$A$451,0))&amp;"",""),IF(IFERROR(INDEX('Revisão_Gemini'!$I$7:$I$456,MATCH($A196,'Revisão_Gemini'!$A$7:$A$456,0))&amp;"","")&lt;&gt;"",IFERROR(INDEX('Revisão_Gemini'!$I$7:$I$456,MATCH($A196,'Revisão_Gemini'!$A$7:$A$456,0))&amp;"",""),IFERROR(INDEX('Revisão_ChatGPT'!$I$7:$I$456,MATCH($A196,'Revisão_ChatGPT'!$A$7:$A$456,0))&amp;"","")))))</f>
        <v/>
      </c>
      <c r="Q196" s="2" t="str">
        <f t="array" ref="Q196">IF(O196&lt;&gt;"Excluir","",IF(L196&lt;&gt;"",L196,IF(F196="Excluir",IFERROR(INDEX(Triagem!$K$2:$K$451,MATCH($A196,Triagem!$A$2:$A$451,0))&amp;"",""),IF(G196="Excluir",IFERROR(INDEX('Revisão_Gemini'!$J$7:$J$456,MATCH($A196,'Revisão_Gemini'!$A$7:$A$456,0))&amp;"",""),IFERROR(INDEX('Revisão_ChatGPT'!$J$7:$J$456,MATCH($A196,'Revisão_ChatGPT'!$A$7:$A$456,0))&amp;"","")))))</f>
        <v/>
      </c>
    </row>
    <row r="197" ht="15.75" customHeight="1">
      <c r="A197" s="2" t="s">
        <v>841</v>
      </c>
      <c r="B197" s="19" t="str">
        <f t="array" ref="B197">INDEX(Triagem!$N$2:$N451 , MATCH(A197,Triagem!$A$2:$A451,0))</f>
        <v>abrir</v>
      </c>
      <c r="C197" s="20">
        <f t="array" ref="C197">INDEX(Triagem!$B$2:$B451 , MATCH(A197,Triagem!$A$2:$A451,0))</f>
        <v>2016</v>
      </c>
      <c r="D197" s="2" t="s">
        <v>843</v>
      </c>
      <c r="E197" s="2" t="s">
        <v>844</v>
      </c>
      <c r="F197" s="2" t="str">
        <f t="array" ref="F197">IFERROR(INDEX(Triagem!$I$2:$I$451,MATCH($A197,Triagem!$A$2:$A$451,0))&amp;"","")</f>
        <v>Apoio</v>
      </c>
      <c r="G197" s="2" t="str">
        <f t="array" ref="G197">IFERROR(INDEX('Revisão_Gemini'!$H$7:$H$456,MATCH($A197,'Revisão_Gemini'!$A$7:$A$456,0))&amp;"","")</f>
        <v>Incluir</v>
      </c>
      <c r="H197" s="2" t="str">
        <f t="array" ref="H197">IFERROR(INDEX('Revisão_ChatGPT'!$H$7:$H$456,MATCH($A197,'Revisão_ChatGPT'!$A$7:$A$456,0))&amp;"","")</f>
        <v>Incluir</v>
      </c>
      <c r="I197" s="2" t="str">
        <f t="shared" si="1"/>
        <v>2/3</v>
      </c>
      <c r="J197" s="21" t="s">
        <v>906</v>
      </c>
      <c r="K197" s="21"/>
      <c r="L197" s="21"/>
      <c r="M197" s="22" t="b">
        <f t="shared" si="2"/>
        <v>0</v>
      </c>
      <c r="N197" s="21" t="s">
        <v>3253</v>
      </c>
      <c r="O197" s="2" t="str">
        <f t="shared" si="3"/>
        <v>Fora do recorte anual + Excluir</v>
      </c>
      <c r="P197" s="2" t="str">
        <f t="array" ref="P197">IF(O197&lt;&gt;"Incluir","",IF(K197&lt;&gt;"",K197,IF(IFERROR(INDEX(Triagem!$J$2:$J$451,MATCH($A197,Triagem!$A$2:$A$451,0))&amp;"","")&lt;&gt;"",IFERROR(INDEX(Triagem!$J$2:$J$451,MATCH($A197,Triagem!$A$2:$A$451,0))&amp;"",""),IF(IFERROR(INDEX('Revisão_Gemini'!$I$7:$I$456,MATCH($A197,'Revisão_Gemini'!$A$7:$A$456,0))&amp;"","")&lt;&gt;"",IFERROR(INDEX('Revisão_Gemini'!$I$7:$I$456,MATCH($A197,'Revisão_Gemini'!$A$7:$A$456,0))&amp;"",""),IFERROR(INDEX('Revisão_ChatGPT'!$I$7:$I$456,MATCH($A197,'Revisão_ChatGPT'!$A$7:$A$456,0))&amp;"","")))))</f>
        <v/>
      </c>
      <c r="Q197" s="2" t="str">
        <f t="array" ref="Q197">IF(O197&lt;&gt;"Excluir","",IF(L197&lt;&gt;"",L197,IF(F197="Excluir",IFERROR(INDEX(Triagem!$K$2:$K$451,MATCH($A197,Triagem!$A$2:$A$451,0))&amp;"",""),IF(G197="Excluir",IFERROR(INDEX('Revisão_Gemini'!$J$7:$J$456,MATCH($A197,'Revisão_Gemini'!$A$7:$A$456,0))&amp;"",""),IFERROR(INDEX('Revisão_ChatGPT'!$J$7:$J$456,MATCH($A197,'Revisão_ChatGPT'!$A$7:$A$456,0))&amp;"","")))))</f>
        <v/>
      </c>
    </row>
    <row r="198" ht="15.75" customHeight="1">
      <c r="A198" s="2" t="s">
        <v>1713</v>
      </c>
      <c r="B198" s="19" t="str">
        <f t="array" ref="B198">INDEX(Triagem!$N$2:$N451 , MATCH(A198,Triagem!$A$2:$A451,0))</f>
        <v>abrir</v>
      </c>
      <c r="C198" s="20">
        <f t="array" ref="C198">INDEX(Triagem!$B$2:$B451 , MATCH(A198,Triagem!$A$2:$A451,0))</f>
        <v>2017</v>
      </c>
      <c r="D198" s="2" t="s">
        <v>1715</v>
      </c>
      <c r="E198" s="2" t="s">
        <v>1716</v>
      </c>
      <c r="F198" s="2" t="str">
        <f t="array" ref="F198">IFERROR(INDEX(Triagem!$I$2:$I$451,MATCH($A198,Triagem!$A$2:$A$451,0))&amp;"","")</f>
        <v>Excluir</v>
      </c>
      <c r="G198" s="2" t="str">
        <f t="array" ref="G198">IFERROR(INDEX('Revisão_Gemini'!$H$7:$H$456,MATCH($A198,'Revisão_Gemini'!$A$7:$A$456,0))&amp;"","")</f>
        <v>Excluir</v>
      </c>
      <c r="H198" s="2" t="str">
        <f t="array" ref="H198">IFERROR(INDEX('Revisão_ChatGPT'!$H$7:$H$456,MATCH($A198,'Revisão_ChatGPT'!$A$7:$A$456,0))&amp;"","")</f>
        <v>Excluir</v>
      </c>
      <c r="I198" s="2" t="str">
        <f t="shared" si="1"/>
        <v>3/3</v>
      </c>
      <c r="J198" s="21"/>
      <c r="K198" s="21"/>
      <c r="L198" s="21"/>
      <c r="M198" s="22" t="b">
        <f t="shared" si="2"/>
        <v>0</v>
      </c>
      <c r="N198" s="21" t="s">
        <v>3254</v>
      </c>
      <c r="O198" s="2" t="str">
        <f t="shared" si="3"/>
        <v>Fora do recorte anual + Excluir</v>
      </c>
      <c r="P198" s="2" t="str">
        <f t="array" ref="P198">IF(O198&lt;&gt;"Incluir","",IF(K198&lt;&gt;"",K198,IF(IFERROR(INDEX(Triagem!$J$2:$J$451,MATCH($A198,Triagem!$A$2:$A$451,0))&amp;"","")&lt;&gt;"",IFERROR(INDEX(Triagem!$J$2:$J$451,MATCH($A198,Triagem!$A$2:$A$451,0))&amp;"",""),IF(IFERROR(INDEX('Revisão_Gemini'!$I$7:$I$456,MATCH($A198,'Revisão_Gemini'!$A$7:$A$456,0))&amp;"","")&lt;&gt;"",IFERROR(INDEX('Revisão_Gemini'!$I$7:$I$456,MATCH($A198,'Revisão_Gemini'!$A$7:$A$456,0))&amp;"",""),IFERROR(INDEX('Revisão_ChatGPT'!$I$7:$I$456,MATCH($A198,'Revisão_ChatGPT'!$A$7:$A$456,0))&amp;"","")))))</f>
        <v/>
      </c>
      <c r="Q198" s="2" t="str">
        <f t="array" ref="Q198">IF(O198&lt;&gt;"Excluir","",IF(L198&lt;&gt;"",L198,IF(F198="Excluir",IFERROR(INDEX(Triagem!$K$2:$K$451,MATCH($A198,Triagem!$A$2:$A$451,0))&amp;"",""),IF(G198="Excluir",IFERROR(INDEX('Revisão_Gemini'!$J$7:$J$456,MATCH($A198,'Revisão_Gemini'!$A$7:$A$456,0))&amp;"",""),IFERROR(INDEX('Revisão_ChatGPT'!$J$7:$J$456,MATCH($A198,'Revisão_ChatGPT'!$A$7:$A$456,0))&amp;"","")))))</f>
        <v/>
      </c>
    </row>
    <row r="199" ht="15.75" customHeight="1">
      <c r="A199" s="2" t="s">
        <v>1718</v>
      </c>
      <c r="B199" s="19" t="str">
        <f t="array" ref="B199">INDEX(Triagem!$N$2:$N451 , MATCH(A199,Triagem!$A$2:$A451,0))</f>
        <v>abrir</v>
      </c>
      <c r="C199" s="20">
        <f t="array" ref="C199">INDEX(Triagem!$B$2:$B451 , MATCH(A199,Triagem!$A$2:$A451,0))</f>
        <v>2017</v>
      </c>
      <c r="D199" s="2" t="s">
        <v>1720</v>
      </c>
      <c r="E199" s="2" t="s">
        <v>1721</v>
      </c>
      <c r="F199" s="2" t="str">
        <f t="array" ref="F199">IFERROR(INDEX(Triagem!$I$2:$I$451,MATCH($A199,Triagem!$A$2:$A$451,0))&amp;"","")</f>
        <v>Excluir</v>
      </c>
      <c r="G199" s="2" t="str">
        <f t="array" ref="G199">IFERROR(INDEX('Revisão_Gemini'!$H$7:$H$456,MATCH($A199,'Revisão_Gemini'!$A$7:$A$456,0))&amp;"","")</f>
        <v>Excluir</v>
      </c>
      <c r="H199" s="2" t="str">
        <f t="array" ref="H199">IFERROR(INDEX('Revisão_ChatGPT'!$H$7:$H$456,MATCH($A199,'Revisão_ChatGPT'!$A$7:$A$456,0))&amp;"","")</f>
        <v>Excluir</v>
      </c>
      <c r="I199" s="2" t="str">
        <f t="shared" si="1"/>
        <v>3/3</v>
      </c>
      <c r="J199" s="21"/>
      <c r="K199" s="21"/>
      <c r="L199" s="21"/>
      <c r="M199" s="22" t="b">
        <f t="shared" si="2"/>
        <v>0</v>
      </c>
      <c r="N199" s="21" t="s">
        <v>3255</v>
      </c>
      <c r="O199" s="2" t="str">
        <f t="shared" si="3"/>
        <v>Fora do recorte anual + Excluir</v>
      </c>
      <c r="P199" s="2" t="str">
        <f t="array" ref="P199">IF(O199&lt;&gt;"Incluir","",IF(K199&lt;&gt;"",K199,IF(IFERROR(INDEX(Triagem!$J$2:$J$451,MATCH($A199,Triagem!$A$2:$A$451,0))&amp;"","")&lt;&gt;"",IFERROR(INDEX(Triagem!$J$2:$J$451,MATCH($A199,Triagem!$A$2:$A$451,0))&amp;"",""),IF(IFERROR(INDEX('Revisão_Gemini'!$I$7:$I$456,MATCH($A199,'Revisão_Gemini'!$A$7:$A$456,0))&amp;"","")&lt;&gt;"",IFERROR(INDEX('Revisão_Gemini'!$I$7:$I$456,MATCH($A199,'Revisão_Gemini'!$A$7:$A$456,0))&amp;"",""),IFERROR(INDEX('Revisão_ChatGPT'!$I$7:$I$456,MATCH($A199,'Revisão_ChatGPT'!$A$7:$A$456,0))&amp;"","")))))</f>
        <v/>
      </c>
      <c r="Q199" s="2" t="str">
        <f t="array" ref="Q199">IF(O199&lt;&gt;"Excluir","",IF(L199&lt;&gt;"",L199,IF(F199="Excluir",IFERROR(INDEX(Triagem!$K$2:$K$451,MATCH($A199,Triagem!$A$2:$A$451,0))&amp;"",""),IF(G199="Excluir",IFERROR(INDEX('Revisão_Gemini'!$J$7:$J$456,MATCH($A199,'Revisão_Gemini'!$A$7:$A$456,0))&amp;"",""),IFERROR(INDEX('Revisão_ChatGPT'!$J$7:$J$456,MATCH($A199,'Revisão_ChatGPT'!$A$7:$A$456,0))&amp;"","")))))</f>
        <v/>
      </c>
    </row>
    <row r="200" ht="15.75" customHeight="1">
      <c r="A200" s="2" t="s">
        <v>443</v>
      </c>
      <c r="B200" s="19" t="str">
        <f t="array" ref="B200">INDEX(Triagem!$N$2:$N451 , MATCH(A200,Triagem!$A$2:$A451,0))</f>
        <v>abrir</v>
      </c>
      <c r="C200" s="20">
        <f t="array" ref="C200">INDEX(Triagem!$B$2:$B451 , MATCH(A200,Triagem!$A$2:$A451,0))</f>
        <v>2017</v>
      </c>
      <c r="D200" s="2" t="s">
        <v>445</v>
      </c>
      <c r="E200" s="2" t="s">
        <v>446</v>
      </c>
      <c r="F200" s="2" t="str">
        <f t="array" ref="F200">IFERROR(INDEX(Triagem!$I$2:$I$451,MATCH($A200,Triagem!$A$2:$A$451,0))&amp;"","")</f>
        <v>Incluir</v>
      </c>
      <c r="G200" s="2" t="str">
        <f t="array" ref="G200">IFERROR(INDEX('Revisão_Gemini'!$H$7:$H$456,MATCH($A200,'Revisão_Gemini'!$A$7:$A$456,0))&amp;"","")</f>
        <v>Incluir</v>
      </c>
      <c r="H200" s="2" t="str">
        <f t="array" ref="H200">IFERROR(INDEX('Revisão_ChatGPT'!$H$7:$H$456,MATCH($A200,'Revisão_ChatGPT'!$A$7:$A$456,0))&amp;"","")</f>
        <v>Excluir</v>
      </c>
      <c r="I200" s="2" t="str">
        <f t="shared" si="1"/>
        <v>2/3</v>
      </c>
      <c r="J200" s="21" t="s">
        <v>98</v>
      </c>
      <c r="K200" s="21"/>
      <c r="L200" s="21"/>
      <c r="M200" s="22" t="b">
        <f t="shared" si="2"/>
        <v>0</v>
      </c>
      <c r="N200" s="21" t="s">
        <v>3256</v>
      </c>
      <c r="O200" s="2" t="str">
        <f t="shared" si="3"/>
        <v>Fora do recorte anual + Incluir</v>
      </c>
      <c r="P200" s="2" t="str">
        <f t="array" ref="P200">IF(O200&lt;&gt;"Incluir","",IF(K200&lt;&gt;"",K200,IF(IFERROR(INDEX(Triagem!$J$2:$J$451,MATCH($A200,Triagem!$A$2:$A$451,0))&amp;"","")&lt;&gt;"",IFERROR(INDEX(Triagem!$J$2:$J$451,MATCH($A200,Triagem!$A$2:$A$451,0))&amp;"",""),IF(IFERROR(INDEX('Revisão_Gemini'!$I$7:$I$456,MATCH($A200,'Revisão_Gemini'!$A$7:$A$456,0))&amp;"","")&lt;&gt;"",IFERROR(INDEX('Revisão_Gemini'!$I$7:$I$456,MATCH($A200,'Revisão_Gemini'!$A$7:$A$456,0))&amp;"",""),IFERROR(INDEX('Revisão_ChatGPT'!$I$7:$I$456,MATCH($A200,'Revisão_ChatGPT'!$A$7:$A$456,0))&amp;"","")))))</f>
        <v/>
      </c>
      <c r="Q200" s="2" t="str">
        <f t="array" ref="Q200">IF(O200&lt;&gt;"Excluir","",IF(L200&lt;&gt;"",L200,IF(F200="Excluir",IFERROR(INDEX(Triagem!$K$2:$K$451,MATCH($A200,Triagem!$A$2:$A$451,0))&amp;"",""),IF(G200="Excluir",IFERROR(INDEX('Revisão_Gemini'!$J$7:$J$456,MATCH($A200,'Revisão_Gemini'!$A$7:$A$456,0))&amp;"",""),IFERROR(INDEX('Revisão_ChatGPT'!$J$7:$J$456,MATCH($A200,'Revisão_ChatGPT'!$A$7:$A$456,0))&amp;"","")))))</f>
        <v/>
      </c>
    </row>
    <row r="201" ht="15.75" customHeight="1">
      <c r="A201" s="2" t="s">
        <v>448</v>
      </c>
      <c r="B201" s="19" t="str">
        <f t="array" ref="B201">INDEX(Triagem!$N$2:$N451 , MATCH(A201,Triagem!$A$2:$A451,0))</f>
        <v>abrir</v>
      </c>
      <c r="C201" s="20">
        <f t="array" ref="C201">INDEX(Triagem!$B$2:$B451 , MATCH(A201,Triagem!$A$2:$A451,0))</f>
        <v>2017</v>
      </c>
      <c r="D201" s="2" t="s">
        <v>449</v>
      </c>
      <c r="E201" s="2" t="s">
        <v>450</v>
      </c>
      <c r="F201" s="2" t="str">
        <f t="array" ref="F201">IFERROR(INDEX(Triagem!$I$2:$I$451,MATCH($A201,Triagem!$A$2:$A$451,0))&amp;"","")</f>
        <v>Incluir</v>
      </c>
      <c r="G201" s="2" t="str">
        <f t="array" ref="G201">IFERROR(INDEX('Revisão_Gemini'!$H$7:$H$456,MATCH($A201,'Revisão_Gemini'!$A$7:$A$456,0))&amp;"","")</f>
        <v>Incluir</v>
      </c>
      <c r="H201" s="2" t="str">
        <f t="array" ref="H201">IFERROR(INDEX('Revisão_ChatGPT'!$H$7:$H$456,MATCH($A201,'Revisão_ChatGPT'!$A$7:$A$456,0))&amp;"","")</f>
        <v>Excluir</v>
      </c>
      <c r="I201" s="2" t="str">
        <f t="shared" si="1"/>
        <v>2/3</v>
      </c>
      <c r="J201" s="21" t="s">
        <v>98</v>
      </c>
      <c r="K201" s="21"/>
      <c r="L201" s="21"/>
      <c r="M201" s="22" t="b">
        <f t="shared" si="2"/>
        <v>0</v>
      </c>
      <c r="N201" s="21" t="s">
        <v>3257</v>
      </c>
      <c r="O201" s="2" t="str">
        <f t="shared" si="3"/>
        <v>Fora do recorte anual + Incluir</v>
      </c>
      <c r="P201" s="2" t="str">
        <f t="array" ref="P201">IF(O201&lt;&gt;"Incluir","",IF(K201&lt;&gt;"",K201,IF(IFERROR(INDEX(Triagem!$J$2:$J$451,MATCH($A201,Triagem!$A$2:$A$451,0))&amp;"","")&lt;&gt;"",IFERROR(INDEX(Triagem!$J$2:$J$451,MATCH($A201,Triagem!$A$2:$A$451,0))&amp;"",""),IF(IFERROR(INDEX('Revisão_Gemini'!$I$7:$I$456,MATCH($A201,'Revisão_Gemini'!$A$7:$A$456,0))&amp;"","")&lt;&gt;"",IFERROR(INDEX('Revisão_Gemini'!$I$7:$I$456,MATCH($A201,'Revisão_Gemini'!$A$7:$A$456,0))&amp;"",""),IFERROR(INDEX('Revisão_ChatGPT'!$I$7:$I$456,MATCH($A201,'Revisão_ChatGPT'!$A$7:$A$456,0))&amp;"","")))))</f>
        <v/>
      </c>
      <c r="Q201" s="2" t="str">
        <f t="array" ref="Q201">IF(O201&lt;&gt;"Excluir","",IF(L201&lt;&gt;"",L201,IF(F201="Excluir",IFERROR(INDEX(Triagem!$K$2:$K$451,MATCH($A201,Triagem!$A$2:$A$451,0))&amp;"",""),IF(G201="Excluir",IFERROR(INDEX('Revisão_Gemini'!$J$7:$J$456,MATCH($A201,'Revisão_Gemini'!$A$7:$A$456,0))&amp;"",""),IFERROR(INDEX('Revisão_ChatGPT'!$J$7:$J$456,MATCH($A201,'Revisão_ChatGPT'!$A$7:$A$456,0))&amp;"","")))))</f>
        <v/>
      </c>
    </row>
    <row r="202" ht="15.75" customHeight="1">
      <c r="A202" s="2" t="s">
        <v>1313</v>
      </c>
      <c r="B202" s="19" t="str">
        <f t="array" ref="B202">INDEX(Triagem!$N$2:$N451 , MATCH(A202,Triagem!$A$2:$A451,0))</f>
        <v>abrir</v>
      </c>
      <c r="C202" s="20">
        <f t="array" ref="C202">INDEX(Triagem!$B$2:$B451 , MATCH(A202,Triagem!$A$2:$A451,0))</f>
        <v>2017</v>
      </c>
      <c r="D202" s="2" t="s">
        <v>1315</v>
      </c>
      <c r="E202" s="2" t="s">
        <v>1316</v>
      </c>
      <c r="F202" s="2" t="str">
        <f t="array" ref="F202">IFERROR(INDEX(Triagem!$I$2:$I$451,MATCH($A202,Triagem!$A$2:$A$451,0))&amp;"","")</f>
        <v>Excluir</v>
      </c>
      <c r="G202" s="2" t="str">
        <f t="array" ref="G202">IFERROR(INDEX('Revisão_Gemini'!$H$7:$H$456,MATCH($A202,'Revisão_Gemini'!$A$7:$A$456,0))&amp;"","")</f>
        <v>Excluir</v>
      </c>
      <c r="H202" s="2" t="str">
        <f t="array" ref="H202">IFERROR(INDEX('Revisão_ChatGPT'!$H$7:$H$456,MATCH($A202,'Revisão_ChatGPT'!$A$7:$A$456,0))&amp;"","")</f>
        <v>Excluir</v>
      </c>
      <c r="I202" s="2" t="str">
        <f t="shared" si="1"/>
        <v>3/3</v>
      </c>
      <c r="J202" s="21"/>
      <c r="K202" s="21"/>
      <c r="L202" s="21"/>
      <c r="M202" s="22" t="b">
        <f t="shared" si="2"/>
        <v>0</v>
      </c>
      <c r="N202" s="21" t="s">
        <v>3258</v>
      </c>
      <c r="O202" s="2" t="str">
        <f t="shared" si="3"/>
        <v>Fora do recorte anual + Excluir</v>
      </c>
      <c r="P202" s="2" t="str">
        <f t="array" ref="P202">IF(O202&lt;&gt;"Incluir","",IF(K202&lt;&gt;"",K202,IF(IFERROR(INDEX(Triagem!$J$2:$J$451,MATCH($A202,Triagem!$A$2:$A$451,0))&amp;"","")&lt;&gt;"",IFERROR(INDEX(Triagem!$J$2:$J$451,MATCH($A202,Triagem!$A$2:$A$451,0))&amp;"",""),IF(IFERROR(INDEX('Revisão_Gemini'!$I$7:$I$456,MATCH($A202,'Revisão_Gemini'!$A$7:$A$456,0))&amp;"","")&lt;&gt;"",IFERROR(INDEX('Revisão_Gemini'!$I$7:$I$456,MATCH($A202,'Revisão_Gemini'!$A$7:$A$456,0))&amp;"",""),IFERROR(INDEX('Revisão_ChatGPT'!$I$7:$I$456,MATCH($A202,'Revisão_ChatGPT'!$A$7:$A$456,0))&amp;"","")))))</f>
        <v/>
      </c>
      <c r="Q202" s="2" t="str">
        <f t="array" ref="Q202">IF(O202&lt;&gt;"Excluir","",IF(L202&lt;&gt;"",L202,IF(F202="Excluir",IFERROR(INDEX(Triagem!$K$2:$K$451,MATCH($A202,Triagem!$A$2:$A$451,0))&amp;"",""),IF(G202="Excluir",IFERROR(INDEX('Revisão_Gemini'!$J$7:$J$456,MATCH($A202,'Revisão_Gemini'!$A$7:$A$456,0))&amp;"",""),IFERROR(INDEX('Revisão_ChatGPT'!$J$7:$J$456,MATCH($A202,'Revisão_ChatGPT'!$A$7:$A$456,0))&amp;"","")))))</f>
        <v/>
      </c>
    </row>
    <row r="203" ht="15.75" customHeight="1">
      <c r="A203" s="2" t="s">
        <v>786</v>
      </c>
      <c r="B203" s="19" t="str">
        <f t="array" ref="B203">INDEX(Triagem!$N$2:$N451 , MATCH(A203,Triagem!$A$2:$A451,0))</f>
        <v>abrir</v>
      </c>
      <c r="C203" s="20">
        <f t="array" ref="C203">INDEX(Triagem!$B$2:$B451 , MATCH(A203,Triagem!$A$2:$A451,0))</f>
        <v>2018</v>
      </c>
      <c r="D203" s="2" t="s">
        <v>788</v>
      </c>
      <c r="E203" s="2" t="s">
        <v>789</v>
      </c>
      <c r="F203" s="2" t="str">
        <f t="array" ref="F203">IFERROR(INDEX(Triagem!$I$2:$I$451,MATCH($A203,Triagem!$A$2:$A$451,0))&amp;"","")</f>
        <v>Apoio</v>
      </c>
      <c r="G203" s="2" t="str">
        <f t="array" ref="G203">IFERROR(INDEX('Revisão_Gemini'!$H$7:$H$456,MATCH($A203,'Revisão_Gemini'!$A$7:$A$456,0))&amp;"","")</f>
        <v>Apoio</v>
      </c>
      <c r="H203" s="2" t="str">
        <f t="array" ref="H203">IFERROR(INDEX('Revisão_ChatGPT'!$H$7:$H$456,MATCH($A203,'Revisão_ChatGPT'!$A$7:$A$456,0))&amp;"","")</f>
        <v>Apoio</v>
      </c>
      <c r="I203" s="2" t="str">
        <f t="shared" si="1"/>
        <v>3/3</v>
      </c>
      <c r="J203" s="21"/>
      <c r="K203" s="21"/>
      <c r="L203" s="21"/>
      <c r="M203" s="22" t="b">
        <f t="shared" si="2"/>
        <v>0</v>
      </c>
      <c r="N203" s="21"/>
      <c r="O203" s="2" t="str">
        <f t="shared" si="3"/>
        <v>Fora do recorte anual + Apoio</v>
      </c>
      <c r="P203" s="2" t="str">
        <f t="array" ref="P203">IF(O203&lt;&gt;"Incluir","",IF(K203&lt;&gt;"",K203,IF(IFERROR(INDEX(Triagem!$J$2:$J$451,MATCH($A203,Triagem!$A$2:$A$451,0))&amp;"","")&lt;&gt;"",IFERROR(INDEX(Triagem!$J$2:$J$451,MATCH($A203,Triagem!$A$2:$A$451,0))&amp;"",""),IF(IFERROR(INDEX('Revisão_Gemini'!$I$7:$I$456,MATCH($A203,'Revisão_Gemini'!$A$7:$A$456,0))&amp;"","")&lt;&gt;"",IFERROR(INDEX('Revisão_Gemini'!$I$7:$I$456,MATCH($A203,'Revisão_Gemini'!$A$7:$A$456,0))&amp;"",""),IFERROR(INDEX('Revisão_ChatGPT'!$I$7:$I$456,MATCH($A203,'Revisão_ChatGPT'!$A$7:$A$456,0))&amp;"","")))))</f>
        <v/>
      </c>
      <c r="Q203" s="2" t="str">
        <f t="array" ref="Q203">IF(O203&lt;&gt;"Excluir","",IF(L203&lt;&gt;"",L203,IF(F203="Excluir",IFERROR(INDEX(Triagem!$K$2:$K$451,MATCH($A203,Triagem!$A$2:$A$451,0))&amp;"",""),IF(G203="Excluir",IFERROR(INDEX('Revisão_Gemini'!$J$7:$J$456,MATCH($A203,'Revisão_Gemini'!$A$7:$A$456,0))&amp;"",""),IFERROR(INDEX('Revisão_ChatGPT'!$J$7:$J$456,MATCH($A203,'Revisão_ChatGPT'!$A$7:$A$456,0))&amp;"","")))))</f>
        <v/>
      </c>
    </row>
    <row r="204" ht="15.75" customHeight="1">
      <c r="A204" s="2" t="s">
        <v>451</v>
      </c>
      <c r="B204" s="19" t="str">
        <f t="array" ref="B204">INDEX(Triagem!$N$2:$N451 , MATCH(A204,Triagem!$A$2:$A451,0))</f>
        <v>abrir</v>
      </c>
      <c r="C204" s="20">
        <f t="array" ref="C204">INDEX(Triagem!$B$2:$B451 , MATCH(A204,Triagem!$A$2:$A451,0))</f>
        <v>2017</v>
      </c>
      <c r="D204" s="2" t="s">
        <v>453</v>
      </c>
      <c r="E204" s="2" t="s">
        <v>454</v>
      </c>
      <c r="F204" s="2" t="str">
        <f t="array" ref="F204">IFERROR(INDEX(Triagem!$I$2:$I$451,MATCH($A204,Triagem!$A$2:$A$451,0))&amp;"","")</f>
        <v>Incluir</v>
      </c>
      <c r="G204" s="2" t="str">
        <f t="array" ref="G204">IFERROR(INDEX('Revisão_Gemini'!$H$7:$H$456,MATCH($A204,'Revisão_Gemini'!$A$7:$A$456,0))&amp;"","")</f>
        <v>Incluir</v>
      </c>
      <c r="H204" s="2" t="str">
        <f t="array" ref="H204">IFERROR(INDEX('Revisão_ChatGPT'!$H$7:$H$456,MATCH($A204,'Revisão_ChatGPT'!$A$7:$A$456,0))&amp;"","")</f>
        <v>Incluir</v>
      </c>
      <c r="I204" s="2" t="str">
        <f t="shared" si="1"/>
        <v>3/3</v>
      </c>
      <c r="J204" s="21"/>
      <c r="K204" s="21"/>
      <c r="L204" s="21"/>
      <c r="M204" s="22" t="b">
        <f t="shared" si="2"/>
        <v>0</v>
      </c>
      <c r="N204" s="21"/>
      <c r="O204" s="2" t="str">
        <f t="shared" si="3"/>
        <v>Fora do recorte anual + Incluir</v>
      </c>
      <c r="P204" s="2" t="str">
        <f t="array" ref="P204">IF(O204&lt;&gt;"Incluir","",IF(K204&lt;&gt;"",K204,IF(IFERROR(INDEX(Triagem!$J$2:$J$451,MATCH($A204,Triagem!$A$2:$A$451,0))&amp;"","")&lt;&gt;"",IFERROR(INDEX(Triagem!$J$2:$J$451,MATCH($A204,Triagem!$A$2:$A$451,0))&amp;"",""),IF(IFERROR(INDEX('Revisão_Gemini'!$I$7:$I$456,MATCH($A204,'Revisão_Gemini'!$A$7:$A$456,0))&amp;"","")&lt;&gt;"",IFERROR(INDEX('Revisão_Gemini'!$I$7:$I$456,MATCH($A204,'Revisão_Gemini'!$A$7:$A$456,0))&amp;"",""),IFERROR(INDEX('Revisão_ChatGPT'!$I$7:$I$456,MATCH($A204,'Revisão_ChatGPT'!$A$7:$A$456,0))&amp;"","")))))</f>
        <v/>
      </c>
      <c r="Q204" s="2" t="str">
        <f t="array" ref="Q204">IF(O204&lt;&gt;"Excluir","",IF(L204&lt;&gt;"",L204,IF(F204="Excluir",IFERROR(INDEX(Triagem!$K$2:$K$451,MATCH($A204,Triagem!$A$2:$A$451,0))&amp;"",""),IF(G204="Excluir",IFERROR(INDEX('Revisão_Gemini'!$J$7:$J$456,MATCH($A204,'Revisão_Gemini'!$A$7:$A$456,0))&amp;"",""),IFERROR(INDEX('Revisão_ChatGPT'!$J$7:$J$456,MATCH($A204,'Revisão_ChatGPT'!$A$7:$A$456,0))&amp;"","")))))</f>
        <v/>
      </c>
    </row>
    <row r="205" ht="15.75" customHeight="1">
      <c r="A205" s="2" t="s">
        <v>792</v>
      </c>
      <c r="B205" s="19" t="str">
        <f t="array" ref="B205">INDEX(Triagem!$N$2:$N451 , MATCH(A205,Triagem!$A$2:$A451,0))</f>
        <v>abrir</v>
      </c>
      <c r="C205" s="20">
        <f t="array" ref="C205">INDEX(Triagem!$B$2:$B451 , MATCH(A205,Triagem!$A$2:$A451,0))</f>
        <v>2017</v>
      </c>
      <c r="D205" s="2" t="s">
        <v>794</v>
      </c>
      <c r="E205" s="2" t="s">
        <v>795</v>
      </c>
      <c r="F205" s="2" t="str">
        <f t="array" ref="F205">IFERROR(INDEX(Triagem!$I$2:$I$451,MATCH($A205,Triagem!$A$2:$A$451,0))&amp;"","")</f>
        <v>Apoio</v>
      </c>
      <c r="G205" s="2" t="str">
        <f t="array" ref="G205">IFERROR(INDEX('Revisão_Gemini'!$H$7:$H$456,MATCH($A205,'Revisão_Gemini'!$A$7:$A$456,0))&amp;"","")</f>
        <v>Apoio</v>
      </c>
      <c r="H205" s="2" t="str">
        <f t="array" ref="H205">IFERROR(INDEX('Revisão_ChatGPT'!$H$7:$H$456,MATCH($A205,'Revisão_ChatGPT'!$A$7:$A$456,0))&amp;"","")</f>
        <v>Apoio</v>
      </c>
      <c r="I205" s="2" t="str">
        <f t="shared" si="1"/>
        <v>3/3</v>
      </c>
      <c r="J205" s="21"/>
      <c r="K205" s="21"/>
      <c r="L205" s="21"/>
      <c r="M205" s="22" t="b">
        <f t="shared" si="2"/>
        <v>0</v>
      </c>
      <c r="N205" s="21"/>
      <c r="O205" s="2" t="str">
        <f t="shared" si="3"/>
        <v>Fora do recorte anual + Apoio</v>
      </c>
      <c r="P205" s="2" t="str">
        <f t="array" ref="P205">IF(O205&lt;&gt;"Incluir","",IF(K205&lt;&gt;"",K205,IF(IFERROR(INDEX(Triagem!$J$2:$J$451,MATCH($A205,Triagem!$A$2:$A$451,0))&amp;"","")&lt;&gt;"",IFERROR(INDEX(Triagem!$J$2:$J$451,MATCH($A205,Triagem!$A$2:$A$451,0))&amp;"",""),IF(IFERROR(INDEX('Revisão_Gemini'!$I$7:$I$456,MATCH($A205,'Revisão_Gemini'!$A$7:$A$456,0))&amp;"","")&lt;&gt;"",IFERROR(INDEX('Revisão_Gemini'!$I$7:$I$456,MATCH($A205,'Revisão_Gemini'!$A$7:$A$456,0))&amp;"",""),IFERROR(INDEX('Revisão_ChatGPT'!$I$7:$I$456,MATCH($A205,'Revisão_ChatGPT'!$A$7:$A$456,0))&amp;"","")))))</f>
        <v/>
      </c>
      <c r="Q205" s="2" t="str">
        <f t="array" ref="Q205">IF(O205&lt;&gt;"Excluir","",IF(L205&lt;&gt;"",L205,IF(F205="Excluir",IFERROR(INDEX(Triagem!$K$2:$K$451,MATCH($A205,Triagem!$A$2:$A$451,0))&amp;"",""),IF(G205="Excluir",IFERROR(INDEX('Revisão_Gemini'!$J$7:$J$456,MATCH($A205,'Revisão_Gemini'!$A$7:$A$456,0))&amp;"",""),IFERROR(INDEX('Revisão_ChatGPT'!$J$7:$J$456,MATCH($A205,'Revisão_ChatGPT'!$A$7:$A$456,0))&amp;"","")))))</f>
        <v/>
      </c>
    </row>
    <row r="206" ht="15.75" customHeight="1">
      <c r="A206" s="2" t="s">
        <v>1723</v>
      </c>
      <c r="B206" s="19" t="str">
        <f t="array" ref="B206">INDEX(Triagem!$N$2:$N451 , MATCH(A206,Triagem!$A$2:$A451,0))</f>
        <v>abrir</v>
      </c>
      <c r="C206" s="20">
        <f t="array" ref="C206">INDEX(Triagem!$B$2:$B451 , MATCH(A206,Triagem!$A$2:$A451,0))</f>
        <v>2017</v>
      </c>
      <c r="D206" s="2" t="s">
        <v>1725</v>
      </c>
      <c r="E206" s="2" t="s">
        <v>1726</v>
      </c>
      <c r="F206" s="2" t="str">
        <f t="array" ref="F206">IFERROR(INDEX(Triagem!$I$2:$I$451,MATCH($A206,Triagem!$A$2:$A$451,0))&amp;"","")</f>
        <v>Excluir</v>
      </c>
      <c r="G206" s="2" t="str">
        <f t="array" ref="G206">IFERROR(INDEX('Revisão_Gemini'!$H$7:$H$456,MATCH($A206,'Revisão_Gemini'!$A$7:$A$456,0))&amp;"","")</f>
        <v>Excluir</v>
      </c>
      <c r="H206" s="2" t="str">
        <f t="array" ref="H206">IFERROR(INDEX('Revisão_ChatGPT'!$H$7:$H$456,MATCH($A206,'Revisão_ChatGPT'!$A$7:$A$456,0))&amp;"","")</f>
        <v>Excluir</v>
      </c>
      <c r="I206" s="2" t="str">
        <f t="shared" si="1"/>
        <v>3/3</v>
      </c>
      <c r="J206" s="21"/>
      <c r="K206" s="21"/>
      <c r="L206" s="21"/>
      <c r="M206" s="22" t="b">
        <f t="shared" si="2"/>
        <v>0</v>
      </c>
      <c r="N206" s="21" t="s">
        <v>3259</v>
      </c>
      <c r="O206" s="2" t="str">
        <f t="shared" si="3"/>
        <v>Fora do recorte anual + Excluir</v>
      </c>
      <c r="P206" s="2" t="str">
        <f t="array" ref="P206">IF(O206&lt;&gt;"Incluir","",IF(K206&lt;&gt;"",K206,IF(IFERROR(INDEX(Triagem!$J$2:$J$451,MATCH($A206,Triagem!$A$2:$A$451,0))&amp;"","")&lt;&gt;"",IFERROR(INDEX(Triagem!$J$2:$J$451,MATCH($A206,Triagem!$A$2:$A$451,0))&amp;"",""),IF(IFERROR(INDEX('Revisão_Gemini'!$I$7:$I$456,MATCH($A206,'Revisão_Gemini'!$A$7:$A$456,0))&amp;"","")&lt;&gt;"",IFERROR(INDEX('Revisão_Gemini'!$I$7:$I$456,MATCH($A206,'Revisão_Gemini'!$A$7:$A$456,0))&amp;"",""),IFERROR(INDEX('Revisão_ChatGPT'!$I$7:$I$456,MATCH($A206,'Revisão_ChatGPT'!$A$7:$A$456,0))&amp;"","")))))</f>
        <v/>
      </c>
      <c r="Q206" s="2" t="str">
        <f t="array" ref="Q206">IF(O206&lt;&gt;"Excluir","",IF(L206&lt;&gt;"",L206,IF(F206="Excluir",IFERROR(INDEX(Triagem!$K$2:$K$451,MATCH($A206,Triagem!$A$2:$A$451,0))&amp;"",""),IF(G206="Excluir",IFERROR(INDEX('Revisão_Gemini'!$J$7:$J$456,MATCH($A206,'Revisão_Gemini'!$A$7:$A$456,0))&amp;"",""),IFERROR(INDEX('Revisão_ChatGPT'!$J$7:$J$456,MATCH($A206,'Revisão_ChatGPT'!$A$7:$A$456,0))&amp;"","")))))</f>
        <v/>
      </c>
    </row>
    <row r="207" ht="15.75" customHeight="1">
      <c r="A207" s="2" t="s">
        <v>1318</v>
      </c>
      <c r="B207" s="19" t="str">
        <f t="array" ref="B207">INDEX(Triagem!$N$2:$N451 , MATCH(A207,Triagem!$A$2:$A451,0))</f>
        <v>abrir</v>
      </c>
      <c r="C207" s="20">
        <f t="array" ref="C207">INDEX(Triagem!$B$2:$B451 , MATCH(A207,Triagem!$A$2:$A451,0))</f>
        <v>2017</v>
      </c>
      <c r="D207" s="2" t="s">
        <v>1320</v>
      </c>
      <c r="E207" s="2" t="s">
        <v>1321</v>
      </c>
      <c r="F207" s="2" t="str">
        <f t="array" ref="F207">IFERROR(INDEX(Triagem!$I$2:$I$451,MATCH($A207,Triagem!$A$2:$A$451,0))&amp;"","")</f>
        <v>Excluir</v>
      </c>
      <c r="G207" s="2" t="str">
        <f t="array" ref="G207">IFERROR(INDEX('Revisão_Gemini'!$H$7:$H$456,MATCH($A207,'Revisão_Gemini'!$A$7:$A$456,0))&amp;"","")</f>
        <v>Excluir</v>
      </c>
      <c r="H207" s="2" t="str">
        <f t="array" ref="H207">IFERROR(INDEX('Revisão_ChatGPT'!$H$7:$H$456,MATCH($A207,'Revisão_ChatGPT'!$A$7:$A$456,0))&amp;"","")</f>
        <v>Excluir</v>
      </c>
      <c r="I207" s="2" t="str">
        <f t="shared" si="1"/>
        <v>3/3</v>
      </c>
      <c r="J207" s="21"/>
      <c r="K207" s="21"/>
      <c r="L207" s="21"/>
      <c r="M207" s="22" t="b">
        <f t="shared" si="2"/>
        <v>0</v>
      </c>
      <c r="N207" s="21" t="s">
        <v>3260</v>
      </c>
      <c r="O207" s="2" t="str">
        <f t="shared" si="3"/>
        <v>Fora do recorte anual + Excluir</v>
      </c>
      <c r="P207" s="2" t="str">
        <f t="array" ref="P207">IF(O207&lt;&gt;"Incluir","",IF(K207&lt;&gt;"",K207,IF(IFERROR(INDEX(Triagem!$J$2:$J$451,MATCH($A207,Triagem!$A$2:$A$451,0))&amp;"","")&lt;&gt;"",IFERROR(INDEX(Triagem!$J$2:$J$451,MATCH($A207,Triagem!$A$2:$A$451,0))&amp;"",""),IF(IFERROR(INDEX('Revisão_Gemini'!$I$7:$I$456,MATCH($A207,'Revisão_Gemini'!$A$7:$A$456,0))&amp;"","")&lt;&gt;"",IFERROR(INDEX('Revisão_Gemini'!$I$7:$I$456,MATCH($A207,'Revisão_Gemini'!$A$7:$A$456,0))&amp;"",""),IFERROR(INDEX('Revisão_ChatGPT'!$I$7:$I$456,MATCH($A207,'Revisão_ChatGPT'!$A$7:$A$456,0))&amp;"","")))))</f>
        <v/>
      </c>
      <c r="Q207" s="2" t="str">
        <f t="array" ref="Q207">IF(O207&lt;&gt;"Excluir","",IF(L207&lt;&gt;"",L207,IF(F207="Excluir",IFERROR(INDEX(Triagem!$K$2:$K$451,MATCH($A207,Triagem!$A$2:$A$451,0))&amp;"",""),IF(G207="Excluir",IFERROR(INDEX('Revisão_Gemini'!$J$7:$J$456,MATCH($A207,'Revisão_Gemini'!$A$7:$A$456,0))&amp;"",""),IFERROR(INDEX('Revisão_ChatGPT'!$J$7:$J$456,MATCH($A207,'Revisão_ChatGPT'!$A$7:$A$456,0))&amp;"","")))))</f>
        <v/>
      </c>
    </row>
    <row r="208" ht="15.75" customHeight="1">
      <c r="A208" s="2" t="s">
        <v>455</v>
      </c>
      <c r="B208" s="19" t="str">
        <f t="array" ref="B208">INDEX(Triagem!$N$2:$N451 , MATCH(A208,Triagem!$A$2:$A451,0))</f>
        <v>abrir</v>
      </c>
      <c r="C208" s="20">
        <f t="array" ref="C208">INDEX(Triagem!$B$2:$B451 , MATCH(A208,Triagem!$A$2:$A451,0))</f>
        <v>2017</v>
      </c>
      <c r="D208" s="2" t="s">
        <v>457</v>
      </c>
      <c r="E208" s="2" t="s">
        <v>458</v>
      </c>
      <c r="F208" s="2" t="str">
        <f t="array" ref="F208">IFERROR(INDEX(Triagem!$I$2:$I$451,MATCH($A208,Triagem!$A$2:$A$451,0))&amp;"","")</f>
        <v>Incluir</v>
      </c>
      <c r="G208" s="2" t="str">
        <f t="array" ref="G208">IFERROR(INDEX('Revisão_Gemini'!$H$7:$H$456,MATCH($A208,'Revisão_Gemini'!$A$7:$A$456,0))&amp;"","")</f>
        <v>Incluir</v>
      </c>
      <c r="H208" s="2" t="str">
        <f t="array" ref="H208">IFERROR(INDEX('Revisão_ChatGPT'!$H$7:$H$456,MATCH($A208,'Revisão_ChatGPT'!$A$7:$A$456,0))&amp;"","")</f>
        <v>Incluir</v>
      </c>
      <c r="I208" s="2" t="str">
        <f t="shared" si="1"/>
        <v>3/3</v>
      </c>
      <c r="J208" s="21"/>
      <c r="K208" s="21"/>
      <c r="L208" s="21"/>
      <c r="M208" s="22" t="b">
        <f t="shared" si="2"/>
        <v>0</v>
      </c>
      <c r="N208" s="21" t="s">
        <v>3261</v>
      </c>
      <c r="O208" s="2" t="str">
        <f t="shared" si="3"/>
        <v>Fora do recorte anual + Incluir</v>
      </c>
      <c r="P208" s="2" t="str">
        <f t="array" ref="P208">IF(O208&lt;&gt;"Incluir","",IF(K208&lt;&gt;"",K208,IF(IFERROR(INDEX(Triagem!$J$2:$J$451,MATCH($A208,Triagem!$A$2:$A$451,0))&amp;"","")&lt;&gt;"",IFERROR(INDEX(Triagem!$J$2:$J$451,MATCH($A208,Triagem!$A$2:$A$451,0))&amp;"",""),IF(IFERROR(INDEX('Revisão_Gemini'!$I$7:$I$456,MATCH($A208,'Revisão_Gemini'!$A$7:$A$456,0))&amp;"","")&lt;&gt;"",IFERROR(INDEX('Revisão_Gemini'!$I$7:$I$456,MATCH($A208,'Revisão_Gemini'!$A$7:$A$456,0))&amp;"",""),IFERROR(INDEX('Revisão_ChatGPT'!$I$7:$I$456,MATCH($A208,'Revisão_ChatGPT'!$A$7:$A$456,0))&amp;"","")))))</f>
        <v/>
      </c>
      <c r="Q208" s="2" t="str">
        <f t="array" ref="Q208">IF(O208&lt;&gt;"Excluir","",IF(L208&lt;&gt;"",L208,IF(F208="Excluir",IFERROR(INDEX(Triagem!$K$2:$K$451,MATCH($A208,Triagem!$A$2:$A$451,0))&amp;"",""),IF(G208="Excluir",IFERROR(INDEX('Revisão_Gemini'!$J$7:$J$456,MATCH($A208,'Revisão_Gemini'!$A$7:$A$456,0))&amp;"",""),IFERROR(INDEX('Revisão_ChatGPT'!$J$7:$J$456,MATCH($A208,'Revisão_ChatGPT'!$A$7:$A$456,0))&amp;"","")))))</f>
        <v/>
      </c>
    </row>
    <row r="209" ht="15.75" customHeight="1">
      <c r="A209" s="2" t="s">
        <v>2150</v>
      </c>
      <c r="B209" s="19" t="str">
        <f t="array" ref="B209">INDEX(Triagem!$N$2:$N451 , MATCH(A209,Triagem!$A$2:$A451,0))</f>
        <v>abrir</v>
      </c>
      <c r="C209" s="20">
        <f t="array" ref="C209">INDEX(Triagem!$B$2:$B451 , MATCH(A209,Triagem!$A$2:$A451,0))</f>
        <v>2017</v>
      </c>
      <c r="D209" s="2" t="s">
        <v>2152</v>
      </c>
      <c r="E209" s="2" t="s">
        <v>2153</v>
      </c>
      <c r="F209" s="2" t="str">
        <f t="array" ref="F209">IFERROR(INDEX(Triagem!$I$2:$I$451,MATCH($A209,Triagem!$A$2:$A$451,0))&amp;"","")</f>
        <v>Excluir</v>
      </c>
      <c r="G209" s="2" t="str">
        <f t="array" ref="G209">IFERROR(INDEX('Revisão_Gemini'!$H$7:$H$456,MATCH($A209,'Revisão_Gemini'!$A$7:$A$456,0))&amp;"","")</f>
        <v>Excluir</v>
      </c>
      <c r="H209" s="2" t="str">
        <f t="array" ref="H209">IFERROR(INDEX('Revisão_ChatGPT'!$H$7:$H$456,MATCH($A209,'Revisão_ChatGPT'!$A$7:$A$456,0))&amp;"","")</f>
        <v>Excluir</v>
      </c>
      <c r="I209" s="2" t="str">
        <f t="shared" si="1"/>
        <v>3/3</v>
      </c>
      <c r="J209" s="21"/>
      <c r="K209" s="21"/>
      <c r="L209" s="21"/>
      <c r="M209" s="22" t="b">
        <f t="shared" si="2"/>
        <v>0</v>
      </c>
      <c r="N209" s="21" t="s">
        <v>3262</v>
      </c>
      <c r="O209" s="2" t="str">
        <f t="shared" si="3"/>
        <v>Fora do recorte anual + Excluir</v>
      </c>
      <c r="P209" s="2" t="str">
        <f t="array" ref="P209">IF(O209&lt;&gt;"Incluir","",IF(K209&lt;&gt;"",K209,IF(IFERROR(INDEX(Triagem!$J$2:$J$451,MATCH($A209,Triagem!$A$2:$A$451,0))&amp;"","")&lt;&gt;"",IFERROR(INDEX(Triagem!$J$2:$J$451,MATCH($A209,Triagem!$A$2:$A$451,0))&amp;"",""),IF(IFERROR(INDEX('Revisão_Gemini'!$I$7:$I$456,MATCH($A209,'Revisão_Gemini'!$A$7:$A$456,0))&amp;"","")&lt;&gt;"",IFERROR(INDEX('Revisão_Gemini'!$I$7:$I$456,MATCH($A209,'Revisão_Gemini'!$A$7:$A$456,0))&amp;"",""),IFERROR(INDEX('Revisão_ChatGPT'!$I$7:$I$456,MATCH($A209,'Revisão_ChatGPT'!$A$7:$A$456,0))&amp;"","")))))</f>
        <v/>
      </c>
      <c r="Q209" s="2" t="str">
        <f t="array" ref="Q209">IF(O209&lt;&gt;"Excluir","",IF(L209&lt;&gt;"",L209,IF(F209="Excluir",IFERROR(INDEX(Triagem!$K$2:$K$451,MATCH($A209,Triagem!$A$2:$A$451,0))&amp;"",""),IF(G209="Excluir",IFERROR(INDEX('Revisão_Gemini'!$J$7:$J$456,MATCH($A209,'Revisão_Gemini'!$A$7:$A$456,0))&amp;"",""),IFERROR(INDEX('Revisão_ChatGPT'!$J$7:$J$456,MATCH($A209,'Revisão_ChatGPT'!$A$7:$A$456,0))&amp;"","")))))</f>
        <v/>
      </c>
    </row>
    <row r="210" ht="15.75" customHeight="1">
      <c r="A210" s="2" t="s">
        <v>798</v>
      </c>
      <c r="B210" s="19" t="str">
        <f t="array" ref="B210">INDEX(Triagem!$N$2:$N451 , MATCH(A210,Triagem!$A$2:$A451,0))</f>
        <v>abrir</v>
      </c>
      <c r="C210" s="20">
        <f t="array" ref="C210">INDEX(Triagem!$B$2:$B451 , MATCH(A210,Triagem!$A$2:$A451,0))</f>
        <v>2017</v>
      </c>
      <c r="D210" s="2" t="s">
        <v>800</v>
      </c>
      <c r="E210" s="2" t="s">
        <v>801</v>
      </c>
      <c r="F210" s="2" t="str">
        <f t="array" ref="F210">IFERROR(INDEX(Triagem!$I$2:$I$451,MATCH($A210,Triagem!$A$2:$A$451,0))&amp;"","")</f>
        <v>Apoio</v>
      </c>
      <c r="G210" s="2" t="str">
        <f t="array" ref="G210">IFERROR(INDEX('Revisão_Gemini'!$H$7:$H$456,MATCH($A210,'Revisão_Gemini'!$A$7:$A$456,0))&amp;"","")</f>
        <v>Apoio</v>
      </c>
      <c r="H210" s="2" t="str">
        <f t="array" ref="H210">IFERROR(INDEX('Revisão_ChatGPT'!$H$7:$H$456,MATCH($A210,'Revisão_ChatGPT'!$A$7:$A$456,0))&amp;"","")</f>
        <v>Apoio</v>
      </c>
      <c r="I210" s="2" t="str">
        <f t="shared" si="1"/>
        <v>3/3</v>
      </c>
      <c r="J210" s="21"/>
      <c r="K210" s="21"/>
      <c r="L210" s="21"/>
      <c r="M210" s="22" t="b">
        <f t="shared" si="2"/>
        <v>0</v>
      </c>
      <c r="N210" s="21"/>
      <c r="O210" s="2" t="str">
        <f t="shared" si="3"/>
        <v>Fora do recorte anual + Apoio</v>
      </c>
      <c r="P210" s="2" t="str">
        <f t="array" ref="P210">IF(O210&lt;&gt;"Incluir","",IF(K210&lt;&gt;"",K210,IF(IFERROR(INDEX(Triagem!$J$2:$J$451,MATCH($A210,Triagem!$A$2:$A$451,0))&amp;"","")&lt;&gt;"",IFERROR(INDEX(Triagem!$J$2:$J$451,MATCH($A210,Triagem!$A$2:$A$451,0))&amp;"",""),IF(IFERROR(INDEX('Revisão_Gemini'!$I$7:$I$456,MATCH($A210,'Revisão_Gemini'!$A$7:$A$456,0))&amp;"","")&lt;&gt;"",IFERROR(INDEX('Revisão_Gemini'!$I$7:$I$456,MATCH($A210,'Revisão_Gemini'!$A$7:$A$456,0))&amp;"",""),IFERROR(INDEX('Revisão_ChatGPT'!$I$7:$I$456,MATCH($A210,'Revisão_ChatGPT'!$A$7:$A$456,0))&amp;"","")))))</f>
        <v/>
      </c>
      <c r="Q210" s="2" t="str">
        <f t="array" ref="Q210">IF(O210&lt;&gt;"Excluir","",IF(L210&lt;&gt;"",L210,IF(F210="Excluir",IFERROR(INDEX(Triagem!$K$2:$K$451,MATCH($A210,Triagem!$A$2:$A$451,0))&amp;"",""),IF(G210="Excluir",IFERROR(INDEX('Revisão_Gemini'!$J$7:$J$456,MATCH($A210,'Revisão_Gemini'!$A$7:$A$456,0))&amp;"",""),IFERROR(INDEX('Revisão_ChatGPT'!$J$7:$J$456,MATCH($A210,'Revisão_ChatGPT'!$A$7:$A$456,0))&amp;"","")))))</f>
        <v/>
      </c>
    </row>
    <row r="211" ht="15.75" customHeight="1">
      <c r="A211" s="2" t="s">
        <v>1296</v>
      </c>
      <c r="B211" s="19" t="str">
        <f t="array" ref="B211">INDEX(Triagem!$N$2:$N451 , MATCH(A211,Triagem!$A$2:$A451,0))</f>
        <v>abrir</v>
      </c>
      <c r="C211" s="20">
        <f t="array" ref="C211">INDEX(Triagem!$B$2:$B451 , MATCH(A211,Triagem!$A$2:$A451,0))</f>
        <v>2018</v>
      </c>
      <c r="D211" s="2" t="s">
        <v>1298</v>
      </c>
      <c r="E211" s="2" t="s">
        <v>1299</v>
      </c>
      <c r="F211" s="2" t="str">
        <f t="array" ref="F211">IFERROR(INDEX(Triagem!$I$2:$I$451,MATCH($A211,Triagem!$A$2:$A$451,0))&amp;"","")</f>
        <v>Excluir</v>
      </c>
      <c r="G211" s="2" t="str">
        <f t="array" ref="G211">IFERROR(INDEX('Revisão_Gemini'!$H$7:$H$456,MATCH($A211,'Revisão_Gemini'!$A$7:$A$456,0))&amp;"","")</f>
        <v>Excluir</v>
      </c>
      <c r="H211" s="2" t="str">
        <f t="array" ref="H211">IFERROR(INDEX('Revisão_ChatGPT'!$H$7:$H$456,MATCH($A211,'Revisão_ChatGPT'!$A$7:$A$456,0))&amp;"","")</f>
        <v>Excluir</v>
      </c>
      <c r="I211" s="2" t="str">
        <f t="shared" si="1"/>
        <v>3/3</v>
      </c>
      <c r="J211" s="21"/>
      <c r="K211" s="21"/>
      <c r="L211" s="21"/>
      <c r="M211" s="22" t="b">
        <f t="shared" si="2"/>
        <v>0</v>
      </c>
      <c r="N211" s="21" t="s">
        <v>3263</v>
      </c>
      <c r="O211" s="2" t="str">
        <f t="shared" si="3"/>
        <v>Fora do recorte anual + Excluir</v>
      </c>
      <c r="P211" s="2" t="str">
        <f t="array" ref="P211">IF(O211&lt;&gt;"Incluir","",IF(K211&lt;&gt;"",K211,IF(IFERROR(INDEX(Triagem!$J$2:$J$451,MATCH($A211,Triagem!$A$2:$A$451,0))&amp;"","")&lt;&gt;"",IFERROR(INDEX(Triagem!$J$2:$J$451,MATCH($A211,Triagem!$A$2:$A$451,0))&amp;"",""),IF(IFERROR(INDEX('Revisão_Gemini'!$I$7:$I$456,MATCH($A211,'Revisão_Gemini'!$A$7:$A$456,0))&amp;"","")&lt;&gt;"",IFERROR(INDEX('Revisão_Gemini'!$I$7:$I$456,MATCH($A211,'Revisão_Gemini'!$A$7:$A$456,0))&amp;"",""),IFERROR(INDEX('Revisão_ChatGPT'!$I$7:$I$456,MATCH($A211,'Revisão_ChatGPT'!$A$7:$A$456,0))&amp;"","")))))</f>
        <v/>
      </c>
      <c r="Q211" s="2" t="str">
        <f t="array" ref="Q211">IF(O211&lt;&gt;"Excluir","",IF(L211&lt;&gt;"",L211,IF(F211="Excluir",IFERROR(INDEX(Triagem!$K$2:$K$451,MATCH($A211,Triagem!$A$2:$A$451,0))&amp;"",""),IF(G211="Excluir",IFERROR(INDEX('Revisão_Gemini'!$J$7:$J$456,MATCH($A211,'Revisão_Gemini'!$A$7:$A$456,0))&amp;"",""),IFERROR(INDEX('Revisão_ChatGPT'!$J$7:$J$456,MATCH($A211,'Revisão_ChatGPT'!$A$7:$A$456,0))&amp;"","")))))</f>
        <v/>
      </c>
    </row>
    <row r="212" ht="15.75" customHeight="1">
      <c r="A212" s="2" t="s">
        <v>2125</v>
      </c>
      <c r="B212" s="19" t="str">
        <f t="array" ref="B212">INDEX(Triagem!$N$2:$N451 , MATCH(A212,Triagem!$A$2:$A451,0))</f>
        <v>abrir</v>
      </c>
      <c r="C212" s="20">
        <f t="array" ref="C212">INDEX(Triagem!$B$2:$B451 , MATCH(A212,Triagem!$A$2:$A451,0))</f>
        <v>2018</v>
      </c>
      <c r="D212" s="2" t="s">
        <v>2127</v>
      </c>
      <c r="E212" s="2" t="s">
        <v>2128</v>
      </c>
      <c r="F212" s="2" t="str">
        <f t="array" ref="F212">IFERROR(INDEX(Triagem!$I$2:$I$451,MATCH($A212,Triagem!$A$2:$A$451,0))&amp;"","")</f>
        <v>Excluir</v>
      </c>
      <c r="G212" s="2" t="str">
        <f t="array" ref="G212">IFERROR(INDEX('Revisão_Gemini'!$H$7:$H$456,MATCH($A212,'Revisão_Gemini'!$A$7:$A$456,0))&amp;"","")</f>
        <v>Apoio</v>
      </c>
      <c r="H212" s="2" t="str">
        <f t="array" ref="H212">IFERROR(INDEX('Revisão_ChatGPT'!$H$7:$H$456,MATCH($A212,'Revisão_ChatGPT'!$A$7:$A$456,0))&amp;"","")</f>
        <v>Excluir</v>
      </c>
      <c r="I212" s="2" t="str">
        <f t="shared" si="1"/>
        <v>2/3</v>
      </c>
      <c r="J212" s="21" t="s">
        <v>694</v>
      </c>
      <c r="K212" s="21"/>
      <c r="L212" s="21"/>
      <c r="M212" s="22" t="b">
        <f t="shared" si="2"/>
        <v>0</v>
      </c>
      <c r="N212" s="21" t="s">
        <v>3264</v>
      </c>
      <c r="O212" s="2" t="str">
        <f t="shared" si="3"/>
        <v>Fora do recorte anual + Apoio</v>
      </c>
      <c r="P212" s="2" t="str">
        <f t="array" ref="P212">IF(O212&lt;&gt;"Incluir","",IF(K212&lt;&gt;"",K212,IF(IFERROR(INDEX(Triagem!$J$2:$J$451,MATCH($A212,Triagem!$A$2:$A$451,0))&amp;"","")&lt;&gt;"",IFERROR(INDEX(Triagem!$J$2:$J$451,MATCH($A212,Triagem!$A$2:$A$451,0))&amp;"",""),IF(IFERROR(INDEX('Revisão_Gemini'!$I$7:$I$456,MATCH($A212,'Revisão_Gemini'!$A$7:$A$456,0))&amp;"","")&lt;&gt;"",IFERROR(INDEX('Revisão_Gemini'!$I$7:$I$456,MATCH($A212,'Revisão_Gemini'!$A$7:$A$456,0))&amp;"",""),IFERROR(INDEX('Revisão_ChatGPT'!$I$7:$I$456,MATCH($A212,'Revisão_ChatGPT'!$A$7:$A$456,0))&amp;"","")))))</f>
        <v/>
      </c>
      <c r="Q212" s="2" t="str">
        <f t="array" ref="Q212">IF(O212&lt;&gt;"Excluir","",IF(L212&lt;&gt;"",L212,IF(F212="Excluir",IFERROR(INDEX(Triagem!$K$2:$K$451,MATCH($A212,Triagem!$A$2:$A$451,0))&amp;"",""),IF(G212="Excluir",IFERROR(INDEX('Revisão_Gemini'!$J$7:$J$456,MATCH($A212,'Revisão_Gemini'!$A$7:$A$456,0))&amp;"",""),IFERROR(INDEX('Revisão_ChatGPT'!$J$7:$J$456,MATCH($A212,'Revisão_ChatGPT'!$A$7:$A$456,0))&amp;"","")))))</f>
        <v/>
      </c>
    </row>
    <row r="213" ht="15.75" customHeight="1">
      <c r="A213" s="2" t="s">
        <v>1727</v>
      </c>
      <c r="B213" s="19" t="str">
        <f t="array" ref="B213">INDEX(Triagem!$N$2:$N451 , MATCH(A213,Triagem!$A$2:$A451,0))</f>
        <v>abrir</v>
      </c>
      <c r="C213" s="20">
        <f t="array" ref="C213">INDEX(Triagem!$B$2:$B451 , MATCH(A213,Triagem!$A$2:$A451,0))</f>
        <v>2017</v>
      </c>
      <c r="D213" s="2" t="s">
        <v>1729</v>
      </c>
      <c r="E213" s="2" t="s">
        <v>1730</v>
      </c>
      <c r="F213" s="2" t="str">
        <f t="array" ref="F213">IFERROR(INDEX(Triagem!$I$2:$I$451,MATCH($A213,Triagem!$A$2:$A$451,0))&amp;"","")</f>
        <v>Excluir</v>
      </c>
      <c r="G213" s="2" t="str">
        <f t="array" ref="G213">IFERROR(INDEX('Revisão_Gemini'!$H$7:$H$456,MATCH($A213,'Revisão_Gemini'!$A$7:$A$456,0))&amp;"","")</f>
        <v>Excluir</v>
      </c>
      <c r="H213" s="2" t="str">
        <f t="array" ref="H213">IFERROR(INDEX('Revisão_ChatGPT'!$H$7:$H$456,MATCH($A213,'Revisão_ChatGPT'!$A$7:$A$456,0))&amp;"","")</f>
        <v>Excluir</v>
      </c>
      <c r="I213" s="2" t="str">
        <f t="shared" si="1"/>
        <v>3/3</v>
      </c>
      <c r="J213" s="21"/>
      <c r="K213" s="21"/>
      <c r="L213" s="21"/>
      <c r="M213" s="22" t="b">
        <f t="shared" si="2"/>
        <v>0</v>
      </c>
      <c r="N213" s="21" t="s">
        <v>3265</v>
      </c>
      <c r="O213" s="2" t="str">
        <f t="shared" si="3"/>
        <v>Fora do recorte anual + Excluir</v>
      </c>
      <c r="P213" s="2" t="str">
        <f t="array" ref="P213">IF(O213&lt;&gt;"Incluir","",IF(K213&lt;&gt;"",K213,IF(IFERROR(INDEX(Triagem!$J$2:$J$451,MATCH($A213,Triagem!$A$2:$A$451,0))&amp;"","")&lt;&gt;"",IFERROR(INDEX(Triagem!$J$2:$J$451,MATCH($A213,Triagem!$A$2:$A$451,0))&amp;"",""),IF(IFERROR(INDEX('Revisão_Gemini'!$I$7:$I$456,MATCH($A213,'Revisão_Gemini'!$A$7:$A$456,0))&amp;"","")&lt;&gt;"",IFERROR(INDEX('Revisão_Gemini'!$I$7:$I$456,MATCH($A213,'Revisão_Gemini'!$A$7:$A$456,0))&amp;"",""),IFERROR(INDEX('Revisão_ChatGPT'!$I$7:$I$456,MATCH($A213,'Revisão_ChatGPT'!$A$7:$A$456,0))&amp;"","")))))</f>
        <v/>
      </c>
      <c r="Q213" s="2" t="str">
        <f t="array" ref="Q213">IF(O213&lt;&gt;"Excluir","",IF(L213&lt;&gt;"",L213,IF(F213="Excluir",IFERROR(INDEX(Triagem!$K$2:$K$451,MATCH($A213,Triagem!$A$2:$A$451,0))&amp;"",""),IF(G213="Excluir",IFERROR(INDEX('Revisão_Gemini'!$J$7:$J$456,MATCH($A213,'Revisão_Gemini'!$A$7:$A$456,0))&amp;"",""),IFERROR(INDEX('Revisão_ChatGPT'!$J$7:$J$456,MATCH($A213,'Revisão_ChatGPT'!$A$7:$A$456,0))&amp;"","")))))</f>
        <v/>
      </c>
    </row>
    <row r="214" ht="15.75" customHeight="1">
      <c r="A214" s="2" t="s">
        <v>1300</v>
      </c>
      <c r="B214" s="19" t="str">
        <f t="array" ref="B214">INDEX(Triagem!$N$2:$N451 , MATCH(A214,Triagem!$A$2:$A451,0))</f>
        <v>abrir</v>
      </c>
      <c r="C214" s="20">
        <f t="array" ref="C214">INDEX(Triagem!$B$2:$B451 , MATCH(A214,Triagem!$A$2:$A451,0))</f>
        <v>2018</v>
      </c>
      <c r="D214" s="2" t="s">
        <v>1302</v>
      </c>
      <c r="E214" s="2" t="s">
        <v>1303</v>
      </c>
      <c r="F214" s="2" t="str">
        <f t="array" ref="F214">IFERROR(INDEX(Triagem!$I$2:$I$451,MATCH($A214,Triagem!$A$2:$A$451,0))&amp;"","")</f>
        <v>Excluir</v>
      </c>
      <c r="G214" s="2" t="str">
        <f t="array" ref="G214">IFERROR(INDEX('Revisão_Gemini'!$H$7:$H$456,MATCH($A214,'Revisão_Gemini'!$A$7:$A$456,0))&amp;"","")</f>
        <v>Excluir</v>
      </c>
      <c r="H214" s="2" t="str">
        <f t="array" ref="H214">IFERROR(INDEX('Revisão_ChatGPT'!$H$7:$H$456,MATCH($A214,'Revisão_ChatGPT'!$A$7:$A$456,0))&amp;"","")</f>
        <v>Excluir</v>
      </c>
      <c r="I214" s="2" t="str">
        <f t="shared" si="1"/>
        <v>3/3</v>
      </c>
      <c r="J214" s="21"/>
      <c r="K214" s="21"/>
      <c r="L214" s="21"/>
      <c r="M214" s="22" t="b">
        <f t="shared" si="2"/>
        <v>0</v>
      </c>
      <c r="N214" s="21" t="s">
        <v>3266</v>
      </c>
      <c r="O214" s="2" t="str">
        <f t="shared" si="3"/>
        <v>Fora do recorte anual + Excluir</v>
      </c>
      <c r="P214" s="2" t="str">
        <f t="array" ref="P214">IF(O214&lt;&gt;"Incluir","",IF(K214&lt;&gt;"",K214,IF(IFERROR(INDEX(Triagem!$J$2:$J$451,MATCH($A214,Triagem!$A$2:$A$451,0))&amp;"","")&lt;&gt;"",IFERROR(INDEX(Triagem!$J$2:$J$451,MATCH($A214,Triagem!$A$2:$A$451,0))&amp;"",""),IF(IFERROR(INDEX('Revisão_Gemini'!$I$7:$I$456,MATCH($A214,'Revisão_Gemini'!$A$7:$A$456,0))&amp;"","")&lt;&gt;"",IFERROR(INDEX('Revisão_Gemini'!$I$7:$I$456,MATCH($A214,'Revisão_Gemini'!$A$7:$A$456,0))&amp;"",""),IFERROR(INDEX('Revisão_ChatGPT'!$I$7:$I$456,MATCH($A214,'Revisão_ChatGPT'!$A$7:$A$456,0))&amp;"","")))))</f>
        <v/>
      </c>
      <c r="Q214" s="2" t="str">
        <f t="array" ref="Q214">IF(O214&lt;&gt;"Excluir","",IF(L214&lt;&gt;"",L214,IF(F214="Excluir",IFERROR(INDEX(Triagem!$K$2:$K$451,MATCH($A214,Triagem!$A$2:$A$451,0))&amp;"",""),IF(G214="Excluir",IFERROR(INDEX('Revisão_Gemini'!$J$7:$J$456,MATCH($A214,'Revisão_Gemini'!$A$7:$A$456,0))&amp;"",""),IFERROR(INDEX('Revisão_ChatGPT'!$J$7:$J$456,MATCH($A214,'Revisão_ChatGPT'!$A$7:$A$456,0))&amp;"","")))))</f>
        <v/>
      </c>
    </row>
    <row r="215" ht="15.75" customHeight="1">
      <c r="A215" s="2" t="s">
        <v>1731</v>
      </c>
      <c r="B215" s="19" t="str">
        <f t="array" ref="B215">INDEX(Triagem!$N$2:$N451 , MATCH(A215,Triagem!$A$2:$A451,0))</f>
        <v>abrir</v>
      </c>
      <c r="C215" s="20">
        <f t="array" ref="C215">INDEX(Triagem!$B$2:$B451 , MATCH(A215,Triagem!$A$2:$A451,0))</f>
        <v>2017</v>
      </c>
      <c r="D215" s="2" t="s">
        <v>1733</v>
      </c>
      <c r="E215" s="2" t="s">
        <v>1734</v>
      </c>
      <c r="F215" s="2" t="str">
        <f t="array" ref="F215">IFERROR(INDEX(Triagem!$I$2:$I$451,MATCH($A215,Triagem!$A$2:$A$451,0))&amp;"","")</f>
        <v>Excluir</v>
      </c>
      <c r="G215" s="2" t="str">
        <f t="array" ref="G215">IFERROR(INDEX('Revisão_Gemini'!$H$7:$H$456,MATCH($A215,'Revisão_Gemini'!$A$7:$A$456,0))&amp;"","")</f>
        <v>Excluir</v>
      </c>
      <c r="H215" s="2" t="str">
        <f t="array" ref="H215">IFERROR(INDEX('Revisão_ChatGPT'!$H$7:$H$456,MATCH($A215,'Revisão_ChatGPT'!$A$7:$A$456,0))&amp;"","")</f>
        <v>Excluir</v>
      </c>
      <c r="I215" s="2" t="str">
        <f t="shared" si="1"/>
        <v>3/3</v>
      </c>
      <c r="J215" s="21"/>
      <c r="K215" s="21"/>
      <c r="L215" s="21"/>
      <c r="M215" s="22" t="b">
        <f t="shared" si="2"/>
        <v>0</v>
      </c>
      <c r="N215" s="21"/>
      <c r="O215" s="2" t="str">
        <f t="shared" si="3"/>
        <v>Fora do recorte anual + Excluir</v>
      </c>
      <c r="P215" s="2" t="str">
        <f t="array" ref="P215">IF(O215&lt;&gt;"Incluir","",IF(K215&lt;&gt;"",K215,IF(IFERROR(INDEX(Triagem!$J$2:$J$451,MATCH($A215,Triagem!$A$2:$A$451,0))&amp;"","")&lt;&gt;"",IFERROR(INDEX(Triagem!$J$2:$J$451,MATCH($A215,Triagem!$A$2:$A$451,0))&amp;"",""),IF(IFERROR(INDEX('Revisão_Gemini'!$I$7:$I$456,MATCH($A215,'Revisão_Gemini'!$A$7:$A$456,0))&amp;"","")&lt;&gt;"",IFERROR(INDEX('Revisão_Gemini'!$I$7:$I$456,MATCH($A215,'Revisão_Gemini'!$A$7:$A$456,0))&amp;"",""),IFERROR(INDEX('Revisão_ChatGPT'!$I$7:$I$456,MATCH($A215,'Revisão_ChatGPT'!$A$7:$A$456,0))&amp;"","")))))</f>
        <v/>
      </c>
      <c r="Q215" s="2" t="str">
        <f t="array" ref="Q215">IF(O215&lt;&gt;"Excluir","",IF(L215&lt;&gt;"",L215,IF(F215="Excluir",IFERROR(INDEX(Triagem!$K$2:$K$451,MATCH($A215,Triagem!$A$2:$A$451,0))&amp;"",""),IF(G215="Excluir",IFERROR(INDEX('Revisão_Gemini'!$J$7:$J$456,MATCH($A215,'Revisão_Gemini'!$A$7:$A$456,0))&amp;"",""),IFERROR(INDEX('Revisão_ChatGPT'!$J$7:$J$456,MATCH($A215,'Revisão_ChatGPT'!$A$7:$A$456,0))&amp;"","")))))</f>
        <v/>
      </c>
    </row>
    <row r="216" ht="15.75" customHeight="1">
      <c r="A216" s="2" t="s">
        <v>1735</v>
      </c>
      <c r="B216" s="19" t="str">
        <f t="array" ref="B216">INDEX(Triagem!$N$2:$N451 , MATCH(A216,Triagem!$A$2:$A451,0))</f>
        <v>abrir</v>
      </c>
      <c r="C216" s="20">
        <f t="array" ref="C216">INDEX(Triagem!$B$2:$B451 , MATCH(A216,Triagem!$A$2:$A451,0))</f>
        <v>2017</v>
      </c>
      <c r="D216" s="2" t="s">
        <v>1737</v>
      </c>
      <c r="E216" s="2" t="s">
        <v>1738</v>
      </c>
      <c r="F216" s="2" t="str">
        <f t="array" ref="F216">IFERROR(INDEX(Triagem!$I$2:$I$451,MATCH($A216,Triagem!$A$2:$A$451,0))&amp;"","")</f>
        <v>Excluir</v>
      </c>
      <c r="G216" s="2" t="str">
        <f t="array" ref="G216">IFERROR(INDEX('Revisão_Gemini'!$H$7:$H$456,MATCH($A216,'Revisão_Gemini'!$A$7:$A$456,0))&amp;"","")</f>
        <v>Excluir</v>
      </c>
      <c r="H216" s="2" t="str">
        <f t="array" ref="H216">IFERROR(INDEX('Revisão_ChatGPT'!$H$7:$H$456,MATCH($A216,'Revisão_ChatGPT'!$A$7:$A$456,0))&amp;"","")</f>
        <v>Excluir</v>
      </c>
      <c r="I216" s="2" t="str">
        <f t="shared" si="1"/>
        <v>3/3</v>
      </c>
      <c r="J216" s="21"/>
      <c r="K216" s="21"/>
      <c r="L216" s="21"/>
      <c r="M216" s="22" t="b">
        <f t="shared" si="2"/>
        <v>0</v>
      </c>
      <c r="N216" s="21"/>
      <c r="O216" s="2" t="str">
        <f t="shared" si="3"/>
        <v>Fora do recorte anual + Excluir</v>
      </c>
      <c r="P216" s="2" t="str">
        <f t="array" ref="P216">IF(O216&lt;&gt;"Incluir","",IF(K216&lt;&gt;"",K216,IF(IFERROR(INDEX(Triagem!$J$2:$J$451,MATCH($A216,Triagem!$A$2:$A$451,0))&amp;"","")&lt;&gt;"",IFERROR(INDEX(Triagem!$J$2:$J$451,MATCH($A216,Triagem!$A$2:$A$451,0))&amp;"",""),IF(IFERROR(INDEX('Revisão_Gemini'!$I$7:$I$456,MATCH($A216,'Revisão_Gemini'!$A$7:$A$456,0))&amp;"","")&lt;&gt;"",IFERROR(INDEX('Revisão_Gemini'!$I$7:$I$456,MATCH($A216,'Revisão_Gemini'!$A$7:$A$456,0))&amp;"",""),IFERROR(INDEX('Revisão_ChatGPT'!$I$7:$I$456,MATCH($A216,'Revisão_ChatGPT'!$A$7:$A$456,0))&amp;"","")))))</f>
        <v/>
      </c>
      <c r="Q216" s="2" t="str">
        <f t="array" ref="Q216">IF(O216&lt;&gt;"Excluir","",IF(L216&lt;&gt;"",L216,IF(F216="Excluir",IFERROR(INDEX(Triagem!$K$2:$K$451,MATCH($A216,Triagem!$A$2:$A$451,0))&amp;"",""),IF(G216="Excluir",IFERROR(INDEX('Revisão_Gemini'!$J$7:$J$456,MATCH($A216,'Revisão_Gemini'!$A$7:$A$456,0))&amp;"",""),IFERROR(INDEX('Revisão_ChatGPT'!$J$7:$J$456,MATCH($A216,'Revisão_ChatGPT'!$A$7:$A$456,0))&amp;"","")))))</f>
        <v/>
      </c>
    </row>
    <row r="217" ht="15.75" customHeight="1">
      <c r="A217" s="2" t="s">
        <v>930</v>
      </c>
      <c r="B217" s="19" t="str">
        <f t="array" ref="B217">INDEX(Triagem!$N$2:$N451 , MATCH(A217,Triagem!$A$2:$A451,0))</f>
        <v>abrir</v>
      </c>
      <c r="C217" s="20">
        <f t="array" ref="C217">INDEX(Triagem!$B$2:$B451 , MATCH(A217,Triagem!$A$2:$A451,0))</f>
        <v>2017</v>
      </c>
      <c r="D217" s="2" t="s">
        <v>932</v>
      </c>
      <c r="E217" s="2" t="s">
        <v>933</v>
      </c>
      <c r="F217" s="2" t="str">
        <f t="array" ref="F217">IFERROR(INDEX(Triagem!$I$2:$I$451,MATCH($A217,Triagem!$A$2:$A$451,0))&amp;"","")</f>
        <v>Excluir</v>
      </c>
      <c r="G217" s="2" t="str">
        <f t="array" ref="G217">IFERROR(INDEX('Revisão_Gemini'!$H$7:$H$456,MATCH($A217,'Revisão_Gemini'!$A$7:$A$456,0))&amp;"","")</f>
        <v>Excluir</v>
      </c>
      <c r="H217" s="2" t="str">
        <f t="array" ref="H217">IFERROR(INDEX('Revisão_ChatGPT'!$H$7:$H$456,MATCH($A217,'Revisão_ChatGPT'!$A$7:$A$456,0))&amp;"","")</f>
        <v>Excluir</v>
      </c>
      <c r="I217" s="2" t="str">
        <f t="shared" si="1"/>
        <v>3/3</v>
      </c>
      <c r="J217" s="21"/>
      <c r="K217" s="21"/>
      <c r="L217" s="21"/>
      <c r="M217" s="22" t="b">
        <f t="shared" si="2"/>
        <v>0</v>
      </c>
      <c r="N217" s="21" t="s">
        <v>3267</v>
      </c>
      <c r="O217" s="2" t="str">
        <f t="shared" si="3"/>
        <v>Fora do recorte anual + Excluir</v>
      </c>
      <c r="P217" s="2" t="str">
        <f t="array" ref="P217">IF(O217&lt;&gt;"Incluir","",IF(K217&lt;&gt;"",K217,IF(IFERROR(INDEX(Triagem!$J$2:$J$451,MATCH($A217,Triagem!$A$2:$A$451,0))&amp;"","")&lt;&gt;"",IFERROR(INDEX(Triagem!$J$2:$J$451,MATCH($A217,Triagem!$A$2:$A$451,0))&amp;"",""),IF(IFERROR(INDEX('Revisão_Gemini'!$I$7:$I$456,MATCH($A217,'Revisão_Gemini'!$A$7:$A$456,0))&amp;"","")&lt;&gt;"",IFERROR(INDEX('Revisão_Gemini'!$I$7:$I$456,MATCH($A217,'Revisão_Gemini'!$A$7:$A$456,0))&amp;"",""),IFERROR(INDEX('Revisão_ChatGPT'!$I$7:$I$456,MATCH($A217,'Revisão_ChatGPT'!$A$7:$A$456,0))&amp;"","")))))</f>
        <v/>
      </c>
      <c r="Q217" s="2" t="str">
        <f t="array" ref="Q217">IF(O217&lt;&gt;"Excluir","",IF(L217&lt;&gt;"",L217,IF(F217="Excluir",IFERROR(INDEX(Triagem!$K$2:$K$451,MATCH($A217,Triagem!$A$2:$A$451,0))&amp;"",""),IF(G217="Excluir",IFERROR(INDEX('Revisão_Gemini'!$J$7:$J$456,MATCH($A217,'Revisão_Gemini'!$A$7:$A$456,0))&amp;"",""),IFERROR(INDEX('Revisão_ChatGPT'!$J$7:$J$456,MATCH($A217,'Revisão_ChatGPT'!$A$7:$A$456,0))&amp;"","")))))</f>
        <v/>
      </c>
    </row>
    <row r="218" ht="15.75" customHeight="1">
      <c r="A218" s="2" t="s">
        <v>1740</v>
      </c>
      <c r="B218" s="19" t="str">
        <f t="array" ref="B218">INDEX(Triagem!$N$2:$N451 , MATCH(A218,Triagem!$A$2:$A451,0))</f>
        <v>abrir</v>
      </c>
      <c r="C218" s="20">
        <f t="array" ref="C218">INDEX(Triagem!$B$2:$B451 , MATCH(A218,Triagem!$A$2:$A451,0))</f>
        <v>2017</v>
      </c>
      <c r="D218" s="2" t="s">
        <v>1742</v>
      </c>
      <c r="E218" s="2" t="s">
        <v>1743</v>
      </c>
      <c r="F218" s="2" t="str">
        <f t="array" ref="F218">IFERROR(INDEX(Triagem!$I$2:$I$451,MATCH($A218,Triagem!$A$2:$A$451,0))&amp;"","")</f>
        <v>Excluir</v>
      </c>
      <c r="G218" s="2" t="str">
        <f t="array" ref="G218">IFERROR(INDEX('Revisão_Gemini'!$H$7:$H$456,MATCH($A218,'Revisão_Gemini'!$A$7:$A$456,0))&amp;"","")</f>
        <v>Excluir</v>
      </c>
      <c r="H218" s="2" t="str">
        <f t="array" ref="H218">IFERROR(INDEX('Revisão_ChatGPT'!$H$7:$H$456,MATCH($A218,'Revisão_ChatGPT'!$A$7:$A$456,0))&amp;"","")</f>
        <v>Excluir</v>
      </c>
      <c r="I218" s="2" t="str">
        <f t="shared" si="1"/>
        <v>3/3</v>
      </c>
      <c r="J218" s="21"/>
      <c r="K218" s="21"/>
      <c r="L218" s="21"/>
      <c r="M218" s="22" t="b">
        <f t="shared" si="2"/>
        <v>0</v>
      </c>
      <c r="N218" s="21" t="s">
        <v>3268</v>
      </c>
      <c r="O218" s="2" t="str">
        <f t="shared" si="3"/>
        <v>Fora do recorte anual + Excluir</v>
      </c>
      <c r="P218" s="2" t="str">
        <f t="array" ref="P218">IF(O218&lt;&gt;"Incluir","",IF(K218&lt;&gt;"",K218,IF(IFERROR(INDEX(Triagem!$J$2:$J$451,MATCH($A218,Triagem!$A$2:$A$451,0))&amp;"","")&lt;&gt;"",IFERROR(INDEX(Triagem!$J$2:$J$451,MATCH($A218,Triagem!$A$2:$A$451,0))&amp;"",""),IF(IFERROR(INDEX('Revisão_Gemini'!$I$7:$I$456,MATCH($A218,'Revisão_Gemini'!$A$7:$A$456,0))&amp;"","")&lt;&gt;"",IFERROR(INDEX('Revisão_Gemini'!$I$7:$I$456,MATCH($A218,'Revisão_Gemini'!$A$7:$A$456,0))&amp;"",""),IFERROR(INDEX('Revisão_ChatGPT'!$I$7:$I$456,MATCH($A218,'Revisão_ChatGPT'!$A$7:$A$456,0))&amp;"","")))))</f>
        <v/>
      </c>
      <c r="Q218" s="2" t="str">
        <f t="array" ref="Q218">IF(O218&lt;&gt;"Excluir","",IF(L218&lt;&gt;"",L218,IF(F218="Excluir",IFERROR(INDEX(Triagem!$K$2:$K$451,MATCH($A218,Triagem!$A$2:$A$451,0))&amp;"",""),IF(G218="Excluir",IFERROR(INDEX('Revisão_Gemini'!$J$7:$J$456,MATCH($A218,'Revisão_Gemini'!$A$7:$A$456,0))&amp;"",""),IFERROR(INDEX('Revisão_ChatGPT'!$J$7:$J$456,MATCH($A218,'Revisão_ChatGPT'!$A$7:$A$456,0))&amp;"","")))))</f>
        <v/>
      </c>
    </row>
    <row r="219" ht="15.75" customHeight="1">
      <c r="A219" s="2" t="s">
        <v>1323</v>
      </c>
      <c r="B219" s="19" t="str">
        <f t="array" ref="B219">INDEX(Triagem!$N$2:$N451 , MATCH(A219,Triagem!$A$2:$A451,0))</f>
        <v>abrir</v>
      </c>
      <c r="C219" s="20">
        <f t="array" ref="C219">INDEX(Triagem!$B$2:$B451 , MATCH(A219,Triagem!$A$2:$A451,0))</f>
        <v>2017</v>
      </c>
      <c r="D219" s="2" t="s">
        <v>1325</v>
      </c>
      <c r="E219" s="2" t="s">
        <v>1326</v>
      </c>
      <c r="F219" s="2" t="str">
        <f t="array" ref="F219">IFERROR(INDEX(Triagem!$I$2:$I$451,MATCH($A219,Triagem!$A$2:$A$451,0))&amp;"","")</f>
        <v>Excluir</v>
      </c>
      <c r="G219" s="2" t="str">
        <f t="array" ref="G219">IFERROR(INDEX('Revisão_Gemini'!$H$7:$H$456,MATCH($A219,'Revisão_Gemini'!$A$7:$A$456,0))&amp;"","")</f>
        <v>Excluir</v>
      </c>
      <c r="H219" s="2" t="str">
        <f t="array" ref="H219">IFERROR(INDEX('Revisão_ChatGPT'!$H$7:$H$456,MATCH($A219,'Revisão_ChatGPT'!$A$7:$A$456,0))&amp;"","")</f>
        <v>Excluir</v>
      </c>
      <c r="I219" s="2" t="str">
        <f t="shared" si="1"/>
        <v>3/3</v>
      </c>
      <c r="J219" s="21"/>
      <c r="K219" s="21"/>
      <c r="L219" s="21"/>
      <c r="M219" s="22" t="b">
        <f t="shared" si="2"/>
        <v>0</v>
      </c>
      <c r="N219" s="21" t="s">
        <v>3269</v>
      </c>
      <c r="O219" s="2" t="str">
        <f t="shared" si="3"/>
        <v>Fora do recorte anual + Excluir</v>
      </c>
      <c r="P219" s="2" t="str">
        <f t="array" ref="P219">IF(O219&lt;&gt;"Incluir","",IF(K219&lt;&gt;"",K219,IF(IFERROR(INDEX(Triagem!$J$2:$J$451,MATCH($A219,Triagem!$A$2:$A$451,0))&amp;"","")&lt;&gt;"",IFERROR(INDEX(Triagem!$J$2:$J$451,MATCH($A219,Triagem!$A$2:$A$451,0))&amp;"",""),IF(IFERROR(INDEX('Revisão_Gemini'!$I$7:$I$456,MATCH($A219,'Revisão_Gemini'!$A$7:$A$456,0))&amp;"","")&lt;&gt;"",IFERROR(INDEX('Revisão_Gemini'!$I$7:$I$456,MATCH($A219,'Revisão_Gemini'!$A$7:$A$456,0))&amp;"",""),IFERROR(INDEX('Revisão_ChatGPT'!$I$7:$I$456,MATCH($A219,'Revisão_ChatGPT'!$A$7:$A$456,0))&amp;"","")))))</f>
        <v/>
      </c>
      <c r="Q219" s="2" t="str">
        <f t="array" ref="Q219">IF(O219&lt;&gt;"Excluir","",IF(L219&lt;&gt;"",L219,IF(F219="Excluir",IFERROR(INDEX(Triagem!$K$2:$K$451,MATCH($A219,Triagem!$A$2:$A$451,0))&amp;"",""),IF(G219="Excluir",IFERROR(INDEX('Revisão_Gemini'!$J$7:$J$456,MATCH($A219,'Revisão_Gemini'!$A$7:$A$456,0))&amp;"",""),IFERROR(INDEX('Revisão_ChatGPT'!$J$7:$J$456,MATCH($A219,'Revisão_ChatGPT'!$A$7:$A$456,0))&amp;"","")))))</f>
        <v/>
      </c>
    </row>
    <row r="220" ht="15.75" customHeight="1">
      <c r="A220" s="2" t="s">
        <v>413</v>
      </c>
      <c r="B220" s="19" t="str">
        <f t="array" ref="B220">INDEX(Triagem!$N$2:$N451 , MATCH(A220,Triagem!$A$2:$A451,0))</f>
        <v>abrir</v>
      </c>
      <c r="C220" s="20">
        <f t="array" ref="C220">INDEX(Triagem!$B$2:$B451 , MATCH(A220,Triagem!$A$2:$A451,0))</f>
        <v>2018</v>
      </c>
      <c r="D220" s="2" t="s">
        <v>415</v>
      </c>
      <c r="E220" s="2" t="s">
        <v>416</v>
      </c>
      <c r="F220" s="2" t="str">
        <f t="array" ref="F220">IFERROR(INDEX(Triagem!$I$2:$I$451,MATCH($A220,Triagem!$A$2:$A$451,0))&amp;"","")</f>
        <v>Incluir</v>
      </c>
      <c r="G220" s="2" t="str">
        <f t="array" ref="G220">IFERROR(INDEX('Revisão_Gemini'!$H$7:$H$456,MATCH($A220,'Revisão_Gemini'!$A$7:$A$456,0))&amp;"","")</f>
        <v>Incluir</v>
      </c>
      <c r="H220" s="2" t="str">
        <f t="array" ref="H220">IFERROR(INDEX('Revisão_ChatGPT'!$H$7:$H$456,MATCH($A220,'Revisão_ChatGPT'!$A$7:$A$456,0))&amp;"","")</f>
        <v>Incluir</v>
      </c>
      <c r="I220" s="2" t="str">
        <f t="shared" si="1"/>
        <v>3/3</v>
      </c>
      <c r="J220" s="21"/>
      <c r="K220" s="21"/>
      <c r="L220" s="21"/>
      <c r="M220" s="22" t="b">
        <f t="shared" si="2"/>
        <v>0</v>
      </c>
      <c r="N220" s="21" t="s">
        <v>3270</v>
      </c>
      <c r="O220" s="2" t="str">
        <f t="shared" si="3"/>
        <v>Fora do recorte anual + Incluir</v>
      </c>
      <c r="P220" s="2" t="str">
        <f t="array" ref="P220">IF(O220&lt;&gt;"Incluir","",IF(K220&lt;&gt;"",K220,IF(IFERROR(INDEX(Triagem!$J$2:$J$451,MATCH($A220,Triagem!$A$2:$A$451,0))&amp;"","")&lt;&gt;"",IFERROR(INDEX(Triagem!$J$2:$J$451,MATCH($A220,Triagem!$A$2:$A$451,0))&amp;"",""),IF(IFERROR(INDEX('Revisão_Gemini'!$I$7:$I$456,MATCH($A220,'Revisão_Gemini'!$A$7:$A$456,0))&amp;"","")&lt;&gt;"",IFERROR(INDEX('Revisão_Gemini'!$I$7:$I$456,MATCH($A220,'Revisão_Gemini'!$A$7:$A$456,0))&amp;"",""),IFERROR(INDEX('Revisão_ChatGPT'!$I$7:$I$456,MATCH($A220,'Revisão_ChatGPT'!$A$7:$A$456,0))&amp;"","")))))</f>
        <v/>
      </c>
      <c r="Q220" s="2" t="str">
        <f t="array" ref="Q220">IF(O220&lt;&gt;"Excluir","",IF(L220&lt;&gt;"",L220,IF(F220="Excluir",IFERROR(INDEX(Triagem!$K$2:$K$451,MATCH($A220,Triagem!$A$2:$A$451,0))&amp;"",""),IF(G220="Excluir",IFERROR(INDEX('Revisão_Gemini'!$J$7:$J$456,MATCH($A220,'Revisão_Gemini'!$A$7:$A$456,0))&amp;"",""),IFERROR(INDEX('Revisão_ChatGPT'!$J$7:$J$456,MATCH($A220,'Revisão_ChatGPT'!$A$7:$A$456,0))&amp;"","")))))</f>
        <v/>
      </c>
    </row>
    <row r="221" ht="15.75" customHeight="1">
      <c r="A221" s="2" t="s">
        <v>935</v>
      </c>
      <c r="B221" s="19" t="str">
        <f t="array" ref="B221">INDEX(Triagem!$N$2:$N451 , MATCH(A221,Triagem!$A$2:$A451,0))</f>
        <v>abrir</v>
      </c>
      <c r="C221" s="20">
        <f t="array" ref="C221">INDEX(Triagem!$B$2:$B451 , MATCH(A221,Triagem!$A$2:$A451,0))</f>
        <v>2017</v>
      </c>
      <c r="D221" s="2" t="s">
        <v>936</v>
      </c>
      <c r="E221" s="2" t="s">
        <v>937</v>
      </c>
      <c r="F221" s="2" t="str">
        <f t="array" ref="F221">IFERROR(INDEX(Triagem!$I$2:$I$451,MATCH($A221,Triagem!$A$2:$A$451,0))&amp;"","")</f>
        <v>Excluir</v>
      </c>
      <c r="G221" s="2" t="str">
        <f t="array" ref="G221">IFERROR(INDEX('Revisão_Gemini'!$H$7:$H$456,MATCH($A221,'Revisão_Gemini'!$A$7:$A$456,0))&amp;"","")</f>
        <v>Excluir</v>
      </c>
      <c r="H221" s="2" t="str">
        <f t="array" ref="H221">IFERROR(INDEX('Revisão_ChatGPT'!$H$7:$H$456,MATCH($A221,'Revisão_ChatGPT'!$A$7:$A$456,0))&amp;"","")</f>
        <v>Excluir</v>
      </c>
      <c r="I221" s="2" t="str">
        <f t="shared" si="1"/>
        <v>3/3</v>
      </c>
      <c r="J221" s="21"/>
      <c r="K221" s="21"/>
      <c r="L221" s="21"/>
      <c r="M221" s="22" t="b">
        <f t="shared" si="2"/>
        <v>0</v>
      </c>
      <c r="N221" s="21" t="s">
        <v>3271</v>
      </c>
      <c r="O221" s="2" t="str">
        <f t="shared" si="3"/>
        <v>Fora do recorte anual + Excluir</v>
      </c>
      <c r="P221" s="2" t="str">
        <f t="array" ref="P221">IF(O221&lt;&gt;"Incluir","",IF(K221&lt;&gt;"",K221,IF(IFERROR(INDEX(Triagem!$J$2:$J$451,MATCH($A221,Triagem!$A$2:$A$451,0))&amp;"","")&lt;&gt;"",IFERROR(INDEX(Triagem!$J$2:$J$451,MATCH($A221,Triagem!$A$2:$A$451,0))&amp;"",""),IF(IFERROR(INDEX('Revisão_Gemini'!$I$7:$I$456,MATCH($A221,'Revisão_Gemini'!$A$7:$A$456,0))&amp;"","")&lt;&gt;"",IFERROR(INDEX('Revisão_Gemini'!$I$7:$I$456,MATCH($A221,'Revisão_Gemini'!$A$7:$A$456,0))&amp;"",""),IFERROR(INDEX('Revisão_ChatGPT'!$I$7:$I$456,MATCH($A221,'Revisão_ChatGPT'!$A$7:$A$456,0))&amp;"","")))))</f>
        <v/>
      </c>
      <c r="Q221" s="2" t="str">
        <f t="array" ref="Q221">IF(O221&lt;&gt;"Excluir","",IF(L221&lt;&gt;"",L221,IF(F221="Excluir",IFERROR(INDEX(Triagem!$K$2:$K$451,MATCH($A221,Triagem!$A$2:$A$451,0))&amp;"",""),IF(G221="Excluir",IFERROR(INDEX('Revisão_Gemini'!$J$7:$J$456,MATCH($A221,'Revisão_Gemini'!$A$7:$A$456,0))&amp;"",""),IFERROR(INDEX('Revisão_ChatGPT'!$J$7:$J$456,MATCH($A221,'Revisão_ChatGPT'!$A$7:$A$456,0))&amp;"","")))))</f>
        <v/>
      </c>
    </row>
    <row r="222" ht="15.75" customHeight="1">
      <c r="A222" s="2" t="s">
        <v>460</v>
      </c>
      <c r="B222" s="19" t="str">
        <f t="array" ref="B222">INDEX(Triagem!$N$2:$N451 , MATCH(A222,Triagem!$A$2:$A451,0))</f>
        <v>abrir</v>
      </c>
      <c r="C222" s="20">
        <f t="array" ref="C222">INDEX(Triagem!$B$2:$B451 , MATCH(A222,Triagem!$A$2:$A451,0))</f>
        <v>2017</v>
      </c>
      <c r="D222" s="2" t="s">
        <v>461</v>
      </c>
      <c r="E222" s="2" t="s">
        <v>462</v>
      </c>
      <c r="F222" s="2" t="str">
        <f t="array" ref="F222">IFERROR(INDEX(Triagem!$I$2:$I$451,MATCH($A222,Triagem!$A$2:$A$451,0))&amp;"","")</f>
        <v>Incluir</v>
      </c>
      <c r="G222" s="2" t="str">
        <f t="array" ref="G222">IFERROR(INDEX('Revisão_Gemini'!$H$7:$H$456,MATCH($A222,'Revisão_Gemini'!$A$7:$A$456,0))&amp;"","")</f>
        <v>Incluir</v>
      </c>
      <c r="H222" s="2" t="str">
        <f t="array" ref="H222">IFERROR(INDEX('Revisão_ChatGPT'!$H$7:$H$456,MATCH($A222,'Revisão_ChatGPT'!$A$7:$A$456,0))&amp;"","")</f>
        <v>Incluir</v>
      </c>
      <c r="I222" s="2" t="str">
        <f t="shared" si="1"/>
        <v>3/3</v>
      </c>
      <c r="J222" s="21"/>
      <c r="K222" s="21"/>
      <c r="L222" s="21"/>
      <c r="M222" s="22" t="b">
        <f t="shared" si="2"/>
        <v>0</v>
      </c>
      <c r="N222" s="21" t="s">
        <v>3272</v>
      </c>
      <c r="O222" s="2" t="str">
        <f t="shared" si="3"/>
        <v>Fora do recorte anual + Incluir</v>
      </c>
      <c r="P222" s="2" t="str">
        <f t="array" ref="P222">IF(O222&lt;&gt;"Incluir","",IF(K222&lt;&gt;"",K222,IF(IFERROR(INDEX(Triagem!$J$2:$J$451,MATCH($A222,Triagem!$A$2:$A$451,0))&amp;"","")&lt;&gt;"",IFERROR(INDEX(Triagem!$J$2:$J$451,MATCH($A222,Triagem!$A$2:$A$451,0))&amp;"",""),IF(IFERROR(INDEX('Revisão_Gemini'!$I$7:$I$456,MATCH($A222,'Revisão_Gemini'!$A$7:$A$456,0))&amp;"","")&lt;&gt;"",IFERROR(INDEX('Revisão_Gemini'!$I$7:$I$456,MATCH($A222,'Revisão_Gemini'!$A$7:$A$456,0))&amp;"",""),IFERROR(INDEX('Revisão_ChatGPT'!$I$7:$I$456,MATCH($A222,'Revisão_ChatGPT'!$A$7:$A$456,0))&amp;"","")))))</f>
        <v/>
      </c>
      <c r="Q222" s="2" t="str">
        <f t="array" ref="Q222">IF(O222&lt;&gt;"Excluir","",IF(L222&lt;&gt;"",L222,IF(F222="Excluir",IFERROR(INDEX(Triagem!$K$2:$K$451,MATCH($A222,Triagem!$A$2:$A$451,0))&amp;"",""),IF(G222="Excluir",IFERROR(INDEX('Revisão_Gemini'!$J$7:$J$456,MATCH($A222,'Revisão_Gemini'!$A$7:$A$456,0))&amp;"",""),IFERROR(INDEX('Revisão_ChatGPT'!$J$7:$J$456,MATCH($A222,'Revisão_ChatGPT'!$A$7:$A$456,0))&amp;"","")))))</f>
        <v/>
      </c>
    </row>
    <row r="223" ht="15.75" customHeight="1">
      <c r="A223" s="2" t="s">
        <v>2016</v>
      </c>
      <c r="B223" s="19" t="str">
        <f t="array" ref="B223">INDEX(Triagem!$N$2:$N451 , MATCH(A223,Triagem!$A$2:$A451,0))</f>
        <v>abrir</v>
      </c>
      <c r="C223" s="20">
        <f t="array" ref="C223">INDEX(Triagem!$B$2:$B451 , MATCH(A223,Triagem!$A$2:$A451,0))</f>
        <v>2017</v>
      </c>
      <c r="D223" s="2" t="s">
        <v>2018</v>
      </c>
      <c r="E223" s="2" t="s">
        <v>2019</v>
      </c>
      <c r="F223" s="2" t="str">
        <f t="array" ref="F223">IFERROR(INDEX(Triagem!$I$2:$I$451,MATCH($A223,Triagem!$A$2:$A$451,0))&amp;"","")</f>
        <v>Excluir</v>
      </c>
      <c r="G223" s="2" t="str">
        <f t="array" ref="G223">IFERROR(INDEX('Revisão_Gemini'!$H$7:$H$456,MATCH($A223,'Revisão_Gemini'!$A$7:$A$456,0))&amp;"","")</f>
        <v>Excluir</v>
      </c>
      <c r="H223" s="2" t="str">
        <f t="array" ref="H223">IFERROR(INDEX('Revisão_ChatGPT'!$H$7:$H$456,MATCH($A223,'Revisão_ChatGPT'!$A$7:$A$456,0))&amp;"","")</f>
        <v>Excluir</v>
      </c>
      <c r="I223" s="2" t="str">
        <f t="shared" si="1"/>
        <v>3/3</v>
      </c>
      <c r="J223" s="21"/>
      <c r="K223" s="21"/>
      <c r="L223" s="21"/>
      <c r="M223" s="22" t="b">
        <f t="shared" si="2"/>
        <v>0</v>
      </c>
      <c r="N223" s="21"/>
      <c r="O223" s="2" t="str">
        <f t="shared" si="3"/>
        <v>Fora do recorte anual + Excluir</v>
      </c>
      <c r="P223" s="2" t="str">
        <f t="array" ref="P223">IF(O223&lt;&gt;"Incluir","",IF(K223&lt;&gt;"",K223,IF(IFERROR(INDEX(Triagem!$J$2:$J$451,MATCH($A223,Triagem!$A$2:$A$451,0))&amp;"","")&lt;&gt;"",IFERROR(INDEX(Triagem!$J$2:$J$451,MATCH($A223,Triagem!$A$2:$A$451,0))&amp;"",""),IF(IFERROR(INDEX('Revisão_Gemini'!$I$7:$I$456,MATCH($A223,'Revisão_Gemini'!$A$7:$A$456,0))&amp;"","")&lt;&gt;"",IFERROR(INDEX('Revisão_Gemini'!$I$7:$I$456,MATCH($A223,'Revisão_Gemini'!$A$7:$A$456,0))&amp;"",""),IFERROR(INDEX('Revisão_ChatGPT'!$I$7:$I$456,MATCH($A223,'Revisão_ChatGPT'!$A$7:$A$456,0))&amp;"","")))))</f>
        <v/>
      </c>
      <c r="Q223" s="2" t="str">
        <f t="array" ref="Q223">IF(O223&lt;&gt;"Excluir","",IF(L223&lt;&gt;"",L223,IF(F223="Excluir",IFERROR(INDEX(Triagem!$K$2:$K$451,MATCH($A223,Triagem!$A$2:$A$451,0))&amp;"",""),IF(G223="Excluir",IFERROR(INDEX('Revisão_Gemini'!$J$7:$J$456,MATCH($A223,'Revisão_Gemini'!$A$7:$A$456,0))&amp;"",""),IFERROR(INDEX('Revisão_ChatGPT'!$J$7:$J$456,MATCH($A223,'Revisão_ChatGPT'!$A$7:$A$456,0))&amp;"","")))))</f>
        <v/>
      </c>
    </row>
    <row r="224" ht="15.75" customHeight="1">
      <c r="A224" s="2" t="s">
        <v>417</v>
      </c>
      <c r="B224" s="19" t="str">
        <f t="array" ref="B224">INDEX(Triagem!$N$2:$N451 , MATCH(A224,Triagem!$A$2:$A451,0))</f>
        <v>abrir</v>
      </c>
      <c r="C224" s="20">
        <f t="array" ref="C224">INDEX(Triagem!$B$2:$B451 , MATCH(A224,Triagem!$A$2:$A451,0))</f>
        <v>2018</v>
      </c>
      <c r="D224" s="2" t="s">
        <v>419</v>
      </c>
      <c r="E224" s="2" t="s">
        <v>420</v>
      </c>
      <c r="F224" s="2" t="str">
        <f t="array" ref="F224">IFERROR(INDEX(Triagem!$I$2:$I$451,MATCH($A224,Triagem!$A$2:$A$451,0))&amp;"","")</f>
        <v>Incluir</v>
      </c>
      <c r="G224" s="2" t="str">
        <f t="array" ref="G224">IFERROR(INDEX('Revisão_Gemini'!$H$7:$H$456,MATCH($A224,'Revisão_Gemini'!$A$7:$A$456,0))&amp;"","")</f>
        <v>Incluir</v>
      </c>
      <c r="H224" s="2" t="str">
        <f t="array" ref="H224">IFERROR(INDEX('Revisão_ChatGPT'!$H$7:$H$456,MATCH($A224,'Revisão_ChatGPT'!$A$7:$A$456,0))&amp;"","")</f>
        <v>Incluir</v>
      </c>
      <c r="I224" s="2" t="str">
        <f t="shared" si="1"/>
        <v>3/3</v>
      </c>
      <c r="J224" s="21"/>
      <c r="K224" s="21"/>
      <c r="L224" s="21"/>
      <c r="M224" s="22" t="b">
        <f t="shared" si="2"/>
        <v>0</v>
      </c>
      <c r="N224" s="21" t="s">
        <v>3273</v>
      </c>
      <c r="O224" s="2" t="str">
        <f t="shared" si="3"/>
        <v>Fora do recorte anual + Incluir</v>
      </c>
      <c r="P224" s="2" t="str">
        <f t="array" ref="P224">IF(O224&lt;&gt;"Incluir","",IF(K224&lt;&gt;"",K224,IF(IFERROR(INDEX(Triagem!$J$2:$J$451,MATCH($A224,Triagem!$A$2:$A$451,0))&amp;"","")&lt;&gt;"",IFERROR(INDEX(Triagem!$J$2:$J$451,MATCH($A224,Triagem!$A$2:$A$451,0))&amp;"",""),IF(IFERROR(INDEX('Revisão_Gemini'!$I$7:$I$456,MATCH($A224,'Revisão_Gemini'!$A$7:$A$456,0))&amp;"","")&lt;&gt;"",IFERROR(INDEX('Revisão_Gemini'!$I$7:$I$456,MATCH($A224,'Revisão_Gemini'!$A$7:$A$456,0))&amp;"",""),IFERROR(INDEX('Revisão_ChatGPT'!$I$7:$I$456,MATCH($A224,'Revisão_ChatGPT'!$A$7:$A$456,0))&amp;"","")))))</f>
        <v/>
      </c>
      <c r="Q224" s="2" t="str">
        <f t="array" ref="Q224">IF(O224&lt;&gt;"Excluir","",IF(L224&lt;&gt;"",L224,IF(F224="Excluir",IFERROR(INDEX(Triagem!$K$2:$K$451,MATCH($A224,Triagem!$A$2:$A$451,0))&amp;"",""),IF(G224="Excluir",IFERROR(INDEX('Revisão_Gemini'!$J$7:$J$456,MATCH($A224,'Revisão_Gemini'!$A$7:$A$456,0))&amp;"",""),IFERROR(INDEX('Revisão_ChatGPT'!$J$7:$J$456,MATCH($A224,'Revisão_ChatGPT'!$A$7:$A$456,0))&amp;"","")))))</f>
        <v/>
      </c>
    </row>
    <row r="225" ht="15.75" customHeight="1">
      <c r="A225" s="2" t="s">
        <v>1327</v>
      </c>
      <c r="B225" s="19" t="str">
        <f t="array" ref="B225">INDEX(Triagem!$N$2:$N451 , MATCH(A225,Triagem!$A$2:$A451,0))</f>
        <v>abrir</v>
      </c>
      <c r="C225" s="20">
        <f t="array" ref="C225">INDEX(Triagem!$B$2:$B451 , MATCH(A225,Triagem!$A$2:$A451,0))</f>
        <v>2017</v>
      </c>
      <c r="D225" s="2" t="s">
        <v>1329</v>
      </c>
      <c r="E225" s="2" t="s">
        <v>1330</v>
      </c>
      <c r="F225" s="2" t="str">
        <f t="array" ref="F225">IFERROR(INDEX(Triagem!$I$2:$I$451,MATCH($A225,Triagem!$A$2:$A$451,0))&amp;"","")</f>
        <v>Excluir</v>
      </c>
      <c r="G225" s="2" t="str">
        <f t="array" ref="G225">IFERROR(INDEX('Revisão_Gemini'!$H$7:$H$456,MATCH($A225,'Revisão_Gemini'!$A$7:$A$456,0))&amp;"","")</f>
        <v>Excluir</v>
      </c>
      <c r="H225" s="2" t="str">
        <f t="array" ref="H225">IFERROR(INDEX('Revisão_ChatGPT'!$H$7:$H$456,MATCH($A225,'Revisão_ChatGPT'!$A$7:$A$456,0))&amp;"","")</f>
        <v>Excluir</v>
      </c>
      <c r="I225" s="2" t="str">
        <f t="shared" si="1"/>
        <v>3/3</v>
      </c>
      <c r="J225" s="21"/>
      <c r="K225" s="21"/>
      <c r="L225" s="21"/>
      <c r="M225" s="22" t="b">
        <f t="shared" si="2"/>
        <v>0</v>
      </c>
      <c r="N225" s="21" t="s">
        <v>3274</v>
      </c>
      <c r="O225" s="2" t="str">
        <f t="shared" si="3"/>
        <v>Fora do recorte anual + Excluir</v>
      </c>
      <c r="P225" s="2" t="str">
        <f t="array" ref="P225">IF(O225&lt;&gt;"Incluir","",IF(K225&lt;&gt;"",K225,IF(IFERROR(INDEX(Triagem!$J$2:$J$451,MATCH($A225,Triagem!$A$2:$A$451,0))&amp;"","")&lt;&gt;"",IFERROR(INDEX(Triagem!$J$2:$J$451,MATCH($A225,Triagem!$A$2:$A$451,0))&amp;"",""),IF(IFERROR(INDEX('Revisão_Gemini'!$I$7:$I$456,MATCH($A225,'Revisão_Gemini'!$A$7:$A$456,0))&amp;"","")&lt;&gt;"",IFERROR(INDEX('Revisão_Gemini'!$I$7:$I$456,MATCH($A225,'Revisão_Gemini'!$A$7:$A$456,0))&amp;"",""),IFERROR(INDEX('Revisão_ChatGPT'!$I$7:$I$456,MATCH($A225,'Revisão_ChatGPT'!$A$7:$A$456,0))&amp;"","")))))</f>
        <v/>
      </c>
      <c r="Q225" s="2" t="str">
        <f t="array" ref="Q225">IF(O225&lt;&gt;"Excluir","",IF(L225&lt;&gt;"",L225,IF(F225="Excluir",IFERROR(INDEX(Triagem!$K$2:$K$451,MATCH($A225,Triagem!$A$2:$A$451,0))&amp;"",""),IF(G225="Excluir",IFERROR(INDEX('Revisão_Gemini'!$J$7:$J$456,MATCH($A225,'Revisão_Gemini'!$A$7:$A$456,0))&amp;"",""),IFERROR(INDEX('Revisão_ChatGPT'!$J$7:$J$456,MATCH($A225,'Revisão_ChatGPT'!$A$7:$A$456,0))&amp;"","")))))</f>
        <v/>
      </c>
    </row>
    <row r="226" ht="15.75" customHeight="1">
      <c r="A226" s="2" t="s">
        <v>1704</v>
      </c>
      <c r="B226" s="19" t="str">
        <f t="array" ref="B226">INDEX(Triagem!$N$2:$N451 , MATCH(A226,Triagem!$A$2:$A451,0))</f>
        <v>abrir</v>
      </c>
      <c r="C226" s="20">
        <f t="array" ref="C226">INDEX(Triagem!$B$2:$B451 , MATCH(A226,Triagem!$A$2:$A451,0))</f>
        <v>2018</v>
      </c>
      <c r="D226" s="2" t="s">
        <v>1706</v>
      </c>
      <c r="E226" s="2" t="s">
        <v>1707</v>
      </c>
      <c r="F226" s="2" t="str">
        <f t="array" ref="F226">IFERROR(INDEX(Triagem!$I$2:$I$451,MATCH($A226,Triagem!$A$2:$A$451,0))&amp;"","")</f>
        <v>Excluir</v>
      </c>
      <c r="G226" s="2" t="str">
        <f t="array" ref="G226">IFERROR(INDEX('Revisão_Gemini'!$H$7:$H$456,MATCH($A226,'Revisão_Gemini'!$A$7:$A$456,0))&amp;"","")</f>
        <v>Excluir</v>
      </c>
      <c r="H226" s="2" t="str">
        <f t="array" ref="H226">IFERROR(INDEX('Revisão_ChatGPT'!$H$7:$H$456,MATCH($A226,'Revisão_ChatGPT'!$A$7:$A$456,0))&amp;"","")</f>
        <v>Excluir</v>
      </c>
      <c r="I226" s="2" t="str">
        <f t="shared" si="1"/>
        <v>3/3</v>
      </c>
      <c r="J226" s="21"/>
      <c r="K226" s="21"/>
      <c r="L226" s="21"/>
      <c r="M226" s="22" t="b">
        <f t="shared" si="2"/>
        <v>0</v>
      </c>
      <c r="N226" s="21" t="s">
        <v>3275</v>
      </c>
      <c r="O226" s="2" t="str">
        <f t="shared" si="3"/>
        <v>Fora do recorte anual + Excluir</v>
      </c>
      <c r="P226" s="2" t="str">
        <f t="array" ref="P226">IF(O226&lt;&gt;"Incluir","",IF(K226&lt;&gt;"",K226,IF(IFERROR(INDEX(Triagem!$J$2:$J$451,MATCH($A226,Triagem!$A$2:$A$451,0))&amp;"","")&lt;&gt;"",IFERROR(INDEX(Triagem!$J$2:$J$451,MATCH($A226,Triagem!$A$2:$A$451,0))&amp;"",""),IF(IFERROR(INDEX('Revisão_Gemini'!$I$7:$I$456,MATCH($A226,'Revisão_Gemini'!$A$7:$A$456,0))&amp;"","")&lt;&gt;"",IFERROR(INDEX('Revisão_Gemini'!$I$7:$I$456,MATCH($A226,'Revisão_Gemini'!$A$7:$A$456,0))&amp;"",""),IFERROR(INDEX('Revisão_ChatGPT'!$I$7:$I$456,MATCH($A226,'Revisão_ChatGPT'!$A$7:$A$456,0))&amp;"","")))))</f>
        <v/>
      </c>
      <c r="Q226" s="2" t="str">
        <f t="array" ref="Q226">IF(O226&lt;&gt;"Excluir","",IF(L226&lt;&gt;"",L226,IF(F226="Excluir",IFERROR(INDEX(Triagem!$K$2:$K$451,MATCH($A226,Triagem!$A$2:$A$451,0))&amp;"",""),IF(G226="Excluir",IFERROR(INDEX('Revisão_Gemini'!$J$7:$J$456,MATCH($A226,'Revisão_Gemini'!$A$7:$A$456,0))&amp;"",""),IFERROR(INDEX('Revisão_ChatGPT'!$J$7:$J$456,MATCH($A226,'Revisão_ChatGPT'!$A$7:$A$456,0))&amp;"","")))))</f>
        <v/>
      </c>
    </row>
    <row r="227" ht="15.75" customHeight="1">
      <c r="A227" s="2" t="s">
        <v>1304</v>
      </c>
      <c r="B227" s="19" t="str">
        <f t="array" ref="B227">INDEX(Triagem!$N$2:$N451 , MATCH(A227,Triagem!$A$2:$A451,0))</f>
        <v>abrir</v>
      </c>
      <c r="C227" s="20">
        <f t="array" ref="C227">INDEX(Triagem!$B$2:$B451 , MATCH(A227,Triagem!$A$2:$A451,0))</f>
        <v>2018</v>
      </c>
      <c r="D227" s="2" t="s">
        <v>1306</v>
      </c>
      <c r="E227" s="2" t="s">
        <v>1307</v>
      </c>
      <c r="F227" s="2" t="str">
        <f t="array" ref="F227">IFERROR(INDEX(Triagem!$I$2:$I$451,MATCH($A227,Triagem!$A$2:$A$451,0))&amp;"","")</f>
        <v>Excluir</v>
      </c>
      <c r="G227" s="2" t="str">
        <f t="array" ref="G227">IFERROR(INDEX('Revisão_Gemini'!$H$7:$H$456,MATCH($A227,'Revisão_Gemini'!$A$7:$A$456,0))&amp;"","")</f>
        <v>Excluir</v>
      </c>
      <c r="H227" s="2" t="str">
        <f t="array" ref="H227">IFERROR(INDEX('Revisão_ChatGPT'!$H$7:$H$456,MATCH($A227,'Revisão_ChatGPT'!$A$7:$A$456,0))&amp;"","")</f>
        <v>Incluir</v>
      </c>
      <c r="I227" s="2" t="str">
        <f t="shared" si="1"/>
        <v>2/3</v>
      </c>
      <c r="J227" s="21" t="s">
        <v>906</v>
      </c>
      <c r="K227" s="21"/>
      <c r="L227" s="21"/>
      <c r="M227" s="22" t="b">
        <f t="shared" si="2"/>
        <v>0</v>
      </c>
      <c r="N227" s="21"/>
      <c r="O227" s="2" t="str">
        <f t="shared" si="3"/>
        <v>Fora do recorte anual + Excluir</v>
      </c>
      <c r="P227" s="2" t="str">
        <f t="array" ref="P227">IF(O227&lt;&gt;"Incluir","",IF(K227&lt;&gt;"",K227,IF(IFERROR(INDEX(Triagem!$J$2:$J$451,MATCH($A227,Triagem!$A$2:$A$451,0))&amp;"","")&lt;&gt;"",IFERROR(INDEX(Triagem!$J$2:$J$451,MATCH($A227,Triagem!$A$2:$A$451,0))&amp;"",""),IF(IFERROR(INDEX('Revisão_Gemini'!$I$7:$I$456,MATCH($A227,'Revisão_Gemini'!$A$7:$A$456,0))&amp;"","")&lt;&gt;"",IFERROR(INDEX('Revisão_Gemini'!$I$7:$I$456,MATCH($A227,'Revisão_Gemini'!$A$7:$A$456,0))&amp;"",""),IFERROR(INDEX('Revisão_ChatGPT'!$I$7:$I$456,MATCH($A227,'Revisão_ChatGPT'!$A$7:$A$456,0))&amp;"","")))))</f>
        <v/>
      </c>
      <c r="Q227" s="2" t="str">
        <f t="array" ref="Q227">IF(O227&lt;&gt;"Excluir","",IF(L227&lt;&gt;"",L227,IF(F227="Excluir",IFERROR(INDEX(Triagem!$K$2:$K$451,MATCH($A227,Triagem!$A$2:$A$451,0))&amp;"",""),IF(G227="Excluir",IFERROR(INDEX('Revisão_Gemini'!$J$7:$J$456,MATCH($A227,'Revisão_Gemini'!$A$7:$A$456,0))&amp;"",""),IFERROR(INDEX('Revisão_ChatGPT'!$J$7:$J$456,MATCH($A227,'Revisão_ChatGPT'!$A$7:$A$456,0))&amp;"","")))))</f>
        <v/>
      </c>
    </row>
    <row r="228" ht="15.75" customHeight="1">
      <c r="A228" s="2" t="s">
        <v>422</v>
      </c>
      <c r="B228" s="19" t="str">
        <f t="array" ref="B228">INDEX(Triagem!$N$2:$N451 , MATCH(A228,Triagem!$A$2:$A451,0))</f>
        <v>abrir</v>
      </c>
      <c r="C228" s="20">
        <f t="array" ref="C228">INDEX(Triagem!$B$2:$B451 , MATCH(A228,Triagem!$A$2:$A451,0))</f>
        <v>2018</v>
      </c>
      <c r="D228" s="2" t="s">
        <v>424</v>
      </c>
      <c r="E228" s="2" t="s">
        <v>425</v>
      </c>
      <c r="F228" s="2" t="str">
        <f t="array" ref="F228">IFERROR(INDEX(Triagem!$I$2:$I$451,MATCH($A228,Triagem!$A$2:$A$451,0))&amp;"","")</f>
        <v>Incluir</v>
      </c>
      <c r="G228" s="2" t="str">
        <f t="array" ref="G228">IFERROR(INDEX('Revisão_Gemini'!$H$7:$H$456,MATCH($A228,'Revisão_Gemini'!$A$7:$A$456,0))&amp;"","")</f>
        <v>Incluir</v>
      </c>
      <c r="H228" s="2" t="str">
        <f t="array" ref="H228">IFERROR(INDEX('Revisão_ChatGPT'!$H$7:$H$456,MATCH($A228,'Revisão_ChatGPT'!$A$7:$A$456,0))&amp;"","")</f>
        <v>Incluir</v>
      </c>
      <c r="I228" s="2" t="str">
        <f t="shared" si="1"/>
        <v>3/3</v>
      </c>
      <c r="J228" s="21"/>
      <c r="K228" s="21"/>
      <c r="L228" s="21"/>
      <c r="M228" s="22" t="b">
        <f t="shared" si="2"/>
        <v>0</v>
      </c>
      <c r="N228" s="21" t="s">
        <v>3276</v>
      </c>
      <c r="O228" s="2" t="str">
        <f t="shared" si="3"/>
        <v>Fora do recorte anual + Incluir</v>
      </c>
      <c r="P228" s="2" t="str">
        <f t="array" ref="P228">IF(O228&lt;&gt;"Incluir","",IF(K228&lt;&gt;"",K228,IF(IFERROR(INDEX(Triagem!$J$2:$J$451,MATCH($A228,Triagem!$A$2:$A$451,0))&amp;"","")&lt;&gt;"",IFERROR(INDEX(Triagem!$J$2:$J$451,MATCH($A228,Triagem!$A$2:$A$451,0))&amp;"",""),IF(IFERROR(INDEX('Revisão_Gemini'!$I$7:$I$456,MATCH($A228,'Revisão_Gemini'!$A$7:$A$456,0))&amp;"","")&lt;&gt;"",IFERROR(INDEX('Revisão_Gemini'!$I$7:$I$456,MATCH($A228,'Revisão_Gemini'!$A$7:$A$456,0))&amp;"",""),IFERROR(INDEX('Revisão_ChatGPT'!$I$7:$I$456,MATCH($A228,'Revisão_ChatGPT'!$A$7:$A$456,0))&amp;"","")))))</f>
        <v/>
      </c>
      <c r="Q228" s="2" t="str">
        <f t="array" ref="Q228">IF(O228&lt;&gt;"Excluir","",IF(L228&lt;&gt;"",L228,IF(F228="Excluir",IFERROR(INDEX(Triagem!$K$2:$K$451,MATCH($A228,Triagem!$A$2:$A$451,0))&amp;"",""),IF(G228="Excluir",IFERROR(INDEX('Revisão_Gemini'!$J$7:$J$456,MATCH($A228,'Revisão_Gemini'!$A$7:$A$456,0))&amp;"",""),IFERROR(INDEX('Revisão_ChatGPT'!$J$7:$J$456,MATCH($A228,'Revisão_ChatGPT'!$A$7:$A$456,0))&amp;"","")))))</f>
        <v/>
      </c>
    </row>
    <row r="229" ht="15.75" customHeight="1">
      <c r="A229" s="2" t="s">
        <v>1269</v>
      </c>
      <c r="B229" s="19" t="str">
        <f t="array" ref="B229">INDEX(Triagem!$N$2:$N451 , MATCH(A229,Triagem!$A$2:$A451,0))</f>
        <v>abrir</v>
      </c>
      <c r="C229" s="20">
        <f t="array" ref="C229">INDEX(Triagem!$B$2:$B451 , MATCH(A229,Triagem!$A$2:$A451,0))</f>
        <v>2019</v>
      </c>
      <c r="D229" s="2" t="s">
        <v>1271</v>
      </c>
      <c r="E229" s="2" t="s">
        <v>1272</v>
      </c>
      <c r="F229" s="2" t="str">
        <f t="array" ref="F229">IFERROR(INDEX(Triagem!$I$2:$I$451,MATCH($A229,Triagem!$A$2:$A$451,0))&amp;"","")</f>
        <v>Excluir</v>
      </c>
      <c r="G229" s="2" t="str">
        <f t="array" ref="G229">IFERROR(INDEX('Revisão_Gemini'!$H$7:$H$456,MATCH($A229,'Revisão_Gemini'!$A$7:$A$456,0))&amp;"","")</f>
        <v>Excluir</v>
      </c>
      <c r="H229" s="2" t="str">
        <f t="array" ref="H229">IFERROR(INDEX('Revisão_ChatGPT'!$H$7:$H$456,MATCH($A229,'Revisão_ChatGPT'!$A$7:$A$456,0))&amp;"","")</f>
        <v>Excluir</v>
      </c>
      <c r="I229" s="2" t="str">
        <f t="shared" si="1"/>
        <v>3/3</v>
      </c>
      <c r="J229" s="21"/>
      <c r="K229" s="21"/>
      <c r="L229" s="21"/>
      <c r="M229" s="22" t="b">
        <f t="shared" si="2"/>
        <v>0</v>
      </c>
      <c r="N229" s="21" t="s">
        <v>3277</v>
      </c>
      <c r="O229" s="2" t="str">
        <f t="shared" si="3"/>
        <v>Fora do recorte anual + Excluir</v>
      </c>
      <c r="P229" s="2" t="str">
        <f t="array" ref="P229">IF(O229&lt;&gt;"Incluir","",IF(K229&lt;&gt;"",K229,IF(IFERROR(INDEX(Triagem!$J$2:$J$451,MATCH($A229,Triagem!$A$2:$A$451,0))&amp;"","")&lt;&gt;"",IFERROR(INDEX(Triagem!$J$2:$J$451,MATCH($A229,Triagem!$A$2:$A$451,0))&amp;"",""),IF(IFERROR(INDEX('Revisão_Gemini'!$I$7:$I$456,MATCH($A229,'Revisão_Gemini'!$A$7:$A$456,0))&amp;"","")&lt;&gt;"",IFERROR(INDEX('Revisão_Gemini'!$I$7:$I$456,MATCH($A229,'Revisão_Gemini'!$A$7:$A$456,0))&amp;"",""),IFERROR(INDEX('Revisão_ChatGPT'!$I$7:$I$456,MATCH($A229,'Revisão_ChatGPT'!$A$7:$A$456,0))&amp;"","")))))</f>
        <v/>
      </c>
      <c r="Q229" s="2" t="str">
        <f t="array" ref="Q229">IF(O229&lt;&gt;"Excluir","",IF(L229&lt;&gt;"",L229,IF(F229="Excluir",IFERROR(INDEX(Triagem!$K$2:$K$451,MATCH($A229,Triagem!$A$2:$A$451,0))&amp;"",""),IF(G229="Excluir",IFERROR(INDEX('Revisão_Gemini'!$J$7:$J$456,MATCH($A229,'Revisão_Gemini'!$A$7:$A$456,0))&amp;"",""),IFERROR(INDEX('Revisão_ChatGPT'!$J$7:$J$456,MATCH($A229,'Revisão_ChatGPT'!$A$7:$A$456,0))&amp;"","")))))</f>
        <v/>
      </c>
    </row>
    <row r="230" ht="15.75" customHeight="1">
      <c r="A230" s="2" t="s">
        <v>1708</v>
      </c>
      <c r="B230" s="19" t="str">
        <f t="array" ref="B230">INDEX(Triagem!$N$2:$N451 , MATCH(A230,Triagem!$A$2:$A451,0))</f>
        <v>abrir</v>
      </c>
      <c r="C230" s="20">
        <f t="array" ref="C230">INDEX(Triagem!$B$2:$B451 , MATCH(A230,Triagem!$A$2:$A451,0))</f>
        <v>2018</v>
      </c>
      <c r="D230" s="2" t="s">
        <v>1710</v>
      </c>
      <c r="E230" s="2" t="s">
        <v>1711</v>
      </c>
      <c r="F230" s="2" t="str">
        <f t="array" ref="F230">IFERROR(INDEX(Triagem!$I$2:$I$451,MATCH($A230,Triagem!$A$2:$A$451,0))&amp;"","")</f>
        <v>Excluir</v>
      </c>
      <c r="G230" s="2" t="str">
        <f t="array" ref="G230">IFERROR(INDEX('Revisão_Gemini'!$H$7:$H$456,MATCH($A230,'Revisão_Gemini'!$A$7:$A$456,0))&amp;"","")</f>
        <v>Excluir</v>
      </c>
      <c r="H230" s="2" t="str">
        <f t="array" ref="H230">IFERROR(INDEX('Revisão_ChatGPT'!$H$7:$H$456,MATCH($A230,'Revisão_ChatGPT'!$A$7:$A$456,0))&amp;"","")</f>
        <v>Excluir</v>
      </c>
      <c r="I230" s="2" t="str">
        <f t="shared" si="1"/>
        <v>3/3</v>
      </c>
      <c r="J230" s="21"/>
      <c r="K230" s="21"/>
      <c r="L230" s="21"/>
      <c r="M230" s="22" t="b">
        <f t="shared" si="2"/>
        <v>0</v>
      </c>
      <c r="N230" s="21" t="s">
        <v>3278</v>
      </c>
      <c r="O230" s="2" t="str">
        <f t="shared" si="3"/>
        <v>Fora do recorte anual + Excluir</v>
      </c>
      <c r="P230" s="2" t="str">
        <f t="array" ref="P230">IF(O230&lt;&gt;"Incluir","",IF(K230&lt;&gt;"",K230,IF(IFERROR(INDEX(Triagem!$J$2:$J$451,MATCH($A230,Triagem!$A$2:$A$451,0))&amp;"","")&lt;&gt;"",IFERROR(INDEX(Triagem!$J$2:$J$451,MATCH($A230,Triagem!$A$2:$A$451,0))&amp;"",""),IF(IFERROR(INDEX('Revisão_Gemini'!$I$7:$I$456,MATCH($A230,'Revisão_Gemini'!$A$7:$A$456,0))&amp;"","")&lt;&gt;"",IFERROR(INDEX('Revisão_Gemini'!$I$7:$I$456,MATCH($A230,'Revisão_Gemini'!$A$7:$A$456,0))&amp;"",""),IFERROR(INDEX('Revisão_ChatGPT'!$I$7:$I$456,MATCH($A230,'Revisão_ChatGPT'!$A$7:$A$456,0))&amp;"","")))))</f>
        <v/>
      </c>
      <c r="Q230" s="2" t="str">
        <f t="array" ref="Q230">IF(O230&lt;&gt;"Excluir","",IF(L230&lt;&gt;"",L230,IF(F230="Excluir",IFERROR(INDEX(Triagem!$K$2:$K$451,MATCH($A230,Triagem!$A$2:$A$451,0))&amp;"",""),IF(G230="Excluir",IFERROR(INDEX('Revisão_Gemini'!$J$7:$J$456,MATCH($A230,'Revisão_Gemini'!$A$7:$A$456,0))&amp;"",""),IFERROR(INDEX('Revisão_ChatGPT'!$J$7:$J$456,MATCH($A230,'Revisão_ChatGPT'!$A$7:$A$456,0))&amp;"","")))))</f>
        <v/>
      </c>
    </row>
    <row r="231" ht="15.75" customHeight="1">
      <c r="A231" s="2" t="s">
        <v>1273</v>
      </c>
      <c r="B231" s="19" t="str">
        <f t="array" ref="B231">INDEX(Triagem!$N$2:$N451 , MATCH(A231,Triagem!$A$2:$A451,0))</f>
        <v>abrir</v>
      </c>
      <c r="C231" s="20">
        <f t="array" ref="C231">INDEX(Triagem!$B$2:$B451 , MATCH(A231,Triagem!$A$2:$A451,0))</f>
        <v>2019</v>
      </c>
      <c r="D231" s="2" t="s">
        <v>1275</v>
      </c>
      <c r="E231" s="2" t="s">
        <v>1276</v>
      </c>
      <c r="F231" s="2" t="str">
        <f t="array" ref="F231">IFERROR(INDEX(Triagem!$I$2:$I$451,MATCH($A231,Triagem!$A$2:$A$451,0))&amp;"","")</f>
        <v>Excluir</v>
      </c>
      <c r="G231" s="2" t="str">
        <f t="array" ref="G231">IFERROR(INDEX('Revisão_Gemini'!$H$7:$H$456,MATCH($A231,'Revisão_Gemini'!$A$7:$A$456,0))&amp;"","")</f>
        <v>Excluir</v>
      </c>
      <c r="H231" s="2" t="str">
        <f t="array" ref="H231">IFERROR(INDEX('Revisão_ChatGPT'!$H$7:$H$456,MATCH($A231,'Revisão_ChatGPT'!$A$7:$A$456,0))&amp;"","")</f>
        <v>Excluir</v>
      </c>
      <c r="I231" s="2" t="str">
        <f t="shared" si="1"/>
        <v>3/3</v>
      </c>
      <c r="J231" s="21"/>
      <c r="K231" s="21"/>
      <c r="L231" s="21"/>
      <c r="M231" s="22" t="b">
        <f t="shared" si="2"/>
        <v>0</v>
      </c>
      <c r="N231" s="21" t="s">
        <v>3279</v>
      </c>
      <c r="O231" s="2" t="str">
        <f t="shared" si="3"/>
        <v>Fora do recorte anual + Excluir</v>
      </c>
      <c r="P231" s="2" t="str">
        <f t="array" ref="P231">IF(O231&lt;&gt;"Incluir","",IF(K231&lt;&gt;"",K231,IF(IFERROR(INDEX(Triagem!$J$2:$J$451,MATCH($A231,Triagem!$A$2:$A$451,0))&amp;"","")&lt;&gt;"",IFERROR(INDEX(Triagem!$J$2:$J$451,MATCH($A231,Triagem!$A$2:$A$451,0))&amp;"",""),IF(IFERROR(INDEX('Revisão_Gemini'!$I$7:$I$456,MATCH($A231,'Revisão_Gemini'!$A$7:$A$456,0))&amp;"","")&lt;&gt;"",IFERROR(INDEX('Revisão_Gemini'!$I$7:$I$456,MATCH($A231,'Revisão_Gemini'!$A$7:$A$456,0))&amp;"",""),IFERROR(INDEX('Revisão_ChatGPT'!$I$7:$I$456,MATCH($A231,'Revisão_ChatGPT'!$A$7:$A$456,0))&amp;"","")))))</f>
        <v/>
      </c>
      <c r="Q231" s="2" t="str">
        <f t="array" ref="Q231">IF(O231&lt;&gt;"Excluir","",IF(L231&lt;&gt;"",L231,IF(F231="Excluir",IFERROR(INDEX(Triagem!$K$2:$K$451,MATCH($A231,Triagem!$A$2:$A$451,0))&amp;"",""),IF(G231="Excluir",IFERROR(INDEX('Revisão_Gemini'!$J$7:$J$456,MATCH($A231,'Revisão_Gemini'!$A$7:$A$456,0))&amp;"",""),IFERROR(INDEX('Revisão_ChatGPT'!$J$7:$J$456,MATCH($A231,'Revisão_ChatGPT'!$A$7:$A$456,0))&amp;"","")))))</f>
        <v/>
      </c>
    </row>
    <row r="232" ht="15.75" customHeight="1">
      <c r="A232" s="2" t="s">
        <v>925</v>
      </c>
      <c r="B232" s="19" t="str">
        <f t="array" ref="B232">INDEX(Triagem!$N$2:$N451 , MATCH(A232,Triagem!$A$2:$A451,0))</f>
        <v>abrir</v>
      </c>
      <c r="C232" s="20">
        <f t="array" ref="C232">INDEX(Triagem!$B$2:$B451 , MATCH(A232,Triagem!$A$2:$A451,0))</f>
        <v>2018</v>
      </c>
      <c r="D232" s="2" t="s">
        <v>927</v>
      </c>
      <c r="E232" s="2" t="s">
        <v>928</v>
      </c>
      <c r="F232" s="2" t="str">
        <f t="array" ref="F232">IFERROR(INDEX(Triagem!$I$2:$I$451,MATCH($A232,Triagem!$A$2:$A$451,0))&amp;"","")</f>
        <v>Excluir</v>
      </c>
      <c r="G232" s="2" t="str">
        <f t="array" ref="G232">IFERROR(INDEX('Revisão_Gemini'!$H$7:$H$456,MATCH($A232,'Revisão_Gemini'!$A$7:$A$456,0))&amp;"","")</f>
        <v>Excluir</v>
      </c>
      <c r="H232" s="2" t="str">
        <f t="array" ref="H232">IFERROR(INDEX('Revisão_ChatGPT'!$H$7:$H$456,MATCH($A232,'Revisão_ChatGPT'!$A$7:$A$456,0))&amp;"","")</f>
        <v>Excluir</v>
      </c>
      <c r="I232" s="2" t="str">
        <f t="shared" si="1"/>
        <v>3/3</v>
      </c>
      <c r="J232" s="21"/>
      <c r="K232" s="21"/>
      <c r="L232" s="21"/>
      <c r="M232" s="22" t="b">
        <f t="shared" si="2"/>
        <v>0</v>
      </c>
      <c r="N232" s="21" t="s">
        <v>3280</v>
      </c>
      <c r="O232" s="2" t="str">
        <f t="shared" si="3"/>
        <v>Fora do recorte anual + Excluir</v>
      </c>
      <c r="P232" s="2" t="str">
        <f t="array" ref="P232">IF(O232&lt;&gt;"Incluir","",IF(K232&lt;&gt;"",K232,IF(IFERROR(INDEX(Triagem!$J$2:$J$451,MATCH($A232,Triagem!$A$2:$A$451,0))&amp;"","")&lt;&gt;"",IFERROR(INDEX(Triagem!$J$2:$J$451,MATCH($A232,Triagem!$A$2:$A$451,0))&amp;"",""),IF(IFERROR(INDEX('Revisão_Gemini'!$I$7:$I$456,MATCH($A232,'Revisão_Gemini'!$A$7:$A$456,0))&amp;"","")&lt;&gt;"",IFERROR(INDEX('Revisão_Gemini'!$I$7:$I$456,MATCH($A232,'Revisão_Gemini'!$A$7:$A$456,0))&amp;"",""),IFERROR(INDEX('Revisão_ChatGPT'!$I$7:$I$456,MATCH($A232,'Revisão_ChatGPT'!$A$7:$A$456,0))&amp;"","")))))</f>
        <v/>
      </c>
      <c r="Q232" s="2" t="str">
        <f t="array" ref="Q232">IF(O232&lt;&gt;"Excluir","",IF(L232&lt;&gt;"",L232,IF(F232="Excluir",IFERROR(INDEX(Triagem!$K$2:$K$451,MATCH($A232,Triagem!$A$2:$A$451,0))&amp;"",""),IF(G232="Excluir",IFERROR(INDEX('Revisão_Gemini'!$J$7:$J$456,MATCH($A232,'Revisão_Gemini'!$A$7:$A$456,0))&amp;"",""),IFERROR(INDEX('Revisão_ChatGPT'!$J$7:$J$456,MATCH($A232,'Revisão_ChatGPT'!$A$7:$A$456,0))&amp;"","")))))</f>
        <v/>
      </c>
    </row>
    <row r="233" ht="15.75" customHeight="1">
      <c r="A233" s="2" t="s">
        <v>428</v>
      </c>
      <c r="B233" s="19" t="str">
        <f t="array" ref="B233">INDEX(Triagem!$N$2:$N451 , MATCH(A233,Triagem!$A$2:$A451,0))</f>
        <v>abrir</v>
      </c>
      <c r="C233" s="20">
        <f t="array" ref="C233">INDEX(Triagem!$B$2:$B451 , MATCH(A233,Triagem!$A$2:$A451,0))</f>
        <v>2018</v>
      </c>
      <c r="D233" s="2" t="s">
        <v>430</v>
      </c>
      <c r="E233" s="2" t="s">
        <v>431</v>
      </c>
      <c r="F233" s="2" t="str">
        <f t="array" ref="F233">IFERROR(INDEX(Triagem!$I$2:$I$451,MATCH($A233,Triagem!$A$2:$A$451,0))&amp;"","")</f>
        <v>Incluir</v>
      </c>
      <c r="G233" s="2" t="str">
        <f t="array" ref="G233">IFERROR(INDEX('Revisão_Gemini'!$H$7:$H$456,MATCH($A233,'Revisão_Gemini'!$A$7:$A$456,0))&amp;"","")</f>
        <v>Incluir</v>
      </c>
      <c r="H233" s="2" t="str">
        <f t="array" ref="H233">IFERROR(INDEX('Revisão_ChatGPT'!$H$7:$H$456,MATCH($A233,'Revisão_ChatGPT'!$A$7:$A$456,0))&amp;"","")</f>
        <v>Incluir</v>
      </c>
      <c r="I233" s="2" t="str">
        <f t="shared" si="1"/>
        <v>3/3</v>
      </c>
      <c r="J233" s="21"/>
      <c r="K233" s="21"/>
      <c r="L233" s="21"/>
      <c r="M233" s="22" t="b">
        <f t="shared" si="2"/>
        <v>0</v>
      </c>
      <c r="N233" s="21" t="s">
        <v>3281</v>
      </c>
      <c r="O233" s="2" t="str">
        <f t="shared" si="3"/>
        <v>Fora do recorte anual + Incluir</v>
      </c>
      <c r="P233" s="2" t="str">
        <f t="array" ref="P233">IF(O233&lt;&gt;"Incluir","",IF(K233&lt;&gt;"",K233,IF(IFERROR(INDEX(Triagem!$J$2:$J$451,MATCH($A233,Triagem!$A$2:$A$451,0))&amp;"","")&lt;&gt;"",IFERROR(INDEX(Triagem!$J$2:$J$451,MATCH($A233,Triagem!$A$2:$A$451,0))&amp;"",""),IF(IFERROR(INDEX('Revisão_Gemini'!$I$7:$I$456,MATCH($A233,'Revisão_Gemini'!$A$7:$A$456,0))&amp;"","")&lt;&gt;"",IFERROR(INDEX('Revisão_Gemini'!$I$7:$I$456,MATCH($A233,'Revisão_Gemini'!$A$7:$A$456,0))&amp;"",""),IFERROR(INDEX('Revisão_ChatGPT'!$I$7:$I$456,MATCH($A233,'Revisão_ChatGPT'!$A$7:$A$456,0))&amp;"","")))))</f>
        <v/>
      </c>
      <c r="Q233" s="2" t="str">
        <f t="array" ref="Q233">IF(O233&lt;&gt;"Excluir","",IF(L233&lt;&gt;"",L233,IF(F233="Excluir",IFERROR(INDEX(Triagem!$K$2:$K$451,MATCH($A233,Triagem!$A$2:$A$451,0))&amp;"",""),IF(G233="Excluir",IFERROR(INDEX('Revisão_Gemini'!$J$7:$J$456,MATCH($A233,'Revisão_Gemini'!$A$7:$A$456,0))&amp;"",""),IFERROR(INDEX('Revisão_ChatGPT'!$J$7:$J$456,MATCH($A233,'Revisão_ChatGPT'!$A$7:$A$456,0))&amp;"","")))))</f>
        <v/>
      </c>
    </row>
    <row r="234" ht="15.75" customHeight="1">
      <c r="A234" s="2" t="s">
        <v>375</v>
      </c>
      <c r="B234" s="19" t="str">
        <f t="array" ref="B234">INDEX(Triagem!$N$2:$N451 , MATCH(A234,Triagem!$A$2:$A451,0))</f>
        <v>abrir</v>
      </c>
      <c r="C234" s="20">
        <f t="array" ref="C234">INDEX(Triagem!$B$2:$B451 , MATCH(A234,Triagem!$A$2:$A451,0))</f>
        <v>2019</v>
      </c>
      <c r="D234" s="2" t="s">
        <v>377</v>
      </c>
      <c r="E234" s="2" t="s">
        <v>378</v>
      </c>
      <c r="F234" s="2" t="str">
        <f t="array" ref="F234">IFERROR(INDEX(Triagem!$I$2:$I$451,MATCH($A234,Triagem!$A$2:$A$451,0))&amp;"","")</f>
        <v>Incluir</v>
      </c>
      <c r="G234" s="2" t="str">
        <f t="array" ref="G234">IFERROR(INDEX('Revisão_Gemini'!$H$7:$H$456,MATCH($A234,'Revisão_Gemini'!$A$7:$A$456,0))&amp;"","")</f>
        <v>Incluir</v>
      </c>
      <c r="H234" s="2" t="str">
        <f t="array" ref="H234">IFERROR(INDEX('Revisão_ChatGPT'!$H$7:$H$456,MATCH($A234,'Revisão_ChatGPT'!$A$7:$A$456,0))&amp;"","")</f>
        <v>Incluir</v>
      </c>
      <c r="I234" s="2" t="str">
        <f t="shared" si="1"/>
        <v>3/3</v>
      </c>
      <c r="J234" s="21"/>
      <c r="K234" s="21"/>
      <c r="L234" s="21"/>
      <c r="M234" s="22" t="b">
        <f t="shared" si="2"/>
        <v>0</v>
      </c>
      <c r="N234" s="21" t="s">
        <v>3282</v>
      </c>
      <c r="O234" s="2" t="str">
        <f t="shared" si="3"/>
        <v>Fora do recorte anual + Incluir</v>
      </c>
      <c r="P234" s="2" t="str">
        <f t="array" ref="P234">IF(O234&lt;&gt;"Incluir","",IF(K234&lt;&gt;"",K234,IF(IFERROR(INDEX(Triagem!$J$2:$J$451,MATCH($A234,Triagem!$A$2:$A$451,0))&amp;"","")&lt;&gt;"",IFERROR(INDEX(Triagem!$J$2:$J$451,MATCH($A234,Triagem!$A$2:$A$451,0))&amp;"",""),IF(IFERROR(INDEX('Revisão_Gemini'!$I$7:$I$456,MATCH($A234,'Revisão_Gemini'!$A$7:$A$456,0))&amp;"","")&lt;&gt;"",IFERROR(INDEX('Revisão_Gemini'!$I$7:$I$456,MATCH($A234,'Revisão_Gemini'!$A$7:$A$456,0))&amp;"",""),IFERROR(INDEX('Revisão_ChatGPT'!$I$7:$I$456,MATCH($A234,'Revisão_ChatGPT'!$A$7:$A$456,0))&amp;"","")))))</f>
        <v/>
      </c>
      <c r="Q234" s="2" t="str">
        <f t="array" ref="Q234">IF(O234&lt;&gt;"Excluir","",IF(L234&lt;&gt;"",L234,IF(F234="Excluir",IFERROR(INDEX(Triagem!$K$2:$K$451,MATCH($A234,Triagem!$A$2:$A$451,0))&amp;"",""),IF(G234="Excluir",IFERROR(INDEX('Revisão_Gemini'!$J$7:$J$456,MATCH($A234,'Revisão_Gemini'!$A$7:$A$456,0))&amp;"",""),IFERROR(INDEX('Revisão_ChatGPT'!$J$7:$J$456,MATCH($A234,'Revisão_ChatGPT'!$A$7:$A$456,0))&amp;"","")))))</f>
        <v/>
      </c>
    </row>
    <row r="235" ht="15.75" customHeight="1">
      <c r="A235" s="2" t="s">
        <v>1278</v>
      </c>
      <c r="B235" s="19" t="str">
        <f t="array" ref="B235">INDEX(Triagem!$N$2:$N451 , MATCH(A235,Triagem!$A$2:$A451,0))</f>
        <v>abrir</v>
      </c>
      <c r="C235" s="20">
        <f t="array" ref="C235">INDEX(Triagem!$B$2:$B451 , MATCH(A235,Triagem!$A$2:$A451,0))</f>
        <v>2019</v>
      </c>
      <c r="D235" s="2" t="s">
        <v>1280</v>
      </c>
      <c r="E235" s="2" t="s">
        <v>1281</v>
      </c>
      <c r="F235" s="2" t="str">
        <f t="array" ref="F235">IFERROR(INDEX(Triagem!$I$2:$I$451,MATCH($A235,Triagem!$A$2:$A$451,0))&amp;"","")</f>
        <v>Excluir</v>
      </c>
      <c r="G235" s="2" t="str">
        <f t="array" ref="G235">IFERROR(INDEX('Revisão_Gemini'!$H$7:$H$456,MATCH($A235,'Revisão_Gemini'!$A$7:$A$456,0))&amp;"","")</f>
        <v>Excluir</v>
      </c>
      <c r="H235" s="2" t="str">
        <f t="array" ref="H235">IFERROR(INDEX('Revisão_ChatGPT'!$H$7:$H$456,MATCH($A235,'Revisão_ChatGPT'!$A$7:$A$456,0))&amp;"","")</f>
        <v>Excluir</v>
      </c>
      <c r="I235" s="2" t="str">
        <f t="shared" si="1"/>
        <v>3/3</v>
      </c>
      <c r="J235" s="21"/>
      <c r="K235" s="21"/>
      <c r="L235" s="21"/>
      <c r="M235" s="22" t="b">
        <f t="shared" si="2"/>
        <v>0</v>
      </c>
      <c r="N235" s="21" t="s">
        <v>3283</v>
      </c>
      <c r="O235" s="2" t="str">
        <f t="shared" si="3"/>
        <v>Fora do recorte anual + Excluir</v>
      </c>
      <c r="P235" s="2" t="str">
        <f t="array" ref="P235">IF(O235&lt;&gt;"Incluir","",IF(K235&lt;&gt;"",K235,IF(IFERROR(INDEX(Triagem!$J$2:$J$451,MATCH($A235,Triagem!$A$2:$A$451,0))&amp;"","")&lt;&gt;"",IFERROR(INDEX(Triagem!$J$2:$J$451,MATCH($A235,Triagem!$A$2:$A$451,0))&amp;"",""),IF(IFERROR(INDEX('Revisão_Gemini'!$I$7:$I$456,MATCH($A235,'Revisão_Gemini'!$A$7:$A$456,0))&amp;"","")&lt;&gt;"",IFERROR(INDEX('Revisão_Gemini'!$I$7:$I$456,MATCH($A235,'Revisão_Gemini'!$A$7:$A$456,0))&amp;"",""),IFERROR(INDEX('Revisão_ChatGPT'!$I$7:$I$456,MATCH($A235,'Revisão_ChatGPT'!$A$7:$A$456,0))&amp;"","")))))</f>
        <v/>
      </c>
      <c r="Q235" s="2" t="str">
        <f t="array" ref="Q235">IF(O235&lt;&gt;"Excluir","",IF(L235&lt;&gt;"",L235,IF(F235="Excluir",IFERROR(INDEX(Triagem!$K$2:$K$451,MATCH($A235,Triagem!$A$2:$A$451,0))&amp;"",""),IF(G235="Excluir",IFERROR(INDEX('Revisão_Gemini'!$J$7:$J$456,MATCH($A235,'Revisão_Gemini'!$A$7:$A$456,0))&amp;"",""),IFERROR(INDEX('Revisão_ChatGPT'!$J$7:$J$456,MATCH($A235,'Revisão_ChatGPT'!$A$7:$A$456,0))&amp;"","")))))</f>
        <v/>
      </c>
    </row>
    <row r="236" ht="15.75" customHeight="1">
      <c r="A236" s="2" t="s">
        <v>380</v>
      </c>
      <c r="B236" s="19" t="str">
        <f t="array" ref="B236">INDEX(Triagem!$N$2:$N451 , MATCH(A236,Triagem!$A$2:$A451,0))</f>
        <v>abrir</v>
      </c>
      <c r="C236" s="20">
        <f t="array" ref="C236">INDEX(Triagem!$B$2:$B451 , MATCH(A236,Triagem!$A$2:$A451,0))</f>
        <v>2019</v>
      </c>
      <c r="D236" s="2" t="s">
        <v>382</v>
      </c>
      <c r="E236" s="2" t="s">
        <v>383</v>
      </c>
      <c r="F236" s="2" t="str">
        <f t="array" ref="F236">IFERROR(INDEX(Triagem!$I$2:$I$451,MATCH($A236,Triagem!$A$2:$A$451,0))&amp;"","")</f>
        <v>Incluir</v>
      </c>
      <c r="G236" s="2" t="str">
        <f t="array" ref="G236">IFERROR(INDEX('Revisão_Gemini'!$H$7:$H$456,MATCH($A236,'Revisão_Gemini'!$A$7:$A$456,0))&amp;"","")</f>
        <v>Incluir</v>
      </c>
      <c r="H236" s="2" t="str">
        <f t="array" ref="H236">IFERROR(INDEX('Revisão_ChatGPT'!$H$7:$H$456,MATCH($A236,'Revisão_ChatGPT'!$A$7:$A$456,0))&amp;"","")</f>
        <v>Incluir</v>
      </c>
      <c r="I236" s="2" t="str">
        <f t="shared" si="1"/>
        <v>3/3</v>
      </c>
      <c r="J236" s="21"/>
      <c r="K236" s="21"/>
      <c r="L236" s="21"/>
      <c r="M236" s="22" t="b">
        <f t="shared" si="2"/>
        <v>0</v>
      </c>
      <c r="N236" s="21"/>
      <c r="O236" s="2" t="str">
        <f t="shared" si="3"/>
        <v>Fora do recorte anual + Incluir</v>
      </c>
      <c r="P236" s="2" t="str">
        <f t="array" ref="P236">IF(O236&lt;&gt;"Incluir","",IF(K236&lt;&gt;"",K236,IF(IFERROR(INDEX(Triagem!$J$2:$J$451,MATCH($A236,Triagem!$A$2:$A$451,0))&amp;"","")&lt;&gt;"",IFERROR(INDEX(Triagem!$J$2:$J$451,MATCH($A236,Triagem!$A$2:$A$451,0))&amp;"",""),IF(IFERROR(INDEX('Revisão_Gemini'!$I$7:$I$456,MATCH($A236,'Revisão_Gemini'!$A$7:$A$456,0))&amp;"","")&lt;&gt;"",IFERROR(INDEX('Revisão_Gemini'!$I$7:$I$456,MATCH($A236,'Revisão_Gemini'!$A$7:$A$456,0))&amp;"",""),IFERROR(INDEX('Revisão_ChatGPT'!$I$7:$I$456,MATCH($A236,'Revisão_ChatGPT'!$A$7:$A$456,0))&amp;"","")))))</f>
        <v/>
      </c>
      <c r="Q236" s="2" t="str">
        <f t="array" ref="Q236">IF(O236&lt;&gt;"Excluir","",IF(L236&lt;&gt;"",L236,IF(F236="Excluir",IFERROR(INDEX(Triagem!$K$2:$K$451,MATCH($A236,Triagem!$A$2:$A$451,0))&amp;"",""),IF(G236="Excluir",IFERROR(INDEX('Revisão_Gemini'!$J$7:$J$456,MATCH($A236,'Revisão_Gemini'!$A$7:$A$456,0))&amp;"",""),IFERROR(INDEX('Revisão_ChatGPT'!$J$7:$J$456,MATCH($A236,'Revisão_ChatGPT'!$A$7:$A$456,0))&amp;"","")))))</f>
        <v/>
      </c>
    </row>
    <row r="237" ht="15.75" customHeight="1">
      <c r="A237" s="2" t="s">
        <v>774</v>
      </c>
      <c r="B237" s="19" t="str">
        <f t="array" ref="B237">INDEX(Triagem!$N$2:$N451 , MATCH(A237,Triagem!$A$2:$A451,0))</f>
        <v>abrir</v>
      </c>
      <c r="C237" s="20">
        <f t="array" ref="C237">INDEX(Triagem!$B$2:$B451 , MATCH(A237,Triagem!$A$2:$A451,0))</f>
        <v>2019</v>
      </c>
      <c r="D237" s="2" t="s">
        <v>776</v>
      </c>
      <c r="E237" s="2" t="s">
        <v>777</v>
      </c>
      <c r="F237" s="2" t="str">
        <f t="array" ref="F237">IFERROR(INDEX(Triagem!$I$2:$I$451,MATCH($A237,Triagem!$A$2:$A$451,0))&amp;"","")</f>
        <v>Apoio</v>
      </c>
      <c r="G237" s="2" t="str">
        <f t="array" ref="G237">IFERROR(INDEX('Revisão_Gemini'!$H$7:$H$456,MATCH($A237,'Revisão_Gemini'!$A$7:$A$456,0))&amp;"","")</f>
        <v>Apoio</v>
      </c>
      <c r="H237" s="2" t="str">
        <f t="array" ref="H237">IFERROR(INDEX('Revisão_ChatGPT'!$H$7:$H$456,MATCH($A237,'Revisão_ChatGPT'!$A$7:$A$456,0))&amp;"","")</f>
        <v>Apoio</v>
      </c>
      <c r="I237" s="2" t="str">
        <f t="shared" si="1"/>
        <v>3/3</v>
      </c>
      <c r="J237" s="21"/>
      <c r="K237" s="21"/>
      <c r="L237" s="21"/>
      <c r="M237" s="22" t="b">
        <f t="shared" si="2"/>
        <v>0</v>
      </c>
      <c r="N237" s="21"/>
      <c r="O237" s="2" t="str">
        <f t="shared" si="3"/>
        <v>Fora do recorte anual + Apoio</v>
      </c>
      <c r="P237" s="2" t="str">
        <f t="array" ref="P237">IF(O237&lt;&gt;"Incluir","",IF(K237&lt;&gt;"",K237,IF(IFERROR(INDEX(Triagem!$J$2:$J$451,MATCH($A237,Triagem!$A$2:$A$451,0))&amp;"","")&lt;&gt;"",IFERROR(INDEX(Triagem!$J$2:$J$451,MATCH($A237,Triagem!$A$2:$A$451,0))&amp;"",""),IF(IFERROR(INDEX('Revisão_Gemini'!$I$7:$I$456,MATCH($A237,'Revisão_Gemini'!$A$7:$A$456,0))&amp;"","")&lt;&gt;"",IFERROR(INDEX('Revisão_Gemini'!$I$7:$I$456,MATCH($A237,'Revisão_Gemini'!$A$7:$A$456,0))&amp;"",""),IFERROR(INDEX('Revisão_ChatGPT'!$I$7:$I$456,MATCH($A237,'Revisão_ChatGPT'!$A$7:$A$456,0))&amp;"","")))))</f>
        <v/>
      </c>
      <c r="Q237" s="2" t="str">
        <f t="array" ref="Q237">IF(O237&lt;&gt;"Excluir","",IF(L237&lt;&gt;"",L237,IF(F237="Excluir",IFERROR(INDEX(Triagem!$K$2:$K$451,MATCH($A237,Triagem!$A$2:$A$451,0))&amp;"",""),IF(G237="Excluir",IFERROR(INDEX('Revisão_Gemini'!$J$7:$J$456,MATCH($A237,'Revisão_Gemini'!$A$7:$A$456,0))&amp;"",""),IFERROR(INDEX('Revisão_ChatGPT'!$J$7:$J$456,MATCH($A237,'Revisão_ChatGPT'!$A$7:$A$456,0))&amp;"","")))))</f>
        <v/>
      </c>
    </row>
    <row r="238" ht="15.75" customHeight="1">
      <c r="A238" s="2" t="s">
        <v>1282</v>
      </c>
      <c r="B238" s="19" t="str">
        <f t="array" ref="B238">INDEX(Triagem!$N$2:$N451 , MATCH(A238,Triagem!$A$2:$A451,0))</f>
        <v>abrir</v>
      </c>
      <c r="C238" s="20">
        <f t="array" ref="C238">INDEX(Triagem!$B$2:$B451 , MATCH(A238,Triagem!$A$2:$A451,0))</f>
        <v>2019</v>
      </c>
      <c r="D238" s="2" t="s">
        <v>1284</v>
      </c>
      <c r="E238" s="2" t="s">
        <v>1285</v>
      </c>
      <c r="F238" s="2" t="str">
        <f t="array" ref="F238">IFERROR(INDEX(Triagem!$I$2:$I$451,MATCH($A238,Triagem!$A$2:$A$451,0))&amp;"","")</f>
        <v>Excluir</v>
      </c>
      <c r="G238" s="2" t="str">
        <f t="array" ref="G238">IFERROR(INDEX('Revisão_Gemini'!$H$7:$H$456,MATCH($A238,'Revisão_Gemini'!$A$7:$A$456,0))&amp;"","")</f>
        <v>Excluir</v>
      </c>
      <c r="H238" s="2" t="str">
        <f t="array" ref="H238">IFERROR(INDEX('Revisão_ChatGPT'!$H$7:$H$456,MATCH($A238,'Revisão_ChatGPT'!$A$7:$A$456,0))&amp;"","")</f>
        <v>Excluir</v>
      </c>
      <c r="I238" s="2" t="str">
        <f t="shared" si="1"/>
        <v>3/3</v>
      </c>
      <c r="J238" s="21"/>
      <c r="K238" s="21"/>
      <c r="L238" s="21"/>
      <c r="M238" s="22" t="b">
        <f t="shared" si="2"/>
        <v>0</v>
      </c>
      <c r="N238" s="21" t="s">
        <v>3284</v>
      </c>
      <c r="O238" s="2" t="str">
        <f t="shared" si="3"/>
        <v>Fora do recorte anual + Excluir</v>
      </c>
      <c r="P238" s="2" t="str">
        <f t="array" ref="P238">IF(O238&lt;&gt;"Incluir","",IF(K238&lt;&gt;"",K238,IF(IFERROR(INDEX(Triagem!$J$2:$J$451,MATCH($A238,Triagem!$A$2:$A$451,0))&amp;"","")&lt;&gt;"",IFERROR(INDEX(Triagem!$J$2:$J$451,MATCH($A238,Triagem!$A$2:$A$451,0))&amp;"",""),IF(IFERROR(INDEX('Revisão_Gemini'!$I$7:$I$456,MATCH($A238,'Revisão_Gemini'!$A$7:$A$456,0))&amp;"","")&lt;&gt;"",IFERROR(INDEX('Revisão_Gemini'!$I$7:$I$456,MATCH($A238,'Revisão_Gemini'!$A$7:$A$456,0))&amp;"",""),IFERROR(INDEX('Revisão_ChatGPT'!$I$7:$I$456,MATCH($A238,'Revisão_ChatGPT'!$A$7:$A$456,0))&amp;"","")))))</f>
        <v/>
      </c>
      <c r="Q238" s="2" t="str">
        <f t="array" ref="Q238">IF(O238&lt;&gt;"Excluir","",IF(L238&lt;&gt;"",L238,IF(F238="Excluir",IFERROR(INDEX(Triagem!$K$2:$K$451,MATCH($A238,Triagem!$A$2:$A$451,0))&amp;"",""),IF(G238="Excluir",IFERROR(INDEX('Revisão_Gemini'!$J$7:$J$456,MATCH($A238,'Revisão_Gemini'!$A$7:$A$456,0))&amp;"",""),IFERROR(INDEX('Revisão_ChatGPT'!$J$7:$J$456,MATCH($A238,'Revisão_ChatGPT'!$A$7:$A$456,0))&amp;"","")))))</f>
        <v/>
      </c>
    </row>
    <row r="239" ht="15.75" customHeight="1">
      <c r="A239" s="2" t="s">
        <v>920</v>
      </c>
      <c r="B239" s="19" t="str">
        <f t="array" ref="B239">INDEX(Triagem!$N$2:$N451 , MATCH(A239,Triagem!$A$2:$A451,0))</f>
        <v>abrir</v>
      </c>
      <c r="C239" s="20">
        <f t="array" ref="C239">INDEX(Triagem!$B$2:$B451 , MATCH(A239,Triagem!$A$2:$A451,0))</f>
        <v>2019</v>
      </c>
      <c r="D239" s="2" t="s">
        <v>922</v>
      </c>
      <c r="E239" s="2" t="s">
        <v>923</v>
      </c>
      <c r="F239" s="2" t="str">
        <f t="array" ref="F239">IFERROR(INDEX(Triagem!$I$2:$I$451,MATCH($A239,Triagem!$A$2:$A$451,0))&amp;"","")</f>
        <v>Excluir</v>
      </c>
      <c r="G239" s="2" t="str">
        <f t="array" ref="G239">IFERROR(INDEX('Revisão_Gemini'!$H$7:$H$456,MATCH($A239,'Revisão_Gemini'!$A$7:$A$456,0))&amp;"","")</f>
        <v>Excluir</v>
      </c>
      <c r="H239" s="2" t="str">
        <f t="array" ref="H239">IFERROR(INDEX('Revisão_ChatGPT'!$H$7:$H$456,MATCH($A239,'Revisão_ChatGPT'!$A$7:$A$456,0))&amp;"","")</f>
        <v>Excluir</v>
      </c>
      <c r="I239" s="2" t="str">
        <f t="shared" si="1"/>
        <v>3/3</v>
      </c>
      <c r="J239" s="21"/>
      <c r="K239" s="21"/>
      <c r="L239" s="21"/>
      <c r="M239" s="22" t="b">
        <f t="shared" si="2"/>
        <v>0</v>
      </c>
      <c r="N239" s="21" t="s">
        <v>3285</v>
      </c>
      <c r="O239" s="2" t="str">
        <f t="shared" si="3"/>
        <v>Fora do recorte anual + Excluir</v>
      </c>
      <c r="P239" s="2" t="str">
        <f t="array" ref="P239">IF(O239&lt;&gt;"Incluir","",IF(K239&lt;&gt;"",K239,IF(IFERROR(INDEX(Triagem!$J$2:$J$451,MATCH($A239,Triagem!$A$2:$A$451,0))&amp;"","")&lt;&gt;"",IFERROR(INDEX(Triagem!$J$2:$J$451,MATCH($A239,Triagem!$A$2:$A$451,0))&amp;"",""),IF(IFERROR(INDEX('Revisão_Gemini'!$I$7:$I$456,MATCH($A239,'Revisão_Gemini'!$A$7:$A$456,0))&amp;"","")&lt;&gt;"",IFERROR(INDEX('Revisão_Gemini'!$I$7:$I$456,MATCH($A239,'Revisão_Gemini'!$A$7:$A$456,0))&amp;"",""),IFERROR(INDEX('Revisão_ChatGPT'!$I$7:$I$456,MATCH($A239,'Revisão_ChatGPT'!$A$7:$A$456,0))&amp;"","")))))</f>
        <v/>
      </c>
      <c r="Q239" s="2" t="str">
        <f t="array" ref="Q239">IF(O239&lt;&gt;"Excluir","",IF(L239&lt;&gt;"",L239,IF(F239="Excluir",IFERROR(INDEX(Triagem!$K$2:$K$451,MATCH($A239,Triagem!$A$2:$A$451,0))&amp;"",""),IF(G239="Excluir",IFERROR(INDEX('Revisão_Gemini'!$J$7:$J$456,MATCH($A239,'Revisão_Gemini'!$A$7:$A$456,0))&amp;"",""),IFERROR(INDEX('Revisão_ChatGPT'!$J$7:$J$456,MATCH($A239,'Revisão_ChatGPT'!$A$7:$A$456,0))&amp;"","")))))</f>
        <v/>
      </c>
    </row>
    <row r="240" ht="15.75" customHeight="1">
      <c r="A240" s="2" t="s">
        <v>384</v>
      </c>
      <c r="B240" s="19" t="str">
        <f t="array" ref="B240">INDEX(Triagem!$N$2:$N451 , MATCH(A240,Triagem!$A$2:$A451,0))</f>
        <v>abrir</v>
      </c>
      <c r="C240" s="20">
        <f t="array" ref="C240">INDEX(Triagem!$B$2:$B451 , MATCH(A240,Triagem!$A$2:$A451,0))</f>
        <v>2019</v>
      </c>
      <c r="D240" s="2" t="s">
        <v>386</v>
      </c>
      <c r="E240" s="2" t="s">
        <v>387</v>
      </c>
      <c r="F240" s="2" t="str">
        <f t="array" ref="F240">IFERROR(INDEX(Triagem!$I$2:$I$451,MATCH($A240,Triagem!$A$2:$A$451,0))&amp;"","")</f>
        <v>Incluir</v>
      </c>
      <c r="G240" s="2" t="str">
        <f t="array" ref="G240">IFERROR(INDEX('Revisão_Gemini'!$H$7:$H$456,MATCH($A240,'Revisão_Gemini'!$A$7:$A$456,0))&amp;"","")</f>
        <v>Apoio</v>
      </c>
      <c r="H240" s="2" t="str">
        <f t="array" ref="H240">IFERROR(INDEX('Revisão_ChatGPT'!$H$7:$H$456,MATCH($A240,'Revisão_ChatGPT'!$A$7:$A$456,0))&amp;"","")</f>
        <v>Excluir</v>
      </c>
      <c r="I240" s="2" t="str">
        <f t="shared" si="1"/>
        <v>divergente</v>
      </c>
      <c r="J240" s="21" t="s">
        <v>98</v>
      </c>
      <c r="K240" s="21"/>
      <c r="L240" s="21"/>
      <c r="M240" s="22" t="b">
        <f t="shared" si="2"/>
        <v>0</v>
      </c>
      <c r="N240" s="21" t="s">
        <v>3286</v>
      </c>
      <c r="O240" s="2" t="str">
        <f t="shared" si="3"/>
        <v>Fora do recorte anual + Incluir</v>
      </c>
      <c r="P240" s="2" t="str">
        <f t="array" ref="P240">IF(O240&lt;&gt;"Incluir","",IF(K240&lt;&gt;"",K240,IF(IFERROR(INDEX(Triagem!$J$2:$J$451,MATCH($A240,Triagem!$A$2:$A$451,0))&amp;"","")&lt;&gt;"",IFERROR(INDEX(Triagem!$J$2:$J$451,MATCH($A240,Triagem!$A$2:$A$451,0))&amp;"",""),IF(IFERROR(INDEX('Revisão_Gemini'!$I$7:$I$456,MATCH($A240,'Revisão_Gemini'!$A$7:$A$456,0))&amp;"","")&lt;&gt;"",IFERROR(INDEX('Revisão_Gemini'!$I$7:$I$456,MATCH($A240,'Revisão_Gemini'!$A$7:$A$456,0))&amp;"",""),IFERROR(INDEX('Revisão_ChatGPT'!$I$7:$I$456,MATCH($A240,'Revisão_ChatGPT'!$A$7:$A$456,0))&amp;"","")))))</f>
        <v/>
      </c>
      <c r="Q240" s="2" t="str">
        <f t="array" ref="Q240">IF(O240&lt;&gt;"Excluir","",IF(L240&lt;&gt;"",L240,IF(F240="Excluir",IFERROR(INDEX(Triagem!$K$2:$K$451,MATCH($A240,Triagem!$A$2:$A$451,0))&amp;"",""),IF(G240="Excluir",IFERROR(INDEX('Revisão_Gemini'!$J$7:$J$456,MATCH($A240,'Revisão_Gemini'!$A$7:$A$456,0))&amp;"",""),IFERROR(INDEX('Revisão_ChatGPT'!$J$7:$J$456,MATCH($A240,'Revisão_ChatGPT'!$A$7:$A$456,0))&amp;"","")))))</f>
        <v/>
      </c>
    </row>
    <row r="241" ht="15.75" customHeight="1">
      <c r="A241" s="2" t="s">
        <v>388</v>
      </c>
      <c r="B241" s="19" t="str">
        <f t="array" ref="B241">INDEX(Triagem!$N$2:$N451 , MATCH(A241,Triagem!$A$2:$A451,0))</f>
        <v>abrir</v>
      </c>
      <c r="C241" s="20">
        <f t="array" ref="C241">INDEX(Triagem!$B$2:$B451 , MATCH(A241,Triagem!$A$2:$A451,0))</f>
        <v>2019</v>
      </c>
      <c r="D241" s="2" t="s">
        <v>390</v>
      </c>
      <c r="E241" s="2" t="s">
        <v>391</v>
      </c>
      <c r="F241" s="2" t="str">
        <f t="array" ref="F241">IFERROR(INDEX(Triagem!$I$2:$I$451,MATCH($A241,Triagem!$A$2:$A$451,0))&amp;"","")</f>
        <v>Incluir</v>
      </c>
      <c r="G241" s="2" t="str">
        <f t="array" ref="G241">IFERROR(INDEX('Revisão_Gemini'!$H$7:$H$456,MATCH($A241,'Revisão_Gemini'!$A$7:$A$456,0))&amp;"","")</f>
        <v>Incluir</v>
      </c>
      <c r="H241" s="2" t="str">
        <f t="array" ref="H241">IFERROR(INDEX('Revisão_ChatGPT'!$H$7:$H$456,MATCH($A241,'Revisão_ChatGPT'!$A$7:$A$456,0))&amp;"","")</f>
        <v>Incluir</v>
      </c>
      <c r="I241" s="2" t="str">
        <f t="shared" si="1"/>
        <v>3/3</v>
      </c>
      <c r="J241" s="21"/>
      <c r="K241" s="21"/>
      <c r="L241" s="21"/>
      <c r="M241" s="22" t="b">
        <f t="shared" si="2"/>
        <v>0</v>
      </c>
      <c r="N241" s="21" t="s">
        <v>3287</v>
      </c>
      <c r="O241" s="2" t="str">
        <f t="shared" si="3"/>
        <v>Fora do recorte anual + Incluir</v>
      </c>
      <c r="P241" s="2" t="str">
        <f t="array" ref="P241">IF(O241&lt;&gt;"Incluir","",IF(K241&lt;&gt;"",K241,IF(IFERROR(INDEX(Triagem!$J$2:$J$451,MATCH($A241,Triagem!$A$2:$A$451,0))&amp;"","")&lt;&gt;"",IFERROR(INDEX(Triagem!$J$2:$J$451,MATCH($A241,Triagem!$A$2:$A$451,0))&amp;"",""),IF(IFERROR(INDEX('Revisão_Gemini'!$I$7:$I$456,MATCH($A241,'Revisão_Gemini'!$A$7:$A$456,0))&amp;"","")&lt;&gt;"",IFERROR(INDEX('Revisão_Gemini'!$I$7:$I$456,MATCH($A241,'Revisão_Gemini'!$A$7:$A$456,0))&amp;"",""),IFERROR(INDEX('Revisão_ChatGPT'!$I$7:$I$456,MATCH($A241,'Revisão_ChatGPT'!$A$7:$A$456,0))&amp;"","")))))</f>
        <v/>
      </c>
      <c r="Q241" s="2" t="str">
        <f t="array" ref="Q241">IF(O241&lt;&gt;"Excluir","",IF(L241&lt;&gt;"",L241,IF(F241="Excluir",IFERROR(INDEX(Triagem!$K$2:$K$451,MATCH($A241,Triagem!$A$2:$A$451,0))&amp;"",""),IF(G241="Excluir",IFERROR(INDEX('Revisão_Gemini'!$J$7:$J$456,MATCH($A241,'Revisão_Gemini'!$A$7:$A$456,0))&amp;"",""),IFERROR(INDEX('Revisão_ChatGPT'!$J$7:$J$456,MATCH($A241,'Revisão_ChatGPT'!$A$7:$A$456,0))&amp;"","")))))</f>
        <v/>
      </c>
    </row>
    <row r="242" ht="15.75" customHeight="1">
      <c r="A242" s="2" t="s">
        <v>394</v>
      </c>
      <c r="B242" s="19" t="str">
        <f t="array" ref="B242">INDEX(Triagem!$N$2:$N451 , MATCH(A242,Triagem!$A$2:$A451,0))</f>
        <v>abrir</v>
      </c>
      <c r="C242" s="20">
        <f t="array" ref="C242">INDEX(Triagem!$B$2:$B451 , MATCH(A242,Triagem!$A$2:$A451,0))</f>
        <v>2019</v>
      </c>
      <c r="D242" s="2" t="s">
        <v>396</v>
      </c>
      <c r="E242" s="23" t="s">
        <v>397</v>
      </c>
      <c r="F242" s="2" t="str">
        <f t="array" ref="F242">IFERROR(INDEX(Triagem!$I$2:$I$451,MATCH($A242,Triagem!$A$2:$A$451,0))&amp;"","")</f>
        <v>Incluir</v>
      </c>
      <c r="G242" s="2" t="str">
        <f t="array" ref="G242">IFERROR(INDEX('Revisão_Gemini'!$H$7:$H$456,MATCH($A242,'Revisão_Gemini'!$A$7:$A$456,0))&amp;"","")</f>
        <v>Incluir</v>
      </c>
      <c r="H242" s="2" t="str">
        <f t="array" ref="H242">IFERROR(INDEX('Revisão_ChatGPT'!$H$7:$H$456,MATCH($A242,'Revisão_ChatGPT'!$A$7:$A$456,0))&amp;"","")</f>
        <v>Incluir</v>
      </c>
      <c r="I242" s="2" t="str">
        <f t="shared" si="1"/>
        <v>3/3</v>
      </c>
      <c r="J242" s="21"/>
      <c r="K242" s="21"/>
      <c r="L242" s="21"/>
      <c r="M242" s="22" t="b">
        <f t="shared" si="2"/>
        <v>0</v>
      </c>
      <c r="N242" s="21"/>
      <c r="O242" s="2" t="str">
        <f t="shared" si="3"/>
        <v>Fora do recorte anual + Incluir</v>
      </c>
      <c r="P242" s="2" t="str">
        <f t="array" ref="P242">IF(O242&lt;&gt;"Incluir","",IF(K242&lt;&gt;"",K242,IF(IFERROR(INDEX(Triagem!$J$2:$J$451,MATCH($A242,Triagem!$A$2:$A$451,0))&amp;"","")&lt;&gt;"",IFERROR(INDEX(Triagem!$J$2:$J$451,MATCH($A242,Triagem!$A$2:$A$451,0))&amp;"",""),IF(IFERROR(INDEX('Revisão_Gemini'!$I$7:$I$456,MATCH($A242,'Revisão_Gemini'!$A$7:$A$456,0))&amp;"","")&lt;&gt;"",IFERROR(INDEX('Revisão_Gemini'!$I$7:$I$456,MATCH($A242,'Revisão_Gemini'!$A$7:$A$456,0))&amp;"",""),IFERROR(INDEX('Revisão_ChatGPT'!$I$7:$I$456,MATCH($A242,'Revisão_ChatGPT'!$A$7:$A$456,0))&amp;"","")))))</f>
        <v/>
      </c>
      <c r="Q242" s="2" t="str">
        <f t="array" ref="Q242">IF(O242&lt;&gt;"Excluir","",IF(L242&lt;&gt;"",L242,IF(F242="Excluir",IFERROR(INDEX(Triagem!$K$2:$K$451,MATCH($A242,Triagem!$A$2:$A$451,0))&amp;"",""),IF(G242="Excluir",IFERROR(INDEX('Revisão_Gemini'!$J$7:$J$456,MATCH($A242,'Revisão_Gemini'!$A$7:$A$456,0))&amp;"",""),IFERROR(INDEX('Revisão_ChatGPT'!$J$7:$J$456,MATCH($A242,'Revisão_ChatGPT'!$A$7:$A$456,0))&amp;"","")))))</f>
        <v/>
      </c>
    </row>
    <row r="243" ht="15.75" customHeight="1">
      <c r="A243" s="2" t="s">
        <v>1699</v>
      </c>
      <c r="B243" s="19" t="str">
        <f t="array" ref="B243">INDEX(Triagem!$N$2:$N451 , MATCH(A243,Triagem!$A$2:$A451,0))</f>
        <v>abrir</v>
      </c>
      <c r="C243" s="20">
        <f t="array" ref="C243">INDEX(Triagem!$B$2:$B451 , MATCH(A243,Triagem!$A$2:$A451,0))</f>
        <v>2019</v>
      </c>
      <c r="D243" s="2" t="s">
        <v>1701</v>
      </c>
      <c r="E243" s="2" t="s">
        <v>1702</v>
      </c>
      <c r="F243" s="2" t="str">
        <f t="array" ref="F243">IFERROR(INDEX(Triagem!$I$2:$I$451,MATCH($A243,Triagem!$A$2:$A$451,0))&amp;"","")</f>
        <v>Excluir</v>
      </c>
      <c r="G243" s="2" t="str">
        <f t="array" ref="G243">IFERROR(INDEX('Revisão_Gemini'!$H$7:$H$456,MATCH($A243,'Revisão_Gemini'!$A$7:$A$456,0))&amp;"","")</f>
        <v>Excluir</v>
      </c>
      <c r="H243" s="2" t="str">
        <f t="array" ref="H243">IFERROR(INDEX('Revisão_ChatGPT'!$H$7:$H$456,MATCH($A243,'Revisão_ChatGPT'!$A$7:$A$456,0))&amp;"","")</f>
        <v>Excluir</v>
      </c>
      <c r="I243" s="2" t="str">
        <f t="shared" si="1"/>
        <v>3/3</v>
      </c>
      <c r="J243" s="21"/>
      <c r="K243" s="21"/>
      <c r="L243" s="21"/>
      <c r="M243" s="22" t="b">
        <f t="shared" si="2"/>
        <v>0</v>
      </c>
      <c r="N243" s="21"/>
      <c r="O243" s="2" t="str">
        <f t="shared" si="3"/>
        <v>Fora do recorte anual + Excluir</v>
      </c>
      <c r="P243" s="2" t="str">
        <f t="array" ref="P243">IF(O243&lt;&gt;"Incluir","",IF(K243&lt;&gt;"",K243,IF(IFERROR(INDEX(Triagem!$J$2:$J$451,MATCH($A243,Triagem!$A$2:$A$451,0))&amp;"","")&lt;&gt;"",IFERROR(INDEX(Triagem!$J$2:$J$451,MATCH($A243,Triagem!$A$2:$A$451,0))&amp;"",""),IF(IFERROR(INDEX('Revisão_Gemini'!$I$7:$I$456,MATCH($A243,'Revisão_Gemini'!$A$7:$A$456,0))&amp;"","")&lt;&gt;"",IFERROR(INDEX('Revisão_Gemini'!$I$7:$I$456,MATCH($A243,'Revisão_Gemini'!$A$7:$A$456,0))&amp;"",""),IFERROR(INDEX('Revisão_ChatGPT'!$I$7:$I$456,MATCH($A243,'Revisão_ChatGPT'!$A$7:$A$456,0))&amp;"","")))))</f>
        <v/>
      </c>
      <c r="Q243" s="2" t="str">
        <f t="array" ref="Q243">IF(O243&lt;&gt;"Excluir","",IF(L243&lt;&gt;"",L243,IF(F243="Excluir",IFERROR(INDEX(Triagem!$K$2:$K$451,MATCH($A243,Triagem!$A$2:$A$451,0))&amp;"",""),IF(G243="Excluir",IFERROR(INDEX('Revisão_Gemini'!$J$7:$J$456,MATCH($A243,'Revisão_Gemini'!$A$7:$A$456,0))&amp;"",""),IFERROR(INDEX('Revisão_ChatGPT'!$J$7:$J$456,MATCH($A243,'Revisão_ChatGPT'!$A$7:$A$456,0))&amp;"","")))))</f>
        <v/>
      </c>
    </row>
    <row r="244" ht="15.75" customHeight="1">
      <c r="A244" s="2" t="s">
        <v>398</v>
      </c>
      <c r="B244" s="19" t="str">
        <f t="array" ref="B244">INDEX(Triagem!$N$2:$N451 , MATCH(A244,Triagem!$A$2:$A451,0))</f>
        <v>abrir</v>
      </c>
      <c r="C244" s="20">
        <f t="array" ref="C244">INDEX(Triagem!$B$2:$B451 , MATCH(A244,Triagem!$A$2:$A451,0))</f>
        <v>2019</v>
      </c>
      <c r="D244" s="2" t="s">
        <v>400</v>
      </c>
      <c r="E244" s="2" t="s">
        <v>401</v>
      </c>
      <c r="F244" s="2" t="str">
        <f t="array" ref="F244">IFERROR(INDEX(Triagem!$I$2:$I$451,MATCH($A244,Triagem!$A$2:$A$451,0))&amp;"","")</f>
        <v>Incluir</v>
      </c>
      <c r="G244" s="2" t="str">
        <f t="array" ref="G244">IFERROR(INDEX('Revisão_Gemini'!$H$7:$H$456,MATCH($A244,'Revisão_Gemini'!$A$7:$A$456,0))&amp;"","")</f>
        <v>Incluir</v>
      </c>
      <c r="H244" s="2" t="str">
        <f t="array" ref="H244">IFERROR(INDEX('Revisão_ChatGPT'!$H$7:$H$456,MATCH($A244,'Revisão_ChatGPT'!$A$7:$A$456,0))&amp;"","")</f>
        <v>Incluir</v>
      </c>
      <c r="I244" s="2" t="str">
        <f t="shared" si="1"/>
        <v>3/3</v>
      </c>
      <c r="J244" s="21"/>
      <c r="K244" s="21"/>
      <c r="L244" s="21"/>
      <c r="M244" s="22" t="b">
        <f t="shared" si="2"/>
        <v>0</v>
      </c>
      <c r="N244" s="21" t="s">
        <v>3288</v>
      </c>
      <c r="O244" s="2" t="str">
        <f t="shared" si="3"/>
        <v>Fora do recorte anual + Incluir</v>
      </c>
      <c r="P244" s="2" t="str">
        <f t="array" ref="P244">IF(O244&lt;&gt;"Incluir","",IF(K244&lt;&gt;"",K244,IF(IFERROR(INDEX(Triagem!$J$2:$J$451,MATCH($A244,Triagem!$A$2:$A$451,0))&amp;"","")&lt;&gt;"",IFERROR(INDEX(Triagem!$J$2:$J$451,MATCH($A244,Triagem!$A$2:$A$451,0))&amp;"",""),IF(IFERROR(INDEX('Revisão_Gemini'!$I$7:$I$456,MATCH($A244,'Revisão_Gemini'!$A$7:$A$456,0))&amp;"","")&lt;&gt;"",IFERROR(INDEX('Revisão_Gemini'!$I$7:$I$456,MATCH($A244,'Revisão_Gemini'!$A$7:$A$456,0))&amp;"",""),IFERROR(INDEX('Revisão_ChatGPT'!$I$7:$I$456,MATCH($A244,'Revisão_ChatGPT'!$A$7:$A$456,0))&amp;"","")))))</f>
        <v/>
      </c>
      <c r="Q244" s="2" t="str">
        <f t="array" ref="Q244">IF(O244&lt;&gt;"Excluir","",IF(L244&lt;&gt;"",L244,IF(F244="Excluir",IFERROR(INDEX(Triagem!$K$2:$K$451,MATCH($A244,Triagem!$A$2:$A$451,0))&amp;"",""),IF(G244="Excluir",IFERROR(INDEX('Revisão_Gemini'!$J$7:$J$456,MATCH($A244,'Revisão_Gemini'!$A$7:$A$456,0))&amp;"",""),IFERROR(INDEX('Revisão_ChatGPT'!$J$7:$J$456,MATCH($A244,'Revisão_ChatGPT'!$A$7:$A$456,0))&amp;"","")))))</f>
        <v/>
      </c>
    </row>
    <row r="245" ht="15.75" customHeight="1">
      <c r="A245" s="2" t="s">
        <v>1682</v>
      </c>
      <c r="B245" s="19" t="str">
        <f t="array" ref="B245">INDEX(Triagem!$N$2:$N451 , MATCH(A245,Triagem!$A$2:$A451,0))</f>
        <v>abrir</v>
      </c>
      <c r="C245" s="20">
        <f t="array" ref="C245">INDEX(Triagem!$B$2:$B451 , MATCH(A245,Triagem!$A$2:$A451,0))</f>
        <v>2020</v>
      </c>
      <c r="D245" s="2" t="s">
        <v>1684</v>
      </c>
      <c r="E245" s="2" t="s">
        <v>1685</v>
      </c>
      <c r="F245" s="2" t="str">
        <f t="array" ref="F245">IFERROR(INDEX(Triagem!$I$2:$I$451,MATCH($A245,Triagem!$A$2:$A$451,0))&amp;"","")</f>
        <v>Excluir</v>
      </c>
      <c r="G245" s="2" t="str">
        <f t="array" ref="G245">IFERROR(INDEX('Revisão_Gemini'!$H$7:$H$456,MATCH($A245,'Revisão_Gemini'!$A$7:$A$456,0))&amp;"","")</f>
        <v>Incluir</v>
      </c>
      <c r="H245" s="2" t="str">
        <f t="array" ref="H245">IFERROR(INDEX('Revisão_ChatGPT'!$H$7:$H$456,MATCH($A245,'Revisão_ChatGPT'!$A$7:$A$456,0))&amp;"","")</f>
        <v>Excluir</v>
      </c>
      <c r="I245" s="2" t="str">
        <f t="shared" si="1"/>
        <v>2/3</v>
      </c>
      <c r="J245" s="21" t="s">
        <v>906</v>
      </c>
      <c r="K245" s="21"/>
      <c r="L245" s="21"/>
      <c r="M245" s="22" t="b">
        <f t="shared" si="2"/>
        <v>0</v>
      </c>
      <c r="N245" s="21" t="s">
        <v>3289</v>
      </c>
      <c r="O245" s="2" t="str">
        <f t="shared" si="3"/>
        <v>Fora do recorte anual + Excluir</v>
      </c>
      <c r="P245" s="2" t="str">
        <f t="array" ref="P245">IF(O245&lt;&gt;"Incluir","",IF(K245&lt;&gt;"",K245,IF(IFERROR(INDEX(Triagem!$J$2:$J$451,MATCH($A245,Triagem!$A$2:$A$451,0))&amp;"","")&lt;&gt;"",IFERROR(INDEX(Triagem!$J$2:$J$451,MATCH($A245,Triagem!$A$2:$A$451,0))&amp;"",""),IF(IFERROR(INDEX('Revisão_Gemini'!$I$7:$I$456,MATCH($A245,'Revisão_Gemini'!$A$7:$A$456,0))&amp;"","")&lt;&gt;"",IFERROR(INDEX('Revisão_Gemini'!$I$7:$I$456,MATCH($A245,'Revisão_Gemini'!$A$7:$A$456,0))&amp;"",""),IFERROR(INDEX('Revisão_ChatGPT'!$I$7:$I$456,MATCH($A245,'Revisão_ChatGPT'!$A$7:$A$456,0))&amp;"","")))))</f>
        <v/>
      </c>
      <c r="Q245" s="2" t="str">
        <f t="array" ref="Q245">IF(O245&lt;&gt;"Excluir","",IF(L245&lt;&gt;"",L245,IF(F245="Excluir",IFERROR(INDEX(Triagem!$K$2:$K$451,MATCH($A245,Triagem!$A$2:$A$451,0))&amp;"",""),IF(G245="Excluir",IFERROR(INDEX('Revisão_Gemini'!$J$7:$J$456,MATCH($A245,'Revisão_Gemini'!$A$7:$A$456,0))&amp;"",""),IFERROR(INDEX('Revisão_ChatGPT'!$J$7:$J$456,MATCH($A245,'Revisão_ChatGPT'!$A$7:$A$456,0))&amp;"","")))))</f>
        <v/>
      </c>
    </row>
    <row r="246" ht="15.75" customHeight="1">
      <c r="A246" s="2" t="s">
        <v>1286</v>
      </c>
      <c r="B246" s="19" t="str">
        <f t="array" ref="B246">INDEX(Triagem!$N$2:$N451 , MATCH(A246,Triagem!$A$2:$A451,0))</f>
        <v>abrir</v>
      </c>
      <c r="C246" s="20">
        <f t="array" ref="C246">INDEX(Triagem!$B$2:$B451 , MATCH(A246,Triagem!$A$2:$A451,0))</f>
        <v>2019</v>
      </c>
      <c r="D246" s="2" t="s">
        <v>1288</v>
      </c>
      <c r="E246" s="2" t="s">
        <v>1289</v>
      </c>
      <c r="F246" s="2" t="str">
        <f t="array" ref="F246">IFERROR(INDEX(Triagem!$I$2:$I$451,MATCH($A246,Triagem!$A$2:$A$451,0))&amp;"","")</f>
        <v>Excluir</v>
      </c>
      <c r="G246" s="2" t="str">
        <f t="array" ref="G246">IFERROR(INDEX('Revisão_Gemini'!$H$7:$H$456,MATCH($A246,'Revisão_Gemini'!$A$7:$A$456,0))&amp;"","")</f>
        <v>Excluir</v>
      </c>
      <c r="H246" s="2" t="str">
        <f t="array" ref="H246">IFERROR(INDEX('Revisão_ChatGPT'!$H$7:$H$456,MATCH($A246,'Revisão_ChatGPT'!$A$7:$A$456,0))&amp;"","")</f>
        <v>Excluir</v>
      </c>
      <c r="I246" s="2" t="str">
        <f t="shared" si="1"/>
        <v>3/3</v>
      </c>
      <c r="J246" s="21"/>
      <c r="K246" s="21"/>
      <c r="L246" s="21"/>
      <c r="M246" s="22" t="b">
        <f t="shared" si="2"/>
        <v>0</v>
      </c>
      <c r="N246" s="21"/>
      <c r="O246" s="2" t="str">
        <f t="shared" si="3"/>
        <v>Fora do recorte anual + Excluir</v>
      </c>
      <c r="P246" s="2" t="str">
        <f t="array" ref="P246">IF(O246&lt;&gt;"Incluir","",IF(K246&lt;&gt;"",K246,IF(IFERROR(INDEX(Triagem!$J$2:$J$451,MATCH($A246,Triagem!$A$2:$A$451,0))&amp;"","")&lt;&gt;"",IFERROR(INDEX(Triagem!$J$2:$J$451,MATCH($A246,Triagem!$A$2:$A$451,0))&amp;"",""),IF(IFERROR(INDEX('Revisão_Gemini'!$I$7:$I$456,MATCH($A246,'Revisão_Gemini'!$A$7:$A$456,0))&amp;"","")&lt;&gt;"",IFERROR(INDEX('Revisão_Gemini'!$I$7:$I$456,MATCH($A246,'Revisão_Gemini'!$A$7:$A$456,0))&amp;"",""),IFERROR(INDEX('Revisão_ChatGPT'!$I$7:$I$456,MATCH($A246,'Revisão_ChatGPT'!$A$7:$A$456,0))&amp;"","")))))</f>
        <v/>
      </c>
      <c r="Q246" s="2" t="str">
        <f t="array" ref="Q246">IF(O246&lt;&gt;"Excluir","",IF(L246&lt;&gt;"",L246,IF(F246="Excluir",IFERROR(INDEX(Triagem!$K$2:$K$451,MATCH($A246,Triagem!$A$2:$A$451,0))&amp;"",""),IF(G246="Excluir",IFERROR(INDEX('Revisão_Gemini'!$J$7:$J$456,MATCH($A246,'Revisão_Gemini'!$A$7:$A$456,0))&amp;"",""),IFERROR(INDEX('Revisão_ChatGPT'!$J$7:$J$456,MATCH($A246,'Revisão_ChatGPT'!$A$7:$A$456,0))&amp;"","")))))</f>
        <v/>
      </c>
    </row>
    <row r="247" ht="15.75" customHeight="1">
      <c r="A247" s="2" t="s">
        <v>404</v>
      </c>
      <c r="B247" s="19" t="str">
        <f t="array" ref="B247">INDEX(Triagem!$N$2:$N451 , MATCH(A247,Triagem!$A$2:$A451,0))</f>
        <v>abrir</v>
      </c>
      <c r="C247" s="20">
        <f t="array" ref="C247">INDEX(Triagem!$B$2:$B451 , MATCH(A247,Triagem!$A$2:$A451,0))</f>
        <v>2019</v>
      </c>
      <c r="D247" s="2" t="s">
        <v>406</v>
      </c>
      <c r="E247" s="2" t="s">
        <v>407</v>
      </c>
      <c r="F247" s="2" t="str">
        <f t="array" ref="F247">IFERROR(INDEX(Triagem!$I$2:$I$451,MATCH($A247,Triagem!$A$2:$A$451,0))&amp;"","")</f>
        <v>Incluir</v>
      </c>
      <c r="G247" s="2" t="str">
        <f t="array" ref="G247">IFERROR(INDEX('Revisão_Gemini'!$H$7:$H$456,MATCH($A247,'Revisão_Gemini'!$A$7:$A$456,0))&amp;"","")</f>
        <v>Incluir</v>
      </c>
      <c r="H247" s="2" t="str">
        <f t="array" ref="H247">IFERROR(INDEX('Revisão_ChatGPT'!$H$7:$H$456,MATCH($A247,'Revisão_ChatGPT'!$A$7:$A$456,0))&amp;"","")</f>
        <v>Incluir</v>
      </c>
      <c r="I247" s="2" t="str">
        <f t="shared" si="1"/>
        <v>3/3</v>
      </c>
      <c r="J247" s="21"/>
      <c r="K247" s="21"/>
      <c r="L247" s="21"/>
      <c r="M247" s="22" t="b">
        <f t="shared" si="2"/>
        <v>0</v>
      </c>
      <c r="N247" s="21" t="s">
        <v>3290</v>
      </c>
      <c r="O247" s="2" t="str">
        <f t="shared" si="3"/>
        <v>Fora do recorte anual + Incluir</v>
      </c>
      <c r="P247" s="2" t="str">
        <f t="array" ref="P247">IF(O247&lt;&gt;"Incluir","",IF(K247&lt;&gt;"",K247,IF(IFERROR(INDEX(Triagem!$J$2:$J$451,MATCH($A247,Triagem!$A$2:$A$451,0))&amp;"","")&lt;&gt;"",IFERROR(INDEX(Triagem!$J$2:$J$451,MATCH($A247,Triagem!$A$2:$A$451,0))&amp;"",""),IF(IFERROR(INDEX('Revisão_Gemini'!$I$7:$I$456,MATCH($A247,'Revisão_Gemini'!$A$7:$A$456,0))&amp;"","")&lt;&gt;"",IFERROR(INDEX('Revisão_Gemini'!$I$7:$I$456,MATCH($A247,'Revisão_Gemini'!$A$7:$A$456,0))&amp;"",""),IFERROR(INDEX('Revisão_ChatGPT'!$I$7:$I$456,MATCH($A247,'Revisão_ChatGPT'!$A$7:$A$456,0))&amp;"","")))))</f>
        <v/>
      </c>
      <c r="Q247" s="2" t="str">
        <f t="array" ref="Q247">IF(O247&lt;&gt;"Excluir","",IF(L247&lt;&gt;"",L247,IF(F247="Excluir",IFERROR(INDEX(Triagem!$K$2:$K$451,MATCH($A247,Triagem!$A$2:$A$451,0))&amp;"",""),IF(G247="Excluir",IFERROR(INDEX('Revisão_Gemini'!$J$7:$J$456,MATCH($A247,'Revisão_Gemini'!$A$7:$A$456,0))&amp;"",""),IFERROR(INDEX('Revisão_ChatGPT'!$J$7:$J$456,MATCH($A247,'Revisão_ChatGPT'!$A$7:$A$456,0))&amp;"","")))))</f>
        <v/>
      </c>
    </row>
    <row r="248" ht="15.75" customHeight="1">
      <c r="A248" s="2" t="s">
        <v>2089</v>
      </c>
      <c r="B248" s="19" t="str">
        <f t="array" ref="B248">INDEX(Triagem!$N$2:$N451 , MATCH(A248,Triagem!$A$2:$A451,0))</f>
        <v>abrir</v>
      </c>
      <c r="C248" s="20">
        <f t="array" ref="C248">INDEX(Triagem!$B$2:$B451 , MATCH(A248,Triagem!$A$2:$A451,0))</f>
        <v>2024</v>
      </c>
      <c r="D248" s="2" t="s">
        <v>2090</v>
      </c>
      <c r="E248" s="2"/>
      <c r="F248" s="2" t="str">
        <f t="array" ref="F248">IFERROR(INDEX(Triagem!$I$2:$I$451,MATCH($A248,Triagem!$A$2:$A$451,0))&amp;"","")</f>
        <v>Excluir</v>
      </c>
      <c r="G248" s="2" t="str">
        <f t="array" ref="G248">IFERROR(INDEX('Revisão_Gemini'!$H$7:$H$456,MATCH($A248,'Revisão_Gemini'!$A$7:$A$456,0))&amp;"","")</f>
        <v>Excluir</v>
      </c>
      <c r="H248" s="2" t="str">
        <f t="array" ref="H248">IFERROR(INDEX('Revisão_ChatGPT'!$H$7:$H$456,MATCH($A248,'Revisão_ChatGPT'!$A$7:$A$456,0))&amp;"","")</f>
        <v>Excluir</v>
      </c>
      <c r="I248" s="2" t="str">
        <f t="shared" si="1"/>
        <v>3/3</v>
      </c>
      <c r="J248" s="21"/>
      <c r="K248" s="21"/>
      <c r="L248" s="21"/>
      <c r="M248" s="22" t="b">
        <f t="shared" si="2"/>
        <v>1</v>
      </c>
      <c r="N248" s="21"/>
      <c r="O248" s="2" t="str">
        <f t="shared" si="3"/>
        <v>Excluir</v>
      </c>
      <c r="P248" s="2" t="str">
        <f t="array" ref="P248">IF(O248&lt;&gt;"Incluir","",IF(K248&lt;&gt;"",K248,IF(IFERROR(INDEX(Triagem!$J$2:$J$451,MATCH($A248,Triagem!$A$2:$A$451,0))&amp;"","")&lt;&gt;"",IFERROR(INDEX(Triagem!$J$2:$J$451,MATCH($A248,Triagem!$A$2:$A$451,0))&amp;"",""),IF(IFERROR(INDEX('Revisão_Gemini'!$I$7:$I$456,MATCH($A248,'Revisão_Gemini'!$A$7:$A$456,0))&amp;"","")&lt;&gt;"",IFERROR(INDEX('Revisão_Gemini'!$I$7:$I$456,MATCH($A248,'Revisão_Gemini'!$A$7:$A$456,0))&amp;"",""),IFERROR(INDEX('Revisão_ChatGPT'!$I$7:$I$456,MATCH($A248,'Revisão_ChatGPT'!$A$7:$A$456,0))&amp;"","")))))</f>
        <v/>
      </c>
      <c r="Q248" s="2" t="str">
        <f t="array" ref="Q248">IF(O248&lt;&gt;"Excluir","",IF(L248&lt;&gt;"",L248,IF(F248="Excluir",IFERROR(INDEX(Triagem!$K$2:$K$451,MATCH($A248,Triagem!$A$2:$A$451,0))&amp;"",""),IF(G248="Excluir",IFERROR(INDEX('Revisão_Gemini'!$J$7:$J$456,MATCH($A248,'Revisão_Gemini'!$A$7:$A$456,0))&amp;"",""),IFERROR(INDEX('Revisão_ChatGPT'!$J$7:$J$456,MATCH($A248,'Revisão_ChatGPT'!$A$7:$A$456,0))&amp;"","")))))</f>
        <v>E6</v>
      </c>
    </row>
    <row r="249" ht="15.75" customHeight="1">
      <c r="A249" s="2" t="s">
        <v>1291</v>
      </c>
      <c r="B249" s="19" t="str">
        <f t="array" ref="B249">INDEX(Triagem!$N$2:$N451 , MATCH(A249,Triagem!$A$2:$A451,0))</f>
        <v>abrir</v>
      </c>
      <c r="C249" s="20">
        <f t="array" ref="C249">INDEX(Triagem!$B$2:$B451 , MATCH(A249,Triagem!$A$2:$A451,0))</f>
        <v>2019</v>
      </c>
      <c r="D249" s="2" t="s">
        <v>1293</v>
      </c>
      <c r="E249" s="2" t="s">
        <v>1294</v>
      </c>
      <c r="F249" s="2" t="str">
        <f t="array" ref="F249">IFERROR(INDEX(Triagem!$I$2:$I$451,MATCH($A249,Triagem!$A$2:$A$451,0))&amp;"","")</f>
        <v>Excluir</v>
      </c>
      <c r="G249" s="2" t="str">
        <f t="array" ref="G249">IFERROR(INDEX('Revisão_Gemini'!$H$7:$H$456,MATCH($A249,'Revisão_Gemini'!$A$7:$A$456,0))&amp;"","")</f>
        <v>Excluir</v>
      </c>
      <c r="H249" s="2" t="str">
        <f t="array" ref="H249">IFERROR(INDEX('Revisão_ChatGPT'!$H$7:$H$456,MATCH($A249,'Revisão_ChatGPT'!$A$7:$A$456,0))&amp;"","")</f>
        <v>Excluir</v>
      </c>
      <c r="I249" s="2" t="str">
        <f t="shared" si="1"/>
        <v>3/3</v>
      </c>
      <c r="J249" s="21"/>
      <c r="K249" s="21"/>
      <c r="L249" s="21"/>
      <c r="M249" s="22" t="b">
        <f t="shared" si="2"/>
        <v>0</v>
      </c>
      <c r="N249" s="21" t="s">
        <v>3291</v>
      </c>
      <c r="O249" s="2" t="str">
        <f t="shared" si="3"/>
        <v>Fora do recorte anual + Excluir</v>
      </c>
      <c r="P249" s="2" t="str">
        <f t="array" ref="P249">IF(O249&lt;&gt;"Incluir","",IF(K249&lt;&gt;"",K249,IF(IFERROR(INDEX(Triagem!$J$2:$J$451,MATCH($A249,Triagem!$A$2:$A$451,0))&amp;"","")&lt;&gt;"",IFERROR(INDEX(Triagem!$J$2:$J$451,MATCH($A249,Triagem!$A$2:$A$451,0))&amp;"",""),IF(IFERROR(INDEX('Revisão_Gemini'!$I$7:$I$456,MATCH($A249,'Revisão_Gemini'!$A$7:$A$456,0))&amp;"","")&lt;&gt;"",IFERROR(INDEX('Revisão_Gemini'!$I$7:$I$456,MATCH($A249,'Revisão_Gemini'!$A$7:$A$456,0))&amp;"",""),IFERROR(INDEX('Revisão_ChatGPT'!$I$7:$I$456,MATCH($A249,'Revisão_ChatGPT'!$A$7:$A$456,0))&amp;"","")))))</f>
        <v/>
      </c>
      <c r="Q249" s="2" t="str">
        <f t="array" ref="Q249">IF(O249&lt;&gt;"Excluir","",IF(L249&lt;&gt;"",L249,IF(F249="Excluir",IFERROR(INDEX(Triagem!$K$2:$K$451,MATCH($A249,Triagem!$A$2:$A$451,0))&amp;"",""),IF(G249="Excluir",IFERROR(INDEX('Revisão_Gemini'!$J$7:$J$456,MATCH($A249,'Revisão_Gemini'!$A$7:$A$456,0))&amp;"",""),IFERROR(INDEX('Revisão_ChatGPT'!$J$7:$J$456,MATCH($A249,'Revisão_ChatGPT'!$A$7:$A$456,0))&amp;"","")))))</f>
        <v/>
      </c>
    </row>
    <row r="250" ht="15.75" customHeight="1">
      <c r="A250" s="2" t="s">
        <v>409</v>
      </c>
      <c r="B250" s="19" t="str">
        <f t="array" ref="B250">INDEX(Triagem!$N$2:$N451 , MATCH(A250,Triagem!$A$2:$A451,0))</f>
        <v>abrir</v>
      </c>
      <c r="C250" s="20">
        <f t="array" ref="C250">INDEX(Triagem!$B$2:$B451 , MATCH(A250,Triagem!$A$2:$A451,0))</f>
        <v>2019</v>
      </c>
      <c r="D250" s="2" t="s">
        <v>411</v>
      </c>
      <c r="E250" s="2" t="s">
        <v>412</v>
      </c>
      <c r="F250" s="2" t="str">
        <f t="array" ref="F250">IFERROR(INDEX(Triagem!$I$2:$I$451,MATCH($A250,Triagem!$A$2:$A$451,0))&amp;"","")</f>
        <v>Incluir</v>
      </c>
      <c r="G250" s="2" t="str">
        <f t="array" ref="G250">IFERROR(INDEX('Revisão_Gemini'!$H$7:$H$456,MATCH($A250,'Revisão_Gemini'!$A$7:$A$456,0))&amp;"","")</f>
        <v>Incluir</v>
      </c>
      <c r="H250" s="2" t="str">
        <f t="array" ref="H250">IFERROR(INDEX('Revisão_ChatGPT'!$H$7:$H$456,MATCH($A250,'Revisão_ChatGPT'!$A$7:$A$456,0))&amp;"","")</f>
        <v>Incluir</v>
      </c>
      <c r="I250" s="2" t="str">
        <f t="shared" si="1"/>
        <v>3/3</v>
      </c>
      <c r="J250" s="21"/>
      <c r="K250" s="21"/>
      <c r="L250" s="21"/>
      <c r="M250" s="22" t="b">
        <f t="shared" si="2"/>
        <v>0</v>
      </c>
      <c r="N250" s="21" t="s">
        <v>3292</v>
      </c>
      <c r="O250" s="2" t="str">
        <f t="shared" si="3"/>
        <v>Fora do recorte anual + Incluir</v>
      </c>
      <c r="P250" s="2" t="str">
        <f t="array" ref="P250">IF(O250&lt;&gt;"Incluir","",IF(K250&lt;&gt;"",K250,IF(IFERROR(INDEX(Triagem!$J$2:$J$451,MATCH($A250,Triagem!$A$2:$A$451,0))&amp;"","")&lt;&gt;"",IFERROR(INDEX(Triagem!$J$2:$J$451,MATCH($A250,Triagem!$A$2:$A$451,0))&amp;"",""),IF(IFERROR(INDEX('Revisão_Gemini'!$I$7:$I$456,MATCH($A250,'Revisão_Gemini'!$A$7:$A$456,0))&amp;"","")&lt;&gt;"",IFERROR(INDEX('Revisão_Gemini'!$I$7:$I$456,MATCH($A250,'Revisão_Gemini'!$A$7:$A$456,0))&amp;"",""),IFERROR(INDEX('Revisão_ChatGPT'!$I$7:$I$456,MATCH($A250,'Revisão_ChatGPT'!$A$7:$A$456,0))&amp;"","")))))</f>
        <v/>
      </c>
      <c r="Q250" s="2" t="str">
        <f t="array" ref="Q250">IF(O250&lt;&gt;"Excluir","",IF(L250&lt;&gt;"",L250,IF(F250="Excluir",IFERROR(INDEX(Triagem!$K$2:$K$451,MATCH($A250,Triagem!$A$2:$A$451,0))&amp;"",""),IF(G250="Excluir",IFERROR(INDEX('Revisão_Gemini'!$J$7:$J$456,MATCH($A250,'Revisão_Gemini'!$A$7:$A$456,0))&amp;"",""),IFERROR(INDEX('Revisão_ChatGPT'!$J$7:$J$456,MATCH($A250,'Revisão_ChatGPT'!$A$7:$A$456,0))&amp;"","")))))</f>
        <v/>
      </c>
    </row>
    <row r="251" ht="15.75" customHeight="1">
      <c r="A251" s="2" t="s">
        <v>1229</v>
      </c>
      <c r="B251" s="19" t="str">
        <f t="array" ref="B251">INDEX(Triagem!$N$2:$N451 , MATCH(A251,Triagem!$A$2:$A451,0))</f>
        <v>abrir</v>
      </c>
      <c r="C251" s="20">
        <f t="array" ref="C251">INDEX(Triagem!$B$2:$B451 , MATCH(A251,Triagem!$A$2:$A451,0))</f>
        <v>2020</v>
      </c>
      <c r="D251" s="2" t="s">
        <v>1231</v>
      </c>
      <c r="E251" s="2" t="s">
        <v>1232</v>
      </c>
      <c r="F251" s="2" t="str">
        <f t="array" ref="F251">IFERROR(INDEX(Triagem!$I$2:$I$451,MATCH($A251,Triagem!$A$2:$A$451,0))&amp;"","")</f>
        <v>Excluir</v>
      </c>
      <c r="G251" s="2" t="str">
        <f t="array" ref="G251">IFERROR(INDEX('Revisão_Gemini'!$H$7:$H$456,MATCH($A251,'Revisão_Gemini'!$A$7:$A$456,0))&amp;"","")</f>
        <v>Excluir</v>
      </c>
      <c r="H251" s="2" t="str">
        <f t="array" ref="H251">IFERROR(INDEX('Revisão_ChatGPT'!$H$7:$H$456,MATCH($A251,'Revisão_ChatGPT'!$A$7:$A$456,0))&amp;"","")</f>
        <v>Excluir</v>
      </c>
      <c r="I251" s="2" t="str">
        <f t="shared" si="1"/>
        <v>3/3</v>
      </c>
      <c r="J251" s="21"/>
      <c r="K251" s="21"/>
      <c r="L251" s="21"/>
      <c r="M251" s="22" t="b">
        <f t="shared" si="2"/>
        <v>0</v>
      </c>
      <c r="N251" s="21" t="s">
        <v>3293</v>
      </c>
      <c r="O251" s="2" t="str">
        <f t="shared" si="3"/>
        <v>Fora do recorte anual + Excluir</v>
      </c>
      <c r="P251" s="2" t="str">
        <f t="array" ref="P251">IF(O251&lt;&gt;"Incluir","",IF(K251&lt;&gt;"",K251,IF(IFERROR(INDEX(Triagem!$J$2:$J$451,MATCH($A251,Triagem!$A$2:$A$451,0))&amp;"","")&lt;&gt;"",IFERROR(INDEX(Triagem!$J$2:$J$451,MATCH($A251,Triagem!$A$2:$A$451,0))&amp;"",""),IF(IFERROR(INDEX('Revisão_Gemini'!$I$7:$I$456,MATCH($A251,'Revisão_Gemini'!$A$7:$A$456,0))&amp;"","")&lt;&gt;"",IFERROR(INDEX('Revisão_Gemini'!$I$7:$I$456,MATCH($A251,'Revisão_Gemini'!$A$7:$A$456,0))&amp;"",""),IFERROR(INDEX('Revisão_ChatGPT'!$I$7:$I$456,MATCH($A251,'Revisão_ChatGPT'!$A$7:$A$456,0))&amp;"","")))))</f>
        <v/>
      </c>
      <c r="Q251" s="2" t="str">
        <f t="array" ref="Q251">IF(O251&lt;&gt;"Excluir","",IF(L251&lt;&gt;"",L251,IF(F251="Excluir",IFERROR(INDEX(Triagem!$K$2:$K$451,MATCH($A251,Triagem!$A$2:$A$451,0))&amp;"",""),IF(G251="Excluir",IFERROR(INDEX('Revisão_Gemini'!$J$7:$J$456,MATCH($A251,'Revisão_Gemini'!$A$7:$A$456,0))&amp;"",""),IFERROR(INDEX('Revisão_ChatGPT'!$J$7:$J$456,MATCH($A251,'Revisão_ChatGPT'!$A$7:$A$456,0))&amp;"","")))))</f>
        <v/>
      </c>
    </row>
    <row r="252" ht="15.75" customHeight="1">
      <c r="A252" s="2" t="s">
        <v>2146</v>
      </c>
      <c r="B252" s="19" t="str">
        <f t="array" ref="B252">INDEX(Triagem!$N$2:$N451 , MATCH(A252,Triagem!$A$2:$A451,0))</f>
        <v>abrir</v>
      </c>
      <c r="C252" s="20">
        <f t="array" ref="C252">INDEX(Triagem!$B$2:$B451 , MATCH(A252,Triagem!$A$2:$A451,0))</f>
        <v>2019</v>
      </c>
      <c r="D252" s="2" t="s">
        <v>2148</v>
      </c>
      <c r="E252" s="2" t="s">
        <v>2149</v>
      </c>
      <c r="F252" s="2" t="str">
        <f t="array" ref="F252">IFERROR(INDEX(Triagem!$I$2:$I$451,MATCH($A252,Triagem!$A$2:$A$451,0))&amp;"","")</f>
        <v>Excluir</v>
      </c>
      <c r="G252" s="2" t="str">
        <f t="array" ref="G252">IFERROR(INDEX('Revisão_Gemini'!$H$7:$H$456,MATCH($A252,'Revisão_Gemini'!$A$7:$A$456,0))&amp;"","")</f>
        <v>Excluir</v>
      </c>
      <c r="H252" s="2" t="str">
        <f t="array" ref="H252">IFERROR(INDEX('Revisão_ChatGPT'!$H$7:$H$456,MATCH($A252,'Revisão_ChatGPT'!$A$7:$A$456,0))&amp;"","")</f>
        <v>Excluir</v>
      </c>
      <c r="I252" s="2" t="str">
        <f t="shared" si="1"/>
        <v>3/3</v>
      </c>
      <c r="J252" s="21"/>
      <c r="K252" s="21"/>
      <c r="L252" s="21"/>
      <c r="M252" s="22" t="b">
        <f t="shared" si="2"/>
        <v>0</v>
      </c>
      <c r="N252" s="21" t="s">
        <v>3294</v>
      </c>
      <c r="O252" s="2" t="str">
        <f t="shared" si="3"/>
        <v>Fora do recorte anual + Excluir</v>
      </c>
      <c r="P252" s="2" t="str">
        <f t="array" ref="P252">IF(O252&lt;&gt;"Incluir","",IF(K252&lt;&gt;"",K252,IF(IFERROR(INDEX(Triagem!$J$2:$J$451,MATCH($A252,Triagem!$A$2:$A$451,0))&amp;"","")&lt;&gt;"",IFERROR(INDEX(Triagem!$J$2:$J$451,MATCH($A252,Triagem!$A$2:$A$451,0))&amp;"",""),IF(IFERROR(INDEX('Revisão_Gemini'!$I$7:$I$456,MATCH($A252,'Revisão_Gemini'!$A$7:$A$456,0))&amp;"","")&lt;&gt;"",IFERROR(INDEX('Revisão_Gemini'!$I$7:$I$456,MATCH($A252,'Revisão_Gemini'!$A$7:$A$456,0))&amp;"",""),IFERROR(INDEX('Revisão_ChatGPT'!$I$7:$I$456,MATCH($A252,'Revisão_ChatGPT'!$A$7:$A$456,0))&amp;"","")))))</f>
        <v/>
      </c>
      <c r="Q252" s="2" t="str">
        <f t="array" ref="Q252">IF(O252&lt;&gt;"Excluir","",IF(L252&lt;&gt;"",L252,IF(F252="Excluir",IFERROR(INDEX(Triagem!$K$2:$K$451,MATCH($A252,Triagem!$A$2:$A$451,0))&amp;"",""),IF(G252="Excluir",IFERROR(INDEX('Revisão_Gemini'!$J$7:$J$456,MATCH($A252,'Revisão_Gemini'!$A$7:$A$456,0))&amp;"",""),IFERROR(INDEX('Revisão_ChatGPT'!$J$7:$J$456,MATCH($A252,'Revisão_ChatGPT'!$A$7:$A$456,0))&amp;"","")))))</f>
        <v/>
      </c>
    </row>
    <row r="253" ht="15.75" customHeight="1">
      <c r="A253" s="2" t="s">
        <v>780</v>
      </c>
      <c r="B253" s="19" t="str">
        <f t="array" ref="B253">INDEX(Triagem!$N$2:$N451 , MATCH(A253,Triagem!$A$2:$A451,0))</f>
        <v>abrir</v>
      </c>
      <c r="C253" s="20">
        <f t="array" ref="C253">INDEX(Triagem!$B$2:$B451 , MATCH(A253,Triagem!$A$2:$A451,0))</f>
        <v>2019</v>
      </c>
      <c r="D253" s="2" t="s">
        <v>782</v>
      </c>
      <c r="E253" s="2" t="s">
        <v>783</v>
      </c>
      <c r="F253" s="2" t="str">
        <f t="array" ref="F253">IFERROR(INDEX(Triagem!$I$2:$I$451,MATCH($A253,Triagem!$A$2:$A$451,0))&amp;"","")</f>
        <v>Apoio</v>
      </c>
      <c r="G253" s="2" t="str">
        <f t="array" ref="G253">IFERROR(INDEX('Revisão_Gemini'!$H$7:$H$456,MATCH($A253,'Revisão_Gemini'!$A$7:$A$456,0))&amp;"","")</f>
        <v>Apoio</v>
      </c>
      <c r="H253" s="2" t="str">
        <f t="array" ref="H253">IFERROR(INDEX('Revisão_ChatGPT'!$H$7:$H$456,MATCH($A253,'Revisão_ChatGPT'!$A$7:$A$456,0))&amp;"","")</f>
        <v>Apoio</v>
      </c>
      <c r="I253" s="2" t="str">
        <f t="shared" si="1"/>
        <v>3/3</v>
      </c>
      <c r="J253" s="21"/>
      <c r="K253" s="21"/>
      <c r="L253" s="21"/>
      <c r="M253" s="22" t="b">
        <f t="shared" si="2"/>
        <v>0</v>
      </c>
      <c r="N253" s="21"/>
      <c r="O253" s="2" t="str">
        <f t="shared" si="3"/>
        <v>Fora do recorte anual + Apoio</v>
      </c>
      <c r="P253" s="2" t="str">
        <f t="array" ref="P253">IF(O253&lt;&gt;"Incluir","",IF(K253&lt;&gt;"",K253,IF(IFERROR(INDEX(Triagem!$J$2:$J$451,MATCH($A253,Triagem!$A$2:$A$451,0))&amp;"","")&lt;&gt;"",IFERROR(INDEX(Triagem!$J$2:$J$451,MATCH($A253,Triagem!$A$2:$A$451,0))&amp;"",""),IF(IFERROR(INDEX('Revisão_Gemini'!$I$7:$I$456,MATCH($A253,'Revisão_Gemini'!$A$7:$A$456,0))&amp;"","")&lt;&gt;"",IFERROR(INDEX('Revisão_Gemini'!$I$7:$I$456,MATCH($A253,'Revisão_Gemini'!$A$7:$A$456,0))&amp;"",""),IFERROR(INDEX('Revisão_ChatGPT'!$I$7:$I$456,MATCH($A253,'Revisão_ChatGPT'!$A$7:$A$456,0))&amp;"","")))))</f>
        <v/>
      </c>
      <c r="Q253" s="2" t="str">
        <f t="array" ref="Q253">IF(O253&lt;&gt;"Excluir","",IF(L253&lt;&gt;"",L253,IF(F253="Excluir",IFERROR(INDEX(Triagem!$K$2:$K$451,MATCH($A253,Triagem!$A$2:$A$451,0))&amp;"",""),IF(G253="Excluir",IFERROR(INDEX('Revisão_Gemini'!$J$7:$J$456,MATCH($A253,'Revisão_Gemini'!$A$7:$A$456,0))&amp;"",""),IFERROR(INDEX('Revisão_ChatGPT'!$J$7:$J$456,MATCH($A253,'Revisão_ChatGPT'!$A$7:$A$456,0))&amp;"","")))))</f>
        <v/>
      </c>
    </row>
    <row r="254" ht="15.75" customHeight="1">
      <c r="A254" s="2" t="s">
        <v>1233</v>
      </c>
      <c r="B254" s="19" t="str">
        <f t="array" ref="B254">INDEX(Triagem!$N$2:$N451 , MATCH(A254,Triagem!$A$2:$A451,0))</f>
        <v>abrir</v>
      </c>
      <c r="C254" s="20">
        <f t="array" ref="C254">INDEX(Triagem!$B$2:$B451 , MATCH(A254,Triagem!$A$2:$A451,0))</f>
        <v>2020</v>
      </c>
      <c r="D254" s="2" t="s">
        <v>1235</v>
      </c>
      <c r="E254" s="2" t="s">
        <v>1236</v>
      </c>
      <c r="F254" s="2" t="str">
        <f t="array" ref="F254">IFERROR(INDEX(Triagem!$I$2:$I$451,MATCH($A254,Triagem!$A$2:$A$451,0))&amp;"","")</f>
        <v>Excluir</v>
      </c>
      <c r="G254" s="2" t="str">
        <f t="array" ref="G254">IFERROR(INDEX('Revisão_Gemini'!$H$7:$H$456,MATCH($A254,'Revisão_Gemini'!$A$7:$A$456,0))&amp;"","")</f>
        <v>Excluir</v>
      </c>
      <c r="H254" s="2" t="str">
        <f t="array" ref="H254">IFERROR(INDEX('Revisão_ChatGPT'!$H$7:$H$456,MATCH($A254,'Revisão_ChatGPT'!$A$7:$A$456,0))&amp;"","")</f>
        <v>Excluir</v>
      </c>
      <c r="I254" s="2" t="str">
        <f t="shared" si="1"/>
        <v>3/3</v>
      </c>
      <c r="J254" s="21"/>
      <c r="K254" s="21"/>
      <c r="L254" s="21"/>
      <c r="M254" s="22" t="b">
        <f t="shared" si="2"/>
        <v>0</v>
      </c>
      <c r="N254" s="21" t="s">
        <v>3295</v>
      </c>
      <c r="O254" s="2" t="str">
        <f t="shared" si="3"/>
        <v>Fora do recorte anual + Excluir</v>
      </c>
      <c r="P254" s="2" t="str">
        <f t="array" ref="P254">IF(O254&lt;&gt;"Incluir","",IF(K254&lt;&gt;"",K254,IF(IFERROR(INDEX(Triagem!$J$2:$J$451,MATCH($A254,Triagem!$A$2:$A$451,0))&amp;"","")&lt;&gt;"",IFERROR(INDEX(Triagem!$J$2:$J$451,MATCH($A254,Triagem!$A$2:$A$451,0))&amp;"",""),IF(IFERROR(INDEX('Revisão_Gemini'!$I$7:$I$456,MATCH($A254,'Revisão_Gemini'!$A$7:$A$456,0))&amp;"","")&lt;&gt;"",IFERROR(INDEX('Revisão_Gemini'!$I$7:$I$456,MATCH($A254,'Revisão_Gemini'!$A$7:$A$456,0))&amp;"",""),IFERROR(INDEX('Revisão_ChatGPT'!$I$7:$I$456,MATCH($A254,'Revisão_ChatGPT'!$A$7:$A$456,0))&amp;"","")))))</f>
        <v/>
      </c>
      <c r="Q254" s="2" t="str">
        <f t="array" ref="Q254">IF(O254&lt;&gt;"Excluir","",IF(L254&lt;&gt;"",L254,IF(F254="Excluir",IFERROR(INDEX(Triagem!$K$2:$K$451,MATCH($A254,Triagem!$A$2:$A$451,0))&amp;"",""),IF(G254="Excluir",IFERROR(INDEX('Revisão_Gemini'!$J$7:$J$456,MATCH($A254,'Revisão_Gemini'!$A$7:$A$456,0))&amp;"",""),IFERROR(INDEX('Revisão_ChatGPT'!$J$7:$J$456,MATCH($A254,'Revisão_ChatGPT'!$A$7:$A$456,0))&amp;"","")))))</f>
        <v/>
      </c>
    </row>
    <row r="255" ht="15.75" customHeight="1">
      <c r="A255" s="2" t="s">
        <v>352</v>
      </c>
      <c r="B255" s="19" t="str">
        <f t="array" ref="B255">INDEX(Triagem!$N$2:$N451 , MATCH(A255,Triagem!$A$2:$A451,0))</f>
        <v>abrir</v>
      </c>
      <c r="C255" s="20">
        <f t="array" ref="C255">INDEX(Triagem!$B$2:$B451 , MATCH(A255,Triagem!$A$2:$A451,0))</f>
        <v>2020</v>
      </c>
      <c r="D255" s="2" t="s">
        <v>354</v>
      </c>
      <c r="E255" s="2" t="s">
        <v>355</v>
      </c>
      <c r="F255" s="2" t="str">
        <f t="array" ref="F255">IFERROR(INDEX(Triagem!$I$2:$I$451,MATCH($A255,Triagem!$A$2:$A$451,0))&amp;"","")</f>
        <v>Incluir</v>
      </c>
      <c r="G255" s="2" t="str">
        <f t="array" ref="G255">IFERROR(INDEX('Revisão_Gemini'!$H$7:$H$456,MATCH($A255,'Revisão_Gemini'!$A$7:$A$456,0))&amp;"","")</f>
        <v>Incluir</v>
      </c>
      <c r="H255" s="2" t="str">
        <f t="array" ref="H255">IFERROR(INDEX('Revisão_ChatGPT'!$H$7:$H$456,MATCH($A255,'Revisão_ChatGPT'!$A$7:$A$456,0))&amp;"","")</f>
        <v>Incluir</v>
      </c>
      <c r="I255" s="2" t="str">
        <f t="shared" si="1"/>
        <v>3/3</v>
      </c>
      <c r="J255" s="21"/>
      <c r="K255" s="21"/>
      <c r="L255" s="21"/>
      <c r="M255" s="22" t="b">
        <f t="shared" si="2"/>
        <v>0</v>
      </c>
      <c r="N255" s="21" t="s">
        <v>3296</v>
      </c>
      <c r="O255" s="2" t="str">
        <f t="shared" si="3"/>
        <v>Fora do recorte anual + Incluir</v>
      </c>
      <c r="P255" s="2" t="str">
        <f t="array" ref="P255">IF(O255&lt;&gt;"Incluir","",IF(K255&lt;&gt;"",K255,IF(IFERROR(INDEX(Triagem!$J$2:$J$451,MATCH($A255,Triagem!$A$2:$A$451,0))&amp;"","")&lt;&gt;"",IFERROR(INDEX(Triagem!$J$2:$J$451,MATCH($A255,Triagem!$A$2:$A$451,0))&amp;"",""),IF(IFERROR(INDEX('Revisão_Gemini'!$I$7:$I$456,MATCH($A255,'Revisão_Gemini'!$A$7:$A$456,0))&amp;"","")&lt;&gt;"",IFERROR(INDEX('Revisão_Gemini'!$I$7:$I$456,MATCH($A255,'Revisão_Gemini'!$A$7:$A$456,0))&amp;"",""),IFERROR(INDEX('Revisão_ChatGPT'!$I$7:$I$456,MATCH($A255,'Revisão_ChatGPT'!$A$7:$A$456,0))&amp;"","")))))</f>
        <v/>
      </c>
      <c r="Q255" s="2" t="str">
        <f t="array" ref="Q255">IF(O255&lt;&gt;"Excluir","",IF(L255&lt;&gt;"",L255,IF(F255="Excluir",IFERROR(INDEX(Triagem!$K$2:$K$451,MATCH($A255,Triagem!$A$2:$A$451,0))&amp;"",""),IF(G255="Excluir",IFERROR(INDEX('Revisão_Gemini'!$J$7:$J$456,MATCH($A255,'Revisão_Gemini'!$A$7:$A$456,0))&amp;"",""),IFERROR(INDEX('Revisão_ChatGPT'!$J$7:$J$456,MATCH($A255,'Revisão_ChatGPT'!$A$7:$A$456,0))&amp;"","")))))</f>
        <v/>
      </c>
    </row>
    <row r="256" ht="15.75" customHeight="1">
      <c r="A256" s="2" t="s">
        <v>1237</v>
      </c>
      <c r="B256" s="19" t="str">
        <f t="array" ref="B256">INDEX(Triagem!$N$2:$N451 , MATCH(A256,Triagem!$A$2:$A451,0))</f>
        <v>abrir</v>
      </c>
      <c r="C256" s="20">
        <f t="array" ref="C256">INDEX(Triagem!$B$2:$B451 , MATCH(A256,Triagem!$A$2:$A451,0))</f>
        <v>2020</v>
      </c>
      <c r="D256" s="2" t="s">
        <v>1238</v>
      </c>
      <c r="E256" s="2" t="s">
        <v>1239</v>
      </c>
      <c r="F256" s="2" t="str">
        <f t="array" ref="F256">IFERROR(INDEX(Triagem!$I$2:$I$451,MATCH($A256,Triagem!$A$2:$A$451,0))&amp;"","")</f>
        <v>Excluir</v>
      </c>
      <c r="G256" s="2" t="str">
        <f t="array" ref="G256">IFERROR(INDEX('Revisão_Gemini'!$H$7:$H$456,MATCH($A256,'Revisão_Gemini'!$A$7:$A$456,0))&amp;"","")</f>
        <v>Excluir</v>
      </c>
      <c r="H256" s="2" t="str">
        <f t="array" ref="H256">IFERROR(INDEX('Revisão_ChatGPT'!$H$7:$H$456,MATCH($A256,'Revisão_ChatGPT'!$A$7:$A$456,0))&amp;"","")</f>
        <v>Excluir</v>
      </c>
      <c r="I256" s="2" t="str">
        <f t="shared" si="1"/>
        <v>3/3</v>
      </c>
      <c r="J256" s="21"/>
      <c r="K256" s="21"/>
      <c r="L256" s="21"/>
      <c r="M256" s="22" t="b">
        <f t="shared" si="2"/>
        <v>0</v>
      </c>
      <c r="N256" s="21" t="s">
        <v>3297</v>
      </c>
      <c r="O256" s="2" t="str">
        <f t="shared" si="3"/>
        <v>Fora do recorte anual + Excluir</v>
      </c>
      <c r="P256" s="2" t="str">
        <f t="array" ref="P256">IF(O256&lt;&gt;"Incluir","",IF(K256&lt;&gt;"",K256,IF(IFERROR(INDEX(Triagem!$J$2:$J$451,MATCH($A256,Triagem!$A$2:$A$451,0))&amp;"","")&lt;&gt;"",IFERROR(INDEX(Triagem!$J$2:$J$451,MATCH($A256,Triagem!$A$2:$A$451,0))&amp;"",""),IF(IFERROR(INDEX('Revisão_Gemini'!$I$7:$I$456,MATCH($A256,'Revisão_Gemini'!$A$7:$A$456,0))&amp;"","")&lt;&gt;"",IFERROR(INDEX('Revisão_Gemini'!$I$7:$I$456,MATCH($A256,'Revisão_Gemini'!$A$7:$A$456,0))&amp;"",""),IFERROR(INDEX('Revisão_ChatGPT'!$I$7:$I$456,MATCH($A256,'Revisão_ChatGPT'!$A$7:$A$456,0))&amp;"","")))))</f>
        <v/>
      </c>
      <c r="Q256" s="2" t="str">
        <f t="array" ref="Q256">IF(O256&lt;&gt;"Excluir","",IF(L256&lt;&gt;"",L256,IF(F256="Excluir",IFERROR(INDEX(Triagem!$K$2:$K$451,MATCH($A256,Triagem!$A$2:$A$451,0))&amp;"",""),IF(G256="Excluir",IFERROR(INDEX('Revisão_Gemini'!$J$7:$J$456,MATCH($A256,'Revisão_Gemini'!$A$7:$A$456,0))&amp;"",""),IFERROR(INDEX('Revisão_ChatGPT'!$J$7:$J$456,MATCH($A256,'Revisão_ChatGPT'!$A$7:$A$456,0))&amp;"","")))))</f>
        <v/>
      </c>
    </row>
    <row r="257" ht="15.75" customHeight="1">
      <c r="A257" s="2" t="s">
        <v>754</v>
      </c>
      <c r="B257" s="19" t="str">
        <f t="array" ref="B257">INDEX(Triagem!$N$2:$N451 , MATCH(A257,Triagem!$A$2:$A451,0))</f>
        <v>abrir</v>
      </c>
      <c r="C257" s="20">
        <f t="array" ref="C257">INDEX(Triagem!$B$2:$B451 , MATCH(A257,Triagem!$A$2:$A451,0))</f>
        <v>2020</v>
      </c>
      <c r="D257" s="2" t="s">
        <v>756</v>
      </c>
      <c r="E257" s="2" t="s">
        <v>757</v>
      </c>
      <c r="F257" s="2" t="str">
        <f t="array" ref="F257">IFERROR(INDEX(Triagem!$I$2:$I$451,MATCH($A257,Triagem!$A$2:$A$451,0))&amp;"","")</f>
        <v>Apoio</v>
      </c>
      <c r="G257" s="2" t="str">
        <f t="array" ref="G257">IFERROR(INDEX('Revisão_Gemini'!$H$7:$H$456,MATCH($A257,'Revisão_Gemini'!$A$7:$A$456,0))&amp;"","")</f>
        <v>Apoio</v>
      </c>
      <c r="H257" s="2" t="str">
        <f t="array" ref="H257">IFERROR(INDEX('Revisão_ChatGPT'!$H$7:$H$456,MATCH($A257,'Revisão_ChatGPT'!$A$7:$A$456,0))&amp;"","")</f>
        <v>Apoio</v>
      </c>
      <c r="I257" s="2" t="str">
        <f t="shared" si="1"/>
        <v>3/3</v>
      </c>
      <c r="J257" s="21"/>
      <c r="K257" s="21"/>
      <c r="L257" s="21"/>
      <c r="M257" s="22" t="b">
        <f t="shared" si="2"/>
        <v>0</v>
      </c>
      <c r="N257" s="21" t="s">
        <v>3298</v>
      </c>
      <c r="O257" s="2" t="str">
        <f t="shared" si="3"/>
        <v>Fora do recorte anual + Apoio</v>
      </c>
      <c r="P257" s="2" t="str">
        <f t="array" ref="P257">IF(O257&lt;&gt;"Incluir","",IF(K257&lt;&gt;"",K257,IF(IFERROR(INDEX(Triagem!$J$2:$J$451,MATCH($A257,Triagem!$A$2:$A$451,0))&amp;"","")&lt;&gt;"",IFERROR(INDEX(Triagem!$J$2:$J$451,MATCH($A257,Triagem!$A$2:$A$451,0))&amp;"",""),IF(IFERROR(INDEX('Revisão_Gemini'!$I$7:$I$456,MATCH($A257,'Revisão_Gemini'!$A$7:$A$456,0))&amp;"","")&lt;&gt;"",IFERROR(INDEX('Revisão_Gemini'!$I$7:$I$456,MATCH($A257,'Revisão_Gemini'!$A$7:$A$456,0))&amp;"",""),IFERROR(INDEX('Revisão_ChatGPT'!$I$7:$I$456,MATCH($A257,'Revisão_ChatGPT'!$A$7:$A$456,0))&amp;"","")))))</f>
        <v/>
      </c>
      <c r="Q257" s="2" t="str">
        <f t="array" ref="Q257">IF(O257&lt;&gt;"Excluir","",IF(L257&lt;&gt;"",L257,IF(F257="Excluir",IFERROR(INDEX(Triagem!$K$2:$K$451,MATCH($A257,Triagem!$A$2:$A$451,0))&amp;"",""),IF(G257="Excluir",IFERROR(INDEX('Revisão_Gemini'!$J$7:$J$456,MATCH($A257,'Revisão_Gemini'!$A$7:$A$456,0))&amp;"",""),IFERROR(INDEX('Revisão_ChatGPT'!$J$7:$J$456,MATCH($A257,'Revisão_ChatGPT'!$A$7:$A$456,0))&amp;"","")))))</f>
        <v/>
      </c>
    </row>
    <row r="258" ht="15.75" customHeight="1">
      <c r="A258" s="2" t="s">
        <v>1928</v>
      </c>
      <c r="B258" s="19" t="str">
        <f t="array" ref="B258">INDEX(Triagem!$N$2:$N451 , MATCH(A258,Triagem!$A$2:$A451,0))</f>
        <v>abrir</v>
      </c>
      <c r="C258" s="20">
        <f t="array" ref="C258">INDEX(Triagem!$B$2:$B451 , MATCH(A258,Triagem!$A$2:$A451,0))</f>
        <v>2020</v>
      </c>
      <c r="D258" s="2" t="s">
        <v>1930</v>
      </c>
      <c r="E258" s="2" t="s">
        <v>1931</v>
      </c>
      <c r="F258" s="2" t="str">
        <f t="array" ref="F258">IFERROR(INDEX(Triagem!$I$2:$I$451,MATCH($A258,Triagem!$A$2:$A$451,0))&amp;"","")</f>
        <v>Excluir</v>
      </c>
      <c r="G258" s="2" t="str">
        <f t="array" ref="G258">IFERROR(INDEX('Revisão_Gemini'!$H$7:$H$456,MATCH($A258,'Revisão_Gemini'!$A$7:$A$456,0))&amp;"","")</f>
        <v>Apoio</v>
      </c>
      <c r="H258" s="2" t="str">
        <f t="array" ref="H258">IFERROR(INDEX('Revisão_ChatGPT'!$H$7:$H$456,MATCH($A258,'Revisão_ChatGPT'!$A$7:$A$456,0))&amp;"","")</f>
        <v>Apoio</v>
      </c>
      <c r="I258" s="2" t="str">
        <f t="shared" si="1"/>
        <v>2/3</v>
      </c>
      <c r="J258" s="21" t="s">
        <v>906</v>
      </c>
      <c r="K258" s="21"/>
      <c r="L258" s="21"/>
      <c r="M258" s="22" t="b">
        <f t="shared" si="2"/>
        <v>0</v>
      </c>
      <c r="N258" s="21"/>
      <c r="O258" s="2" t="str">
        <f t="shared" si="3"/>
        <v>Fora do recorte anual + Excluir</v>
      </c>
      <c r="P258" s="2" t="str">
        <f t="array" ref="P258">IF(O258&lt;&gt;"Incluir","",IF(K258&lt;&gt;"",K258,IF(IFERROR(INDEX(Triagem!$J$2:$J$451,MATCH($A258,Triagem!$A$2:$A$451,0))&amp;"","")&lt;&gt;"",IFERROR(INDEX(Triagem!$J$2:$J$451,MATCH($A258,Triagem!$A$2:$A$451,0))&amp;"",""),IF(IFERROR(INDEX('Revisão_Gemini'!$I$7:$I$456,MATCH($A258,'Revisão_Gemini'!$A$7:$A$456,0))&amp;"","")&lt;&gt;"",IFERROR(INDEX('Revisão_Gemini'!$I$7:$I$456,MATCH($A258,'Revisão_Gemini'!$A$7:$A$456,0))&amp;"",""),IFERROR(INDEX('Revisão_ChatGPT'!$I$7:$I$456,MATCH($A258,'Revisão_ChatGPT'!$A$7:$A$456,0))&amp;"","")))))</f>
        <v/>
      </c>
      <c r="Q258" s="2" t="str">
        <f t="array" ref="Q258">IF(O258&lt;&gt;"Excluir","",IF(L258&lt;&gt;"",L258,IF(F258="Excluir",IFERROR(INDEX(Triagem!$K$2:$K$451,MATCH($A258,Triagem!$A$2:$A$451,0))&amp;"",""),IF(G258="Excluir",IFERROR(INDEX('Revisão_Gemini'!$J$7:$J$456,MATCH($A258,'Revisão_Gemini'!$A$7:$A$456,0))&amp;"",""),IFERROR(INDEX('Revisão_ChatGPT'!$J$7:$J$456,MATCH($A258,'Revisão_ChatGPT'!$A$7:$A$456,0))&amp;"","")))))</f>
        <v/>
      </c>
    </row>
    <row r="259" ht="15.75" customHeight="1">
      <c r="A259" s="2" t="s">
        <v>1175</v>
      </c>
      <c r="B259" s="19" t="str">
        <f t="array" ref="B259">INDEX(Triagem!$N$2:$N451 , MATCH(A259,Triagem!$A$2:$A451,0))</f>
        <v>abrir</v>
      </c>
      <c r="C259" s="20">
        <f t="array" ref="C259">INDEX(Triagem!$B$2:$B451 , MATCH(A259,Triagem!$A$2:$A451,0))</f>
        <v>2021</v>
      </c>
      <c r="D259" s="2" t="s">
        <v>1177</v>
      </c>
      <c r="E259" s="2" t="s">
        <v>1178</v>
      </c>
      <c r="F259" s="2" t="str">
        <f t="array" ref="F259">IFERROR(INDEX(Triagem!$I$2:$I$451,MATCH($A259,Triagem!$A$2:$A$451,0))&amp;"","")</f>
        <v>Excluir</v>
      </c>
      <c r="G259" s="2" t="str">
        <f t="array" ref="G259">IFERROR(INDEX('Revisão_Gemini'!$H$7:$H$456,MATCH($A259,'Revisão_Gemini'!$A$7:$A$456,0))&amp;"","")</f>
        <v>Excluir</v>
      </c>
      <c r="H259" s="2" t="str">
        <f t="array" ref="H259">IFERROR(INDEX('Revisão_ChatGPT'!$H$7:$H$456,MATCH($A259,'Revisão_ChatGPT'!$A$7:$A$456,0))&amp;"","")</f>
        <v>Excluir</v>
      </c>
      <c r="I259" s="2" t="str">
        <f t="shared" si="1"/>
        <v>3/3</v>
      </c>
      <c r="J259" s="21"/>
      <c r="K259" s="21"/>
      <c r="L259" s="21"/>
      <c r="M259" s="22" t="b">
        <f t="shared" si="2"/>
        <v>0</v>
      </c>
      <c r="N259" s="21" t="s">
        <v>3299</v>
      </c>
      <c r="O259" s="2" t="str">
        <f t="shared" si="3"/>
        <v>Fora do recorte anual + Excluir</v>
      </c>
      <c r="P259" s="2" t="str">
        <f t="array" ref="P259">IF(O259&lt;&gt;"Incluir","",IF(K259&lt;&gt;"",K259,IF(IFERROR(INDEX(Triagem!$J$2:$J$451,MATCH($A259,Triagem!$A$2:$A$451,0))&amp;"","")&lt;&gt;"",IFERROR(INDEX(Triagem!$J$2:$J$451,MATCH($A259,Triagem!$A$2:$A$451,0))&amp;"",""),IF(IFERROR(INDEX('Revisão_Gemini'!$I$7:$I$456,MATCH($A259,'Revisão_Gemini'!$A$7:$A$456,0))&amp;"","")&lt;&gt;"",IFERROR(INDEX('Revisão_Gemini'!$I$7:$I$456,MATCH($A259,'Revisão_Gemini'!$A$7:$A$456,0))&amp;"",""),IFERROR(INDEX('Revisão_ChatGPT'!$I$7:$I$456,MATCH($A259,'Revisão_ChatGPT'!$A$7:$A$456,0))&amp;"","")))))</f>
        <v/>
      </c>
      <c r="Q259" s="2" t="str">
        <f t="array" ref="Q259">IF(O259&lt;&gt;"Excluir","",IF(L259&lt;&gt;"",L259,IF(F259="Excluir",IFERROR(INDEX(Triagem!$K$2:$K$451,MATCH($A259,Triagem!$A$2:$A$451,0))&amp;"",""),IF(G259="Excluir",IFERROR(INDEX('Revisão_Gemini'!$J$7:$J$456,MATCH($A259,'Revisão_Gemini'!$A$7:$A$456,0))&amp;"",""),IFERROR(INDEX('Revisão_ChatGPT'!$J$7:$J$456,MATCH($A259,'Revisão_ChatGPT'!$A$7:$A$456,0))&amp;"","")))))</f>
        <v/>
      </c>
    </row>
    <row r="260" ht="15.75" customHeight="1">
      <c r="A260" s="2" t="s">
        <v>1686</v>
      </c>
      <c r="B260" s="19" t="str">
        <f t="array" ref="B260">INDEX(Triagem!$N$2:$N451 , MATCH(A260,Triagem!$A$2:$A451,0))</f>
        <v>abrir</v>
      </c>
      <c r="C260" s="20">
        <f t="array" ref="C260">INDEX(Triagem!$B$2:$B451 , MATCH(A260,Triagem!$A$2:$A451,0))</f>
        <v>2020</v>
      </c>
      <c r="D260" s="2" t="s">
        <v>1688</v>
      </c>
      <c r="E260" s="2" t="s">
        <v>1689</v>
      </c>
      <c r="F260" s="2" t="str">
        <f t="array" ref="F260">IFERROR(INDEX(Triagem!$I$2:$I$451,MATCH($A260,Triagem!$A$2:$A$451,0))&amp;"","")</f>
        <v>Excluir</v>
      </c>
      <c r="G260" s="2" t="str">
        <f t="array" ref="G260">IFERROR(INDEX('Revisão_Gemini'!$H$7:$H$456,MATCH($A260,'Revisão_Gemini'!$A$7:$A$456,0))&amp;"","")</f>
        <v>Excluir</v>
      </c>
      <c r="H260" s="2" t="str">
        <f t="array" ref="H260">IFERROR(INDEX('Revisão_ChatGPT'!$H$7:$H$456,MATCH($A260,'Revisão_ChatGPT'!$A$7:$A$456,0))&amp;"","")</f>
        <v>Excluir</v>
      </c>
      <c r="I260" s="2" t="str">
        <f t="shared" si="1"/>
        <v>3/3</v>
      </c>
      <c r="J260" s="21"/>
      <c r="K260" s="21"/>
      <c r="L260" s="21"/>
      <c r="M260" s="22" t="b">
        <f t="shared" si="2"/>
        <v>0</v>
      </c>
      <c r="N260" s="21" t="s">
        <v>3300</v>
      </c>
      <c r="O260" s="2" t="str">
        <f t="shared" si="3"/>
        <v>Fora do recorte anual + Excluir</v>
      </c>
      <c r="P260" s="2" t="str">
        <f t="array" ref="P260">IF(O260&lt;&gt;"Incluir","",IF(K260&lt;&gt;"",K260,IF(IFERROR(INDEX(Triagem!$J$2:$J$451,MATCH($A260,Triagem!$A$2:$A$451,0))&amp;"","")&lt;&gt;"",IFERROR(INDEX(Triagem!$J$2:$J$451,MATCH($A260,Triagem!$A$2:$A$451,0))&amp;"",""),IF(IFERROR(INDEX('Revisão_Gemini'!$I$7:$I$456,MATCH($A260,'Revisão_Gemini'!$A$7:$A$456,0))&amp;"","")&lt;&gt;"",IFERROR(INDEX('Revisão_Gemini'!$I$7:$I$456,MATCH($A260,'Revisão_Gemini'!$A$7:$A$456,0))&amp;"",""),IFERROR(INDEX('Revisão_ChatGPT'!$I$7:$I$456,MATCH($A260,'Revisão_ChatGPT'!$A$7:$A$456,0))&amp;"","")))))</f>
        <v/>
      </c>
      <c r="Q260" s="2" t="str">
        <f t="array" ref="Q260">IF(O260&lt;&gt;"Excluir","",IF(L260&lt;&gt;"",L260,IF(F260="Excluir",IFERROR(INDEX(Triagem!$K$2:$K$451,MATCH($A260,Triagem!$A$2:$A$451,0))&amp;"",""),IF(G260="Excluir",IFERROR(INDEX('Revisão_Gemini'!$J$7:$J$456,MATCH($A260,'Revisão_Gemini'!$A$7:$A$456,0))&amp;"",""),IFERROR(INDEX('Revisão_ChatGPT'!$J$7:$J$456,MATCH($A260,'Revisão_ChatGPT'!$A$7:$A$456,0))&amp;"","")))))</f>
        <v/>
      </c>
    </row>
    <row r="261" ht="15.75" customHeight="1">
      <c r="A261" s="2" t="s">
        <v>359</v>
      </c>
      <c r="B261" s="19" t="str">
        <f t="array" ref="B261">INDEX(Triagem!$N$2:$N451 , MATCH(A261,Triagem!$A$2:$A451,0))</f>
        <v>abrir</v>
      </c>
      <c r="C261" s="20">
        <f t="array" ref="C261">INDEX(Triagem!$B$2:$B451 , MATCH(A261,Triagem!$A$2:$A451,0))</f>
        <v>2020</v>
      </c>
      <c r="D261" s="2" t="s">
        <v>361</v>
      </c>
      <c r="E261" s="23" t="s">
        <v>362</v>
      </c>
      <c r="F261" s="2" t="str">
        <f t="array" ref="F261">IFERROR(INDEX(Triagem!$I$2:$I$451,MATCH($A261,Triagem!$A$2:$A$451,0))&amp;"","")</f>
        <v>Incluir</v>
      </c>
      <c r="G261" s="2" t="str">
        <f t="array" ref="G261">IFERROR(INDEX('Revisão_Gemini'!$H$7:$H$456,MATCH($A261,'Revisão_Gemini'!$A$7:$A$456,0))&amp;"","")</f>
        <v>Incluir</v>
      </c>
      <c r="H261" s="2" t="str">
        <f t="array" ref="H261">IFERROR(INDEX('Revisão_ChatGPT'!$H$7:$H$456,MATCH($A261,'Revisão_ChatGPT'!$A$7:$A$456,0))&amp;"","")</f>
        <v>Incluir</v>
      </c>
      <c r="I261" s="2" t="str">
        <f t="shared" si="1"/>
        <v>3/3</v>
      </c>
      <c r="J261" s="21"/>
      <c r="K261" s="21"/>
      <c r="L261" s="21"/>
      <c r="M261" s="22" t="b">
        <f t="shared" si="2"/>
        <v>0</v>
      </c>
      <c r="N261" s="21" t="s">
        <v>3301</v>
      </c>
      <c r="O261" s="2" t="str">
        <f t="shared" si="3"/>
        <v>Fora do recorte anual + Incluir</v>
      </c>
      <c r="P261" s="2" t="str">
        <f t="array" ref="P261">IF(O261&lt;&gt;"Incluir","",IF(K261&lt;&gt;"",K261,IF(IFERROR(INDEX(Triagem!$J$2:$J$451,MATCH($A261,Triagem!$A$2:$A$451,0))&amp;"","")&lt;&gt;"",IFERROR(INDEX(Triagem!$J$2:$J$451,MATCH($A261,Triagem!$A$2:$A$451,0))&amp;"",""),IF(IFERROR(INDEX('Revisão_Gemini'!$I$7:$I$456,MATCH($A261,'Revisão_Gemini'!$A$7:$A$456,0))&amp;"","")&lt;&gt;"",IFERROR(INDEX('Revisão_Gemini'!$I$7:$I$456,MATCH($A261,'Revisão_Gemini'!$A$7:$A$456,0))&amp;"",""),IFERROR(INDEX('Revisão_ChatGPT'!$I$7:$I$456,MATCH($A261,'Revisão_ChatGPT'!$A$7:$A$456,0))&amp;"","")))))</f>
        <v/>
      </c>
      <c r="Q261" s="2" t="str">
        <f t="array" ref="Q261">IF(O261&lt;&gt;"Excluir","",IF(L261&lt;&gt;"",L261,IF(F261="Excluir",IFERROR(INDEX(Triagem!$K$2:$K$451,MATCH($A261,Triagem!$A$2:$A$451,0))&amp;"",""),IF(G261="Excluir",IFERROR(INDEX('Revisão_Gemini'!$J$7:$J$456,MATCH($A261,'Revisão_Gemini'!$A$7:$A$456,0))&amp;"",""),IFERROR(INDEX('Revisão_ChatGPT'!$J$7:$J$456,MATCH($A261,'Revisão_ChatGPT'!$A$7:$A$456,0))&amp;"","")))))</f>
        <v/>
      </c>
    </row>
    <row r="262" ht="15.75" customHeight="1">
      <c r="A262" s="2" t="s">
        <v>1690</v>
      </c>
      <c r="B262" s="19" t="str">
        <f t="array" ref="B262">INDEX(Triagem!$N$2:$N451 , MATCH(A262,Triagem!$A$2:$A451,0))</f>
        <v>abrir</v>
      </c>
      <c r="C262" s="20">
        <f t="array" ref="C262">INDEX(Triagem!$B$2:$B451 , MATCH(A262,Triagem!$A$2:$A451,0))</f>
        <v>2020</v>
      </c>
      <c r="D262" s="2" t="s">
        <v>1692</v>
      </c>
      <c r="E262" s="2" t="s">
        <v>1693</v>
      </c>
      <c r="F262" s="2" t="str">
        <f t="array" ref="F262">IFERROR(INDEX(Triagem!$I$2:$I$451,MATCH($A262,Triagem!$A$2:$A$451,0))&amp;"","")</f>
        <v>Excluir</v>
      </c>
      <c r="G262" s="2" t="str">
        <f t="array" ref="G262">IFERROR(INDEX('Revisão_Gemini'!$H$7:$H$456,MATCH($A262,'Revisão_Gemini'!$A$7:$A$456,0))&amp;"","")</f>
        <v>Excluir</v>
      </c>
      <c r="H262" s="2" t="str">
        <f t="array" ref="H262">IFERROR(INDEX('Revisão_ChatGPT'!$H$7:$H$456,MATCH($A262,'Revisão_ChatGPT'!$A$7:$A$456,0))&amp;"","")</f>
        <v>Excluir</v>
      </c>
      <c r="I262" s="2" t="str">
        <f t="shared" si="1"/>
        <v>3/3</v>
      </c>
      <c r="J262" s="21"/>
      <c r="K262" s="21"/>
      <c r="L262" s="21"/>
      <c r="M262" s="22" t="b">
        <f t="shared" si="2"/>
        <v>0</v>
      </c>
      <c r="N262" s="21" t="s">
        <v>3302</v>
      </c>
      <c r="O262" s="2" t="str">
        <f t="shared" si="3"/>
        <v>Fora do recorte anual + Excluir</v>
      </c>
      <c r="P262" s="2" t="str">
        <f t="array" ref="P262">IF(O262&lt;&gt;"Incluir","",IF(K262&lt;&gt;"",K262,IF(IFERROR(INDEX(Triagem!$J$2:$J$451,MATCH($A262,Triagem!$A$2:$A$451,0))&amp;"","")&lt;&gt;"",IFERROR(INDEX(Triagem!$J$2:$J$451,MATCH($A262,Triagem!$A$2:$A$451,0))&amp;"",""),IF(IFERROR(INDEX('Revisão_Gemini'!$I$7:$I$456,MATCH($A262,'Revisão_Gemini'!$A$7:$A$456,0))&amp;"","")&lt;&gt;"",IFERROR(INDEX('Revisão_Gemini'!$I$7:$I$456,MATCH($A262,'Revisão_Gemini'!$A$7:$A$456,0))&amp;"",""),IFERROR(INDEX('Revisão_ChatGPT'!$I$7:$I$456,MATCH($A262,'Revisão_ChatGPT'!$A$7:$A$456,0))&amp;"","")))))</f>
        <v/>
      </c>
      <c r="Q262" s="2" t="str">
        <f t="array" ref="Q262">IF(O262&lt;&gt;"Excluir","",IF(L262&lt;&gt;"",L262,IF(F262="Excluir",IFERROR(INDEX(Triagem!$K$2:$K$451,MATCH($A262,Triagem!$A$2:$A$451,0))&amp;"",""),IF(G262="Excluir",IFERROR(INDEX('Revisão_Gemini'!$J$7:$J$456,MATCH($A262,'Revisão_Gemini'!$A$7:$A$456,0))&amp;"",""),IFERROR(INDEX('Revisão_ChatGPT'!$J$7:$J$456,MATCH($A262,'Revisão_ChatGPT'!$A$7:$A$456,0))&amp;"","")))))</f>
        <v/>
      </c>
    </row>
    <row r="263" ht="15.75" customHeight="1">
      <c r="A263" s="2" t="s">
        <v>759</v>
      </c>
      <c r="B263" s="19" t="str">
        <f t="array" ref="B263">INDEX(Triagem!$N$2:$N451 , MATCH(A263,Triagem!$A$2:$A451,0))</f>
        <v>abrir</v>
      </c>
      <c r="C263" s="20">
        <f t="array" ref="C263">INDEX(Triagem!$B$2:$B451 , MATCH(A263,Triagem!$A$2:$A451,0))</f>
        <v>2020</v>
      </c>
      <c r="D263" s="2" t="s">
        <v>761</v>
      </c>
      <c r="E263" s="2" t="s">
        <v>762</v>
      </c>
      <c r="F263" s="2" t="str">
        <f t="array" ref="F263">IFERROR(INDEX(Triagem!$I$2:$I$451,MATCH($A263,Triagem!$A$2:$A$451,0))&amp;"","")</f>
        <v>Apoio</v>
      </c>
      <c r="G263" s="2" t="str">
        <f t="array" ref="G263">IFERROR(INDEX('Revisão_Gemini'!$H$7:$H$456,MATCH($A263,'Revisão_Gemini'!$A$7:$A$456,0))&amp;"","")</f>
        <v>Apoio</v>
      </c>
      <c r="H263" s="2" t="str">
        <f t="array" ref="H263">IFERROR(INDEX('Revisão_ChatGPT'!$H$7:$H$456,MATCH($A263,'Revisão_ChatGPT'!$A$7:$A$456,0))&amp;"","")</f>
        <v>Apoio</v>
      </c>
      <c r="I263" s="2" t="str">
        <f t="shared" si="1"/>
        <v>3/3</v>
      </c>
      <c r="J263" s="21"/>
      <c r="K263" s="21"/>
      <c r="L263" s="21"/>
      <c r="M263" s="22" t="b">
        <f t="shared" si="2"/>
        <v>0</v>
      </c>
      <c r="N263" s="21" t="s">
        <v>3303</v>
      </c>
      <c r="O263" s="2" t="str">
        <f t="shared" si="3"/>
        <v>Fora do recorte anual + Apoio</v>
      </c>
      <c r="P263" s="2" t="str">
        <f t="array" ref="P263">IF(O263&lt;&gt;"Incluir","",IF(K263&lt;&gt;"",K263,IF(IFERROR(INDEX(Triagem!$J$2:$J$451,MATCH($A263,Triagem!$A$2:$A$451,0))&amp;"","")&lt;&gt;"",IFERROR(INDEX(Triagem!$J$2:$J$451,MATCH($A263,Triagem!$A$2:$A$451,0))&amp;"",""),IF(IFERROR(INDEX('Revisão_Gemini'!$I$7:$I$456,MATCH($A263,'Revisão_Gemini'!$A$7:$A$456,0))&amp;"","")&lt;&gt;"",IFERROR(INDEX('Revisão_Gemini'!$I$7:$I$456,MATCH($A263,'Revisão_Gemini'!$A$7:$A$456,0))&amp;"",""),IFERROR(INDEX('Revisão_ChatGPT'!$I$7:$I$456,MATCH($A263,'Revisão_ChatGPT'!$A$7:$A$456,0))&amp;"","")))))</f>
        <v/>
      </c>
      <c r="Q263" s="2" t="str">
        <f t="array" ref="Q263">IF(O263&lt;&gt;"Excluir","",IF(L263&lt;&gt;"",L263,IF(F263="Excluir",IFERROR(INDEX(Triagem!$K$2:$K$451,MATCH($A263,Triagem!$A$2:$A$451,0))&amp;"",""),IF(G263="Excluir",IFERROR(INDEX('Revisão_Gemini'!$J$7:$J$456,MATCH($A263,'Revisão_Gemini'!$A$7:$A$456,0))&amp;"",""),IFERROR(INDEX('Revisão_ChatGPT'!$J$7:$J$456,MATCH($A263,'Revisão_ChatGPT'!$A$7:$A$456,0))&amp;"","")))))</f>
        <v/>
      </c>
    </row>
    <row r="264" ht="15.75" customHeight="1">
      <c r="A264" s="2" t="s">
        <v>1240</v>
      </c>
      <c r="B264" s="19" t="str">
        <f t="array" ref="B264">INDEX(Triagem!$N$2:$N451 , MATCH(A264,Triagem!$A$2:$A451,0))</f>
        <v>abrir</v>
      </c>
      <c r="C264" s="20">
        <f t="array" ref="C264">INDEX(Triagem!$B$2:$B451 , MATCH(A264,Triagem!$A$2:$A451,0))</f>
        <v>2020</v>
      </c>
      <c r="D264" s="2" t="s">
        <v>1242</v>
      </c>
      <c r="E264" s="2" t="s">
        <v>1243</v>
      </c>
      <c r="F264" s="2" t="str">
        <f t="array" ref="F264">IFERROR(INDEX(Triagem!$I$2:$I$451,MATCH($A264,Triagem!$A$2:$A$451,0))&amp;"","")</f>
        <v>Excluir</v>
      </c>
      <c r="G264" s="2" t="str">
        <f t="array" ref="G264">IFERROR(INDEX('Revisão_Gemini'!$H$7:$H$456,MATCH($A264,'Revisão_Gemini'!$A$7:$A$456,0))&amp;"","")</f>
        <v>Excluir</v>
      </c>
      <c r="H264" s="2" t="str">
        <f t="array" ref="H264">IFERROR(INDEX('Revisão_ChatGPT'!$H$7:$H$456,MATCH($A264,'Revisão_ChatGPT'!$A$7:$A$456,0))&amp;"","")</f>
        <v>Excluir</v>
      </c>
      <c r="I264" s="2" t="str">
        <f t="shared" si="1"/>
        <v>3/3</v>
      </c>
      <c r="J264" s="21"/>
      <c r="K264" s="21"/>
      <c r="L264" s="21"/>
      <c r="M264" s="22" t="b">
        <f t="shared" si="2"/>
        <v>0</v>
      </c>
      <c r="N264" s="21" t="s">
        <v>3304</v>
      </c>
      <c r="O264" s="2" t="str">
        <f t="shared" si="3"/>
        <v>Fora do recorte anual + Excluir</v>
      </c>
      <c r="P264" s="2" t="str">
        <f t="array" ref="P264">IF(O264&lt;&gt;"Incluir","",IF(K264&lt;&gt;"",K264,IF(IFERROR(INDEX(Triagem!$J$2:$J$451,MATCH($A264,Triagem!$A$2:$A$451,0))&amp;"","")&lt;&gt;"",IFERROR(INDEX(Triagem!$J$2:$J$451,MATCH($A264,Triagem!$A$2:$A$451,0))&amp;"",""),IF(IFERROR(INDEX('Revisão_Gemini'!$I$7:$I$456,MATCH($A264,'Revisão_Gemini'!$A$7:$A$456,0))&amp;"","")&lt;&gt;"",IFERROR(INDEX('Revisão_Gemini'!$I$7:$I$456,MATCH($A264,'Revisão_Gemini'!$A$7:$A$456,0))&amp;"",""),IFERROR(INDEX('Revisão_ChatGPT'!$I$7:$I$456,MATCH($A264,'Revisão_ChatGPT'!$A$7:$A$456,0))&amp;"","")))))</f>
        <v/>
      </c>
      <c r="Q264" s="2" t="str">
        <f t="array" ref="Q264">IF(O264&lt;&gt;"Excluir","",IF(L264&lt;&gt;"",L264,IF(F264="Excluir",IFERROR(INDEX(Triagem!$K$2:$K$451,MATCH($A264,Triagem!$A$2:$A$451,0))&amp;"",""),IF(G264="Excluir",IFERROR(INDEX('Revisão_Gemini'!$J$7:$J$456,MATCH($A264,'Revisão_Gemini'!$A$7:$A$456,0))&amp;"",""),IFERROR(INDEX('Revisão_ChatGPT'!$J$7:$J$456,MATCH($A264,'Revisão_ChatGPT'!$A$7:$A$456,0))&amp;"","")))))</f>
        <v/>
      </c>
    </row>
    <row r="265" ht="15.75" customHeight="1">
      <c r="A265" s="2" t="s">
        <v>1694</v>
      </c>
      <c r="B265" s="19" t="str">
        <f t="array" ref="B265">INDEX(Triagem!$N$2:$N451 , MATCH(A265,Triagem!$A$2:$A451,0))</f>
        <v>abrir</v>
      </c>
      <c r="C265" s="20">
        <f t="array" ref="C265">INDEX(Triagem!$B$2:$B451 , MATCH(A265,Triagem!$A$2:$A451,0))</f>
        <v>2020</v>
      </c>
      <c r="D265" s="2" t="s">
        <v>1696</v>
      </c>
      <c r="E265" s="2" t="s">
        <v>1697</v>
      </c>
      <c r="F265" s="2" t="str">
        <f t="array" ref="F265">IFERROR(INDEX(Triagem!$I$2:$I$451,MATCH($A265,Triagem!$A$2:$A$451,0))&amp;"","")</f>
        <v>Excluir</v>
      </c>
      <c r="G265" s="2" t="str">
        <f t="array" ref="G265">IFERROR(INDEX('Revisão_Gemini'!$H$7:$H$456,MATCH($A265,'Revisão_Gemini'!$A$7:$A$456,0))&amp;"","")</f>
        <v>Excluir</v>
      </c>
      <c r="H265" s="2" t="str">
        <f t="array" ref="H265">IFERROR(INDEX('Revisão_ChatGPT'!$H$7:$H$456,MATCH($A265,'Revisão_ChatGPT'!$A$7:$A$456,0))&amp;"","")</f>
        <v>Excluir</v>
      </c>
      <c r="I265" s="2" t="str">
        <f t="shared" si="1"/>
        <v>3/3</v>
      </c>
      <c r="J265" s="21"/>
      <c r="K265" s="21"/>
      <c r="L265" s="21"/>
      <c r="M265" s="22" t="b">
        <f t="shared" si="2"/>
        <v>0</v>
      </c>
      <c r="N265" s="21" t="s">
        <v>3305</v>
      </c>
      <c r="O265" s="2" t="str">
        <f t="shared" si="3"/>
        <v>Fora do recorte anual + Excluir</v>
      </c>
      <c r="P265" s="2" t="str">
        <f t="array" ref="P265">IF(O265&lt;&gt;"Incluir","",IF(K265&lt;&gt;"",K265,IF(IFERROR(INDEX(Triagem!$J$2:$J$451,MATCH($A265,Triagem!$A$2:$A$451,0))&amp;"","")&lt;&gt;"",IFERROR(INDEX(Triagem!$J$2:$J$451,MATCH($A265,Triagem!$A$2:$A$451,0))&amp;"",""),IF(IFERROR(INDEX('Revisão_Gemini'!$I$7:$I$456,MATCH($A265,'Revisão_Gemini'!$A$7:$A$456,0))&amp;"","")&lt;&gt;"",IFERROR(INDEX('Revisão_Gemini'!$I$7:$I$456,MATCH($A265,'Revisão_Gemini'!$A$7:$A$456,0))&amp;"",""),IFERROR(INDEX('Revisão_ChatGPT'!$I$7:$I$456,MATCH($A265,'Revisão_ChatGPT'!$A$7:$A$456,0))&amp;"","")))))</f>
        <v/>
      </c>
      <c r="Q265" s="2" t="str">
        <f t="array" ref="Q265">IF(O265&lt;&gt;"Excluir","",IF(L265&lt;&gt;"",L265,IF(F265="Excluir",IFERROR(INDEX(Triagem!$K$2:$K$451,MATCH($A265,Triagem!$A$2:$A$451,0))&amp;"",""),IF(G265="Excluir",IFERROR(INDEX('Revisão_Gemini'!$J$7:$J$456,MATCH($A265,'Revisão_Gemini'!$A$7:$A$456,0))&amp;"",""),IFERROR(INDEX('Revisão_ChatGPT'!$J$7:$J$456,MATCH($A265,'Revisão_ChatGPT'!$A$7:$A$456,0))&amp;"","")))))</f>
        <v/>
      </c>
    </row>
    <row r="266" ht="15.75" customHeight="1">
      <c r="A266" s="2" t="s">
        <v>1932</v>
      </c>
      <c r="B266" s="19" t="str">
        <f t="array" ref="B266">INDEX(Triagem!$N$2:$N451 , MATCH(A266,Triagem!$A$2:$A451,0))</f>
        <v>abrir</v>
      </c>
      <c r="C266" s="20">
        <f t="array" ref="C266">INDEX(Triagem!$B$2:$B451 , MATCH(A266,Triagem!$A$2:$A451,0))</f>
        <v>2020</v>
      </c>
      <c r="D266" s="2" t="s">
        <v>1934</v>
      </c>
      <c r="E266" s="2" t="s">
        <v>1935</v>
      </c>
      <c r="F266" s="2" t="str">
        <f t="array" ref="F266">IFERROR(INDEX(Triagem!$I$2:$I$451,MATCH($A266,Triagem!$A$2:$A$451,0))&amp;"","")</f>
        <v>Excluir</v>
      </c>
      <c r="G266" s="2" t="str">
        <f t="array" ref="G266">IFERROR(INDEX('Revisão_Gemini'!$H$7:$H$456,MATCH($A266,'Revisão_Gemini'!$A$7:$A$456,0))&amp;"","")</f>
        <v>Apoio</v>
      </c>
      <c r="H266" s="2" t="str">
        <f t="array" ref="H266">IFERROR(INDEX('Revisão_ChatGPT'!$H$7:$H$456,MATCH($A266,'Revisão_ChatGPT'!$A$7:$A$456,0))&amp;"","")</f>
        <v>Apoio</v>
      </c>
      <c r="I266" s="2" t="str">
        <f t="shared" si="1"/>
        <v>2/3</v>
      </c>
      <c r="J266" s="21" t="s">
        <v>906</v>
      </c>
      <c r="K266" s="21"/>
      <c r="L266" s="21"/>
      <c r="M266" s="22" t="b">
        <f t="shared" si="2"/>
        <v>0</v>
      </c>
      <c r="N266" s="21"/>
      <c r="O266" s="2" t="str">
        <f t="shared" si="3"/>
        <v>Fora do recorte anual + Excluir</v>
      </c>
      <c r="P266" s="2" t="str">
        <f t="array" ref="P266">IF(O266&lt;&gt;"Incluir","",IF(K266&lt;&gt;"",K266,IF(IFERROR(INDEX(Triagem!$J$2:$J$451,MATCH($A266,Triagem!$A$2:$A$451,0))&amp;"","")&lt;&gt;"",IFERROR(INDEX(Triagem!$J$2:$J$451,MATCH($A266,Triagem!$A$2:$A$451,0))&amp;"",""),IF(IFERROR(INDEX('Revisão_Gemini'!$I$7:$I$456,MATCH($A266,'Revisão_Gemini'!$A$7:$A$456,0))&amp;"","")&lt;&gt;"",IFERROR(INDEX('Revisão_Gemini'!$I$7:$I$456,MATCH($A266,'Revisão_Gemini'!$A$7:$A$456,0))&amp;"",""),IFERROR(INDEX('Revisão_ChatGPT'!$I$7:$I$456,MATCH($A266,'Revisão_ChatGPT'!$A$7:$A$456,0))&amp;"","")))))</f>
        <v/>
      </c>
      <c r="Q266" s="2" t="str">
        <f t="array" ref="Q266">IF(O266&lt;&gt;"Excluir","",IF(L266&lt;&gt;"",L266,IF(F266="Excluir",IFERROR(INDEX(Triagem!$K$2:$K$451,MATCH($A266,Triagem!$A$2:$A$451,0))&amp;"",""),IF(G266="Excluir",IFERROR(INDEX('Revisão_Gemini'!$J$7:$J$456,MATCH($A266,'Revisão_Gemini'!$A$7:$A$456,0))&amp;"",""),IFERROR(INDEX('Revisão_ChatGPT'!$J$7:$J$456,MATCH($A266,'Revisão_ChatGPT'!$A$7:$A$456,0))&amp;"","")))))</f>
        <v/>
      </c>
    </row>
    <row r="267" ht="15.75" customHeight="1">
      <c r="A267" s="2" t="s">
        <v>2011</v>
      </c>
      <c r="B267" s="19" t="str">
        <f t="array" ref="B267">INDEX(Triagem!$N$2:$N451 , MATCH(A267,Triagem!$A$2:$A451,0))</f>
        <v>abrir</v>
      </c>
      <c r="C267" s="20">
        <f t="array" ref="C267">INDEX(Triagem!$B$2:$B451 , MATCH(A267,Triagem!$A$2:$A451,0))</f>
        <v>2020</v>
      </c>
      <c r="D267" s="2" t="s">
        <v>2013</v>
      </c>
      <c r="E267" s="2" t="s">
        <v>2014</v>
      </c>
      <c r="F267" s="2" t="str">
        <f t="array" ref="F267">IFERROR(INDEX(Triagem!$I$2:$I$451,MATCH($A267,Triagem!$A$2:$A$451,0))&amp;"","")</f>
        <v>Excluir</v>
      </c>
      <c r="G267" s="2" t="str">
        <f t="array" ref="G267">IFERROR(INDEX('Revisão_Gemini'!$H$7:$H$456,MATCH($A267,'Revisão_Gemini'!$A$7:$A$456,0))&amp;"","")</f>
        <v>Incluir</v>
      </c>
      <c r="H267" s="2" t="str">
        <f t="array" ref="H267">IFERROR(INDEX('Revisão_ChatGPT'!$H$7:$H$456,MATCH($A267,'Revisão_ChatGPT'!$A$7:$A$456,0))&amp;"","")</f>
        <v>Excluir</v>
      </c>
      <c r="I267" s="2" t="str">
        <f t="shared" si="1"/>
        <v>2/3</v>
      </c>
      <c r="J267" s="21" t="s">
        <v>906</v>
      </c>
      <c r="K267" s="21"/>
      <c r="L267" s="21"/>
      <c r="M267" s="22" t="b">
        <f t="shared" si="2"/>
        <v>0</v>
      </c>
      <c r="N267" s="21" t="s">
        <v>3306</v>
      </c>
      <c r="O267" s="2" t="str">
        <f t="shared" si="3"/>
        <v>Fora do recorte anual + Excluir</v>
      </c>
      <c r="P267" s="2" t="str">
        <f t="array" ref="P267">IF(O267&lt;&gt;"Incluir","",IF(K267&lt;&gt;"",K267,IF(IFERROR(INDEX(Triagem!$J$2:$J$451,MATCH($A267,Triagem!$A$2:$A$451,0))&amp;"","")&lt;&gt;"",IFERROR(INDEX(Triagem!$J$2:$J$451,MATCH($A267,Triagem!$A$2:$A$451,0))&amp;"",""),IF(IFERROR(INDEX('Revisão_Gemini'!$I$7:$I$456,MATCH($A267,'Revisão_Gemini'!$A$7:$A$456,0))&amp;"","")&lt;&gt;"",IFERROR(INDEX('Revisão_Gemini'!$I$7:$I$456,MATCH($A267,'Revisão_Gemini'!$A$7:$A$456,0))&amp;"",""),IFERROR(INDEX('Revisão_ChatGPT'!$I$7:$I$456,MATCH($A267,'Revisão_ChatGPT'!$A$7:$A$456,0))&amp;"","")))))</f>
        <v/>
      </c>
      <c r="Q267" s="2" t="str">
        <f t="array" ref="Q267">IF(O267&lt;&gt;"Excluir","",IF(L267&lt;&gt;"",L267,IF(F267="Excluir",IFERROR(INDEX(Triagem!$K$2:$K$451,MATCH($A267,Triagem!$A$2:$A$451,0))&amp;"",""),IF(G267="Excluir",IFERROR(INDEX('Revisão_Gemini'!$J$7:$J$456,MATCH($A267,'Revisão_Gemini'!$A$7:$A$456,0))&amp;"",""),IFERROR(INDEX('Revisão_ChatGPT'!$J$7:$J$456,MATCH($A267,'Revisão_ChatGPT'!$A$7:$A$456,0))&amp;"","")))))</f>
        <v/>
      </c>
    </row>
    <row r="268" ht="15.75" customHeight="1">
      <c r="A268" s="2" t="s">
        <v>2122</v>
      </c>
      <c r="B268" s="19" t="str">
        <f t="array" ref="B268">INDEX(Triagem!$N$2:$N451 , MATCH(A268,Triagem!$A$2:$A451,0))</f>
        <v>abrir</v>
      </c>
      <c r="C268" s="20">
        <f t="array" ref="C268">INDEX(Triagem!$B$2:$B451 , MATCH(A268,Triagem!$A$2:$A451,0))</f>
        <v>2020</v>
      </c>
      <c r="D268" s="2" t="s">
        <v>2123</v>
      </c>
      <c r="E268" s="2" t="s">
        <v>2124</v>
      </c>
      <c r="F268" s="2" t="str">
        <f t="array" ref="F268">IFERROR(INDEX(Triagem!$I$2:$I$451,MATCH($A268,Triagem!$A$2:$A$451,0))&amp;"","")</f>
        <v>Excluir</v>
      </c>
      <c r="G268" s="2" t="str">
        <f t="array" ref="G268">IFERROR(INDEX('Revisão_Gemini'!$H$7:$H$456,MATCH($A268,'Revisão_Gemini'!$A$7:$A$456,0))&amp;"","")</f>
        <v>Excluir</v>
      </c>
      <c r="H268" s="2" t="str">
        <f t="array" ref="H268">IFERROR(INDEX('Revisão_ChatGPT'!$H$7:$H$456,MATCH($A268,'Revisão_ChatGPT'!$A$7:$A$456,0))&amp;"","")</f>
        <v>Excluir</v>
      </c>
      <c r="I268" s="2" t="str">
        <f t="shared" si="1"/>
        <v>3/3</v>
      </c>
      <c r="J268" s="21"/>
      <c r="K268" s="21"/>
      <c r="L268" s="21"/>
      <c r="M268" s="22" t="b">
        <f t="shared" si="2"/>
        <v>0</v>
      </c>
      <c r="N268" s="21" t="s">
        <v>3307</v>
      </c>
      <c r="O268" s="2" t="str">
        <f t="shared" si="3"/>
        <v>Fora do recorte anual + Excluir</v>
      </c>
      <c r="P268" s="2" t="str">
        <f t="array" ref="P268">IF(O268&lt;&gt;"Incluir","",IF(K268&lt;&gt;"",K268,IF(IFERROR(INDEX(Triagem!$J$2:$J$451,MATCH($A268,Triagem!$A$2:$A$451,0))&amp;"","")&lt;&gt;"",IFERROR(INDEX(Triagem!$J$2:$J$451,MATCH($A268,Triagem!$A$2:$A$451,0))&amp;"",""),IF(IFERROR(INDEX('Revisão_Gemini'!$I$7:$I$456,MATCH($A268,'Revisão_Gemini'!$A$7:$A$456,0))&amp;"","")&lt;&gt;"",IFERROR(INDEX('Revisão_Gemini'!$I$7:$I$456,MATCH($A268,'Revisão_Gemini'!$A$7:$A$456,0))&amp;"",""),IFERROR(INDEX('Revisão_ChatGPT'!$I$7:$I$456,MATCH($A268,'Revisão_ChatGPT'!$A$7:$A$456,0))&amp;"","")))))</f>
        <v/>
      </c>
      <c r="Q268" s="2" t="str">
        <f t="array" ref="Q268">IF(O268&lt;&gt;"Excluir","",IF(L268&lt;&gt;"",L268,IF(F268="Excluir",IFERROR(INDEX(Triagem!$K$2:$K$451,MATCH($A268,Triagem!$A$2:$A$451,0))&amp;"",""),IF(G268="Excluir",IFERROR(INDEX('Revisão_Gemini'!$J$7:$J$456,MATCH($A268,'Revisão_Gemini'!$A$7:$A$456,0))&amp;"",""),IFERROR(INDEX('Revisão_ChatGPT'!$J$7:$J$456,MATCH($A268,'Revisão_ChatGPT'!$A$7:$A$456,0))&amp;"","")))))</f>
        <v/>
      </c>
    </row>
    <row r="269" ht="15.75" customHeight="1">
      <c r="A269" s="2" t="s">
        <v>304</v>
      </c>
      <c r="B269" s="19" t="str">
        <f t="array" ref="B269">INDEX(Triagem!$N$2:$N451 , MATCH(A269,Triagem!$A$2:$A451,0))</f>
        <v>abrir</v>
      </c>
      <c r="C269" s="20">
        <f t="array" ref="C269">INDEX(Triagem!$B$2:$B451 , MATCH(A269,Triagem!$A$2:$A451,0))</f>
        <v>2021</v>
      </c>
      <c r="D269" s="2" t="s">
        <v>306</v>
      </c>
      <c r="E269" s="2" t="s">
        <v>307</v>
      </c>
      <c r="F269" s="2" t="str">
        <f t="array" ref="F269">IFERROR(INDEX(Triagem!$I$2:$I$451,MATCH($A269,Triagem!$A$2:$A$451,0))&amp;"","")</f>
        <v>Incluir</v>
      </c>
      <c r="G269" s="2" t="str">
        <f t="array" ref="G269">IFERROR(INDEX('Revisão_Gemini'!$H$7:$H$456,MATCH($A269,'Revisão_Gemini'!$A$7:$A$456,0))&amp;"","")</f>
        <v>Incluir</v>
      </c>
      <c r="H269" s="2" t="str">
        <f t="array" ref="H269">IFERROR(INDEX('Revisão_ChatGPT'!$H$7:$H$456,MATCH($A269,'Revisão_ChatGPT'!$A$7:$A$456,0))&amp;"","")</f>
        <v>Incluir</v>
      </c>
      <c r="I269" s="2" t="str">
        <f t="shared" si="1"/>
        <v>3/3</v>
      </c>
      <c r="J269" s="21"/>
      <c r="K269" s="21"/>
      <c r="L269" s="21"/>
      <c r="M269" s="22" t="b">
        <f t="shared" si="2"/>
        <v>0</v>
      </c>
      <c r="N269" s="21" t="s">
        <v>3308</v>
      </c>
      <c r="O269" s="2" t="str">
        <f t="shared" si="3"/>
        <v>Fora do recorte anual + Incluir</v>
      </c>
      <c r="P269" s="2" t="str">
        <f t="array" ref="P269">IF(O269&lt;&gt;"Incluir","",IF(K269&lt;&gt;"",K269,IF(IFERROR(INDEX(Triagem!$J$2:$J$451,MATCH($A269,Triagem!$A$2:$A$451,0))&amp;"","")&lt;&gt;"",IFERROR(INDEX(Triagem!$J$2:$J$451,MATCH($A269,Triagem!$A$2:$A$451,0))&amp;"",""),IF(IFERROR(INDEX('Revisão_Gemini'!$I$7:$I$456,MATCH($A269,'Revisão_Gemini'!$A$7:$A$456,0))&amp;"","")&lt;&gt;"",IFERROR(INDEX('Revisão_Gemini'!$I$7:$I$456,MATCH($A269,'Revisão_Gemini'!$A$7:$A$456,0))&amp;"",""),IFERROR(INDEX('Revisão_ChatGPT'!$I$7:$I$456,MATCH($A269,'Revisão_ChatGPT'!$A$7:$A$456,0))&amp;"","")))))</f>
        <v/>
      </c>
      <c r="Q269" s="2" t="str">
        <f t="array" ref="Q269">IF(O269&lt;&gt;"Excluir","",IF(L269&lt;&gt;"",L269,IF(F269="Excluir",IFERROR(INDEX(Triagem!$K$2:$K$451,MATCH($A269,Triagem!$A$2:$A$451,0))&amp;"",""),IF(G269="Excluir",IFERROR(INDEX('Revisão_Gemini'!$J$7:$J$456,MATCH($A269,'Revisão_Gemini'!$A$7:$A$456,0))&amp;"",""),IFERROR(INDEX('Revisão_ChatGPT'!$J$7:$J$456,MATCH($A269,'Revisão_ChatGPT'!$A$7:$A$456,0))&amp;"","")))))</f>
        <v/>
      </c>
    </row>
    <row r="270" ht="15.75" customHeight="1">
      <c r="A270" s="2" t="s">
        <v>1245</v>
      </c>
      <c r="B270" s="19" t="str">
        <f t="array" ref="B270">INDEX(Triagem!$N$2:$N451 , MATCH(A270,Triagem!$A$2:$A451,0))</f>
        <v>abrir</v>
      </c>
      <c r="C270" s="20">
        <f t="array" ref="C270">INDEX(Triagem!$B$2:$B451 , MATCH(A270,Triagem!$A$2:$A451,0))</f>
        <v>2020</v>
      </c>
      <c r="D270" s="2" t="s">
        <v>1247</v>
      </c>
      <c r="E270" s="2" t="s">
        <v>1248</v>
      </c>
      <c r="F270" s="2" t="str">
        <f t="array" ref="F270">IFERROR(INDEX(Triagem!$I$2:$I$451,MATCH($A270,Triagem!$A$2:$A$451,0))&amp;"","")</f>
        <v>Excluir</v>
      </c>
      <c r="G270" s="2" t="str">
        <f t="array" ref="G270">IFERROR(INDEX('Revisão_Gemini'!$H$7:$H$456,MATCH($A270,'Revisão_Gemini'!$A$7:$A$456,0))&amp;"","")</f>
        <v>Excluir</v>
      </c>
      <c r="H270" s="2" t="str">
        <f t="array" ref="H270">IFERROR(INDEX('Revisão_ChatGPT'!$H$7:$H$456,MATCH($A270,'Revisão_ChatGPT'!$A$7:$A$456,0))&amp;"","")</f>
        <v>Excluir</v>
      </c>
      <c r="I270" s="2" t="str">
        <f t="shared" si="1"/>
        <v>3/3</v>
      </c>
      <c r="J270" s="21"/>
      <c r="K270" s="21"/>
      <c r="L270" s="21"/>
      <c r="M270" s="22" t="b">
        <f t="shared" si="2"/>
        <v>0</v>
      </c>
      <c r="N270" s="21" t="s">
        <v>3309</v>
      </c>
      <c r="O270" s="2" t="str">
        <f t="shared" si="3"/>
        <v>Fora do recorte anual + Excluir</v>
      </c>
      <c r="P270" s="2" t="str">
        <f t="array" ref="P270">IF(O270&lt;&gt;"Incluir","",IF(K270&lt;&gt;"",K270,IF(IFERROR(INDEX(Triagem!$J$2:$J$451,MATCH($A270,Triagem!$A$2:$A$451,0))&amp;"","")&lt;&gt;"",IFERROR(INDEX(Triagem!$J$2:$J$451,MATCH($A270,Triagem!$A$2:$A$451,0))&amp;"",""),IF(IFERROR(INDEX('Revisão_Gemini'!$I$7:$I$456,MATCH($A270,'Revisão_Gemini'!$A$7:$A$456,0))&amp;"","")&lt;&gt;"",IFERROR(INDEX('Revisão_Gemini'!$I$7:$I$456,MATCH($A270,'Revisão_Gemini'!$A$7:$A$456,0))&amp;"",""),IFERROR(INDEX('Revisão_ChatGPT'!$I$7:$I$456,MATCH($A270,'Revisão_ChatGPT'!$A$7:$A$456,0))&amp;"","")))))</f>
        <v/>
      </c>
      <c r="Q270" s="2" t="str">
        <f t="array" ref="Q270">IF(O270&lt;&gt;"Excluir","",IF(L270&lt;&gt;"",L270,IF(F270="Excluir",IFERROR(INDEX(Triagem!$K$2:$K$451,MATCH($A270,Triagem!$A$2:$A$451,0))&amp;"",""),IF(G270="Excluir",IFERROR(INDEX('Revisão_Gemini'!$J$7:$J$456,MATCH($A270,'Revisão_Gemini'!$A$7:$A$456,0))&amp;"",""),IFERROR(INDEX('Revisão_ChatGPT'!$J$7:$J$456,MATCH($A270,'Revisão_ChatGPT'!$A$7:$A$456,0))&amp;"","")))))</f>
        <v/>
      </c>
    </row>
    <row r="271" ht="15.75" customHeight="1">
      <c r="A271" s="2" t="s">
        <v>1250</v>
      </c>
      <c r="B271" s="19" t="str">
        <f t="array" ref="B271">INDEX(Triagem!$N$2:$N451 , MATCH(A271,Triagem!$A$2:$A451,0))</f>
        <v>abrir</v>
      </c>
      <c r="C271" s="20">
        <f t="array" ref="C271">INDEX(Triagem!$B$2:$B451 , MATCH(A271,Triagem!$A$2:$A451,0))</f>
        <v>2020</v>
      </c>
      <c r="D271" s="2" t="s">
        <v>1252</v>
      </c>
      <c r="E271" s="2" t="s">
        <v>1253</v>
      </c>
      <c r="F271" s="2" t="str">
        <f t="array" ref="F271">IFERROR(INDEX(Triagem!$I$2:$I$451,MATCH($A271,Triagem!$A$2:$A$451,0))&amp;"","")</f>
        <v>Excluir</v>
      </c>
      <c r="G271" s="2" t="str">
        <f t="array" ref="G271">IFERROR(INDEX('Revisão_Gemini'!$H$7:$H$456,MATCH($A271,'Revisão_Gemini'!$A$7:$A$456,0))&amp;"","")</f>
        <v>Excluir</v>
      </c>
      <c r="H271" s="2" t="str">
        <f t="array" ref="H271">IFERROR(INDEX('Revisão_ChatGPT'!$H$7:$H$456,MATCH($A271,'Revisão_ChatGPT'!$A$7:$A$456,0))&amp;"","")</f>
        <v>Excluir</v>
      </c>
      <c r="I271" s="2" t="str">
        <f t="shared" si="1"/>
        <v>3/3</v>
      </c>
      <c r="J271" s="21"/>
      <c r="K271" s="21"/>
      <c r="L271" s="21"/>
      <c r="M271" s="22" t="b">
        <f t="shared" si="2"/>
        <v>0</v>
      </c>
      <c r="N271" s="21" t="s">
        <v>3310</v>
      </c>
      <c r="O271" s="2" t="str">
        <f t="shared" si="3"/>
        <v>Fora do recorte anual + Excluir</v>
      </c>
      <c r="P271" s="2" t="str">
        <f t="array" ref="P271">IF(O271&lt;&gt;"Incluir","",IF(K271&lt;&gt;"",K271,IF(IFERROR(INDEX(Triagem!$J$2:$J$451,MATCH($A271,Triagem!$A$2:$A$451,0))&amp;"","")&lt;&gt;"",IFERROR(INDEX(Triagem!$J$2:$J$451,MATCH($A271,Triagem!$A$2:$A$451,0))&amp;"",""),IF(IFERROR(INDEX('Revisão_Gemini'!$I$7:$I$456,MATCH($A271,'Revisão_Gemini'!$A$7:$A$456,0))&amp;"","")&lt;&gt;"",IFERROR(INDEX('Revisão_Gemini'!$I$7:$I$456,MATCH($A271,'Revisão_Gemini'!$A$7:$A$456,0))&amp;"",""),IFERROR(INDEX('Revisão_ChatGPT'!$I$7:$I$456,MATCH($A271,'Revisão_ChatGPT'!$A$7:$A$456,0))&amp;"","")))))</f>
        <v/>
      </c>
      <c r="Q271" s="2" t="str">
        <f t="array" ref="Q271">IF(O271&lt;&gt;"Excluir","",IF(L271&lt;&gt;"",L271,IF(F271="Excluir",IFERROR(INDEX(Triagem!$K$2:$K$451,MATCH($A271,Triagem!$A$2:$A$451,0))&amp;"",""),IF(G271="Excluir",IFERROR(INDEX('Revisão_Gemini'!$J$7:$J$456,MATCH($A271,'Revisão_Gemini'!$A$7:$A$456,0))&amp;"",""),IFERROR(INDEX('Revisão_ChatGPT'!$J$7:$J$456,MATCH($A271,'Revisão_ChatGPT'!$A$7:$A$456,0))&amp;"","")))))</f>
        <v/>
      </c>
    </row>
    <row r="272" ht="15.75" customHeight="1">
      <c r="A272" s="2" t="s">
        <v>1254</v>
      </c>
      <c r="B272" s="19" t="str">
        <f t="array" ref="B272">INDEX(Triagem!$N$2:$N451 , MATCH(A272,Triagem!$A$2:$A451,0))</f>
        <v>abrir</v>
      </c>
      <c r="C272" s="20">
        <f t="array" ref="C272">INDEX(Triagem!$B$2:$B451 , MATCH(A272,Triagem!$A$2:$A451,0))</f>
        <v>2020</v>
      </c>
      <c r="D272" s="2" t="s">
        <v>1256</v>
      </c>
      <c r="E272" s="2" t="s">
        <v>1257</v>
      </c>
      <c r="F272" s="2" t="str">
        <f t="array" ref="F272">IFERROR(INDEX(Triagem!$I$2:$I$451,MATCH($A272,Triagem!$A$2:$A$451,0))&amp;"","")</f>
        <v>Excluir</v>
      </c>
      <c r="G272" s="2" t="str">
        <f t="array" ref="G272">IFERROR(INDEX('Revisão_Gemini'!$H$7:$H$456,MATCH($A272,'Revisão_Gemini'!$A$7:$A$456,0))&amp;"","")</f>
        <v>Excluir</v>
      </c>
      <c r="H272" s="2" t="str">
        <f t="array" ref="H272">IFERROR(INDEX('Revisão_ChatGPT'!$H$7:$H$456,MATCH($A272,'Revisão_ChatGPT'!$A$7:$A$456,0))&amp;"","")</f>
        <v>Excluir</v>
      </c>
      <c r="I272" s="2" t="str">
        <f t="shared" si="1"/>
        <v>3/3</v>
      </c>
      <c r="J272" s="21"/>
      <c r="K272" s="21"/>
      <c r="L272" s="21"/>
      <c r="M272" s="22" t="b">
        <f t="shared" si="2"/>
        <v>0</v>
      </c>
      <c r="N272" s="21" t="s">
        <v>3311</v>
      </c>
      <c r="O272" s="2" t="str">
        <f t="shared" si="3"/>
        <v>Fora do recorte anual + Excluir</v>
      </c>
      <c r="P272" s="2" t="str">
        <f t="array" ref="P272">IF(O272&lt;&gt;"Incluir","",IF(K272&lt;&gt;"",K272,IF(IFERROR(INDEX(Triagem!$J$2:$J$451,MATCH($A272,Triagem!$A$2:$A$451,0))&amp;"","")&lt;&gt;"",IFERROR(INDEX(Triagem!$J$2:$J$451,MATCH($A272,Triagem!$A$2:$A$451,0))&amp;"",""),IF(IFERROR(INDEX('Revisão_Gemini'!$I$7:$I$456,MATCH($A272,'Revisão_Gemini'!$A$7:$A$456,0))&amp;"","")&lt;&gt;"",IFERROR(INDEX('Revisão_Gemini'!$I$7:$I$456,MATCH($A272,'Revisão_Gemini'!$A$7:$A$456,0))&amp;"",""),IFERROR(INDEX('Revisão_ChatGPT'!$I$7:$I$456,MATCH($A272,'Revisão_ChatGPT'!$A$7:$A$456,0))&amp;"","")))))</f>
        <v/>
      </c>
      <c r="Q272" s="2" t="str">
        <f t="array" ref="Q272">IF(O272&lt;&gt;"Excluir","",IF(L272&lt;&gt;"",L272,IF(F272="Excluir",IFERROR(INDEX(Triagem!$K$2:$K$451,MATCH($A272,Triagem!$A$2:$A$451,0))&amp;"",""),IF(G272="Excluir",IFERROR(INDEX('Revisão_Gemini'!$J$7:$J$456,MATCH($A272,'Revisão_Gemini'!$A$7:$A$456,0))&amp;"",""),IFERROR(INDEX('Revisão_ChatGPT'!$J$7:$J$456,MATCH($A272,'Revisão_ChatGPT'!$A$7:$A$456,0))&amp;"","")))))</f>
        <v/>
      </c>
    </row>
    <row r="273" ht="15.75" customHeight="1">
      <c r="A273" s="2" t="s">
        <v>764</v>
      </c>
      <c r="B273" s="19" t="str">
        <f t="array" ref="B273">INDEX(Triagem!$N$2:$N451 , MATCH(A273,Triagem!$A$2:$A451,0))</f>
        <v>abrir</v>
      </c>
      <c r="C273" s="20">
        <f t="array" ref="C273">INDEX(Triagem!$B$2:$B451 , MATCH(A273,Triagem!$A$2:$A451,0))</f>
        <v>2020</v>
      </c>
      <c r="D273" s="2" t="s">
        <v>766</v>
      </c>
      <c r="E273" s="2" t="s">
        <v>767</v>
      </c>
      <c r="F273" s="2" t="str">
        <f t="array" ref="F273">IFERROR(INDEX(Triagem!$I$2:$I$451,MATCH($A273,Triagem!$A$2:$A$451,0))&amp;"","")</f>
        <v>Apoio</v>
      </c>
      <c r="G273" s="2" t="str">
        <f t="array" ref="G273">IFERROR(INDEX('Revisão_Gemini'!$H$7:$H$456,MATCH($A273,'Revisão_Gemini'!$A$7:$A$456,0))&amp;"","")</f>
        <v>Apoio</v>
      </c>
      <c r="H273" s="2" t="str">
        <f t="array" ref="H273">IFERROR(INDEX('Revisão_ChatGPT'!$H$7:$H$456,MATCH($A273,'Revisão_ChatGPT'!$A$7:$A$456,0))&amp;"","")</f>
        <v>Apoio</v>
      </c>
      <c r="I273" s="2" t="str">
        <f t="shared" si="1"/>
        <v>3/3</v>
      </c>
      <c r="J273" s="21"/>
      <c r="K273" s="21"/>
      <c r="L273" s="21"/>
      <c r="M273" s="22" t="b">
        <f t="shared" si="2"/>
        <v>0</v>
      </c>
      <c r="N273" s="21"/>
      <c r="O273" s="2" t="str">
        <f t="shared" si="3"/>
        <v>Fora do recorte anual + Apoio</v>
      </c>
      <c r="P273" s="2" t="str">
        <f t="array" ref="P273">IF(O273&lt;&gt;"Incluir","",IF(K273&lt;&gt;"",K273,IF(IFERROR(INDEX(Triagem!$J$2:$J$451,MATCH($A273,Triagem!$A$2:$A$451,0))&amp;"","")&lt;&gt;"",IFERROR(INDEX(Triagem!$J$2:$J$451,MATCH($A273,Triagem!$A$2:$A$451,0))&amp;"",""),IF(IFERROR(INDEX('Revisão_Gemini'!$I$7:$I$456,MATCH($A273,'Revisão_Gemini'!$A$7:$A$456,0))&amp;"","")&lt;&gt;"",IFERROR(INDEX('Revisão_Gemini'!$I$7:$I$456,MATCH($A273,'Revisão_Gemini'!$A$7:$A$456,0))&amp;"",""),IFERROR(INDEX('Revisão_ChatGPT'!$I$7:$I$456,MATCH($A273,'Revisão_ChatGPT'!$A$7:$A$456,0))&amp;"","")))))</f>
        <v/>
      </c>
      <c r="Q273" s="2" t="str">
        <f t="array" ref="Q273">IF(O273&lt;&gt;"Excluir","",IF(L273&lt;&gt;"",L273,IF(F273="Excluir",IFERROR(INDEX(Triagem!$K$2:$K$451,MATCH($A273,Triagem!$A$2:$A$451,0))&amp;"",""),IF(G273="Excluir",IFERROR(INDEX('Revisão_Gemini'!$J$7:$J$456,MATCH($A273,'Revisão_Gemini'!$A$7:$A$456,0))&amp;"",""),IFERROR(INDEX('Revisão_ChatGPT'!$J$7:$J$456,MATCH($A273,'Revisão_ChatGPT'!$A$7:$A$456,0))&amp;"","")))))</f>
        <v/>
      </c>
    </row>
    <row r="274" ht="15.75" customHeight="1">
      <c r="A274" s="2" t="s">
        <v>363</v>
      </c>
      <c r="B274" s="19" t="str">
        <f t="array" ref="B274">INDEX(Triagem!$N$2:$N451 , MATCH(A274,Triagem!$A$2:$A451,0))</f>
        <v>abrir</v>
      </c>
      <c r="C274" s="20">
        <f t="array" ref="C274">INDEX(Triagem!$B$2:$B451 , MATCH(A274,Triagem!$A$2:$A451,0))</f>
        <v>2020</v>
      </c>
      <c r="D274" s="2" t="s">
        <v>365</v>
      </c>
      <c r="E274" s="2" t="s">
        <v>366</v>
      </c>
      <c r="F274" s="2" t="str">
        <f t="array" ref="F274">IFERROR(INDEX(Triagem!$I$2:$I$451,MATCH($A274,Triagem!$A$2:$A$451,0))&amp;"","")</f>
        <v>Incluir</v>
      </c>
      <c r="G274" s="2" t="str">
        <f t="array" ref="G274">IFERROR(INDEX('Revisão_Gemini'!$H$7:$H$456,MATCH($A274,'Revisão_Gemini'!$A$7:$A$456,0))&amp;"","")</f>
        <v>Incluir</v>
      </c>
      <c r="H274" s="2" t="str">
        <f t="array" ref="H274">IFERROR(INDEX('Revisão_ChatGPT'!$H$7:$H$456,MATCH($A274,'Revisão_ChatGPT'!$A$7:$A$456,0))&amp;"","")</f>
        <v>Incluir</v>
      </c>
      <c r="I274" s="2" t="str">
        <f t="shared" si="1"/>
        <v>3/3</v>
      </c>
      <c r="J274" s="21"/>
      <c r="K274" s="21"/>
      <c r="L274" s="21"/>
      <c r="M274" s="22" t="b">
        <f t="shared" si="2"/>
        <v>0</v>
      </c>
      <c r="N274" s="21" t="s">
        <v>3312</v>
      </c>
      <c r="O274" s="2" t="str">
        <f t="shared" si="3"/>
        <v>Fora do recorte anual + Incluir</v>
      </c>
      <c r="P274" s="2" t="str">
        <f t="array" ref="P274">IF(O274&lt;&gt;"Incluir","",IF(K274&lt;&gt;"",K274,IF(IFERROR(INDEX(Triagem!$J$2:$J$451,MATCH($A274,Triagem!$A$2:$A$451,0))&amp;"","")&lt;&gt;"",IFERROR(INDEX(Triagem!$J$2:$J$451,MATCH($A274,Triagem!$A$2:$A$451,0))&amp;"",""),IF(IFERROR(INDEX('Revisão_Gemini'!$I$7:$I$456,MATCH($A274,'Revisão_Gemini'!$A$7:$A$456,0))&amp;"","")&lt;&gt;"",IFERROR(INDEX('Revisão_Gemini'!$I$7:$I$456,MATCH($A274,'Revisão_Gemini'!$A$7:$A$456,0))&amp;"",""),IFERROR(INDEX('Revisão_ChatGPT'!$I$7:$I$456,MATCH($A274,'Revisão_ChatGPT'!$A$7:$A$456,0))&amp;"","")))))</f>
        <v/>
      </c>
      <c r="Q274" s="2" t="str">
        <f t="array" ref="Q274">IF(O274&lt;&gt;"Excluir","",IF(L274&lt;&gt;"",L274,IF(F274="Excluir",IFERROR(INDEX(Triagem!$K$2:$K$451,MATCH($A274,Triagem!$A$2:$A$451,0))&amp;"",""),IF(G274="Excluir",IFERROR(INDEX('Revisão_Gemini'!$J$7:$J$456,MATCH($A274,'Revisão_Gemini'!$A$7:$A$456,0))&amp;"",""),IFERROR(INDEX('Revisão_ChatGPT'!$J$7:$J$456,MATCH($A274,'Revisão_ChatGPT'!$A$7:$A$456,0))&amp;"","")))))</f>
        <v/>
      </c>
    </row>
    <row r="275" ht="15.75" customHeight="1">
      <c r="A275" s="2" t="s">
        <v>308</v>
      </c>
      <c r="B275" s="19" t="str">
        <f t="array" ref="B275">INDEX(Triagem!$N$2:$N451 , MATCH(A275,Triagem!$A$2:$A451,0))</f>
        <v>abrir</v>
      </c>
      <c r="C275" s="20">
        <f t="array" ref="C275">INDEX(Triagem!$B$2:$B451 , MATCH(A275,Triagem!$A$2:$A451,0))</f>
        <v>2021</v>
      </c>
      <c r="D275" s="2" t="s">
        <v>310</v>
      </c>
      <c r="E275" s="2" t="s">
        <v>311</v>
      </c>
      <c r="F275" s="2" t="str">
        <f t="array" ref="F275">IFERROR(INDEX(Triagem!$I$2:$I$451,MATCH($A275,Triagem!$A$2:$A$451,0))&amp;"","")</f>
        <v>Incluir</v>
      </c>
      <c r="G275" s="2" t="str">
        <f t="array" ref="G275">IFERROR(INDEX('Revisão_Gemini'!$H$7:$H$456,MATCH($A275,'Revisão_Gemini'!$A$7:$A$456,0))&amp;"","")</f>
        <v>Incluir</v>
      </c>
      <c r="H275" s="2" t="str">
        <f t="array" ref="H275">IFERROR(INDEX('Revisão_ChatGPT'!$H$7:$H$456,MATCH($A275,'Revisão_ChatGPT'!$A$7:$A$456,0))&amp;"","")</f>
        <v>Excluir</v>
      </c>
      <c r="I275" s="2" t="str">
        <f t="shared" si="1"/>
        <v>2/3</v>
      </c>
      <c r="J275" s="21" t="s">
        <v>694</v>
      </c>
      <c r="K275" s="21"/>
      <c r="L275" s="21"/>
      <c r="M275" s="22" t="b">
        <f t="shared" si="2"/>
        <v>0</v>
      </c>
      <c r="N275" s="21" t="s">
        <v>3313</v>
      </c>
      <c r="O275" s="2" t="str">
        <f t="shared" si="3"/>
        <v>Fora do recorte anual + Apoio</v>
      </c>
      <c r="P275" s="2" t="str">
        <f t="array" ref="P275">IF(O275&lt;&gt;"Incluir","",IF(K275&lt;&gt;"",K275,IF(IFERROR(INDEX(Triagem!$J$2:$J$451,MATCH($A275,Triagem!$A$2:$A$451,0))&amp;"","")&lt;&gt;"",IFERROR(INDEX(Triagem!$J$2:$J$451,MATCH($A275,Triagem!$A$2:$A$451,0))&amp;"",""),IF(IFERROR(INDEX('Revisão_Gemini'!$I$7:$I$456,MATCH($A275,'Revisão_Gemini'!$A$7:$A$456,0))&amp;"","")&lt;&gt;"",IFERROR(INDEX('Revisão_Gemini'!$I$7:$I$456,MATCH($A275,'Revisão_Gemini'!$A$7:$A$456,0))&amp;"",""),IFERROR(INDEX('Revisão_ChatGPT'!$I$7:$I$456,MATCH($A275,'Revisão_ChatGPT'!$A$7:$A$456,0))&amp;"","")))))</f>
        <v/>
      </c>
      <c r="Q275" s="2" t="str">
        <f t="array" ref="Q275">IF(O275&lt;&gt;"Excluir","",IF(L275&lt;&gt;"",L275,IF(F275="Excluir",IFERROR(INDEX(Triagem!$K$2:$K$451,MATCH($A275,Triagem!$A$2:$A$451,0))&amp;"",""),IF(G275="Excluir",IFERROR(INDEX('Revisão_Gemini'!$J$7:$J$456,MATCH($A275,'Revisão_Gemini'!$A$7:$A$456,0))&amp;"",""),IFERROR(INDEX('Revisão_ChatGPT'!$J$7:$J$456,MATCH($A275,'Revisão_ChatGPT'!$A$7:$A$456,0))&amp;"","")))))</f>
        <v/>
      </c>
    </row>
    <row r="276" ht="15.75" customHeight="1">
      <c r="A276" s="2" t="s">
        <v>769</v>
      </c>
      <c r="B276" s="19" t="str">
        <f t="array" ref="B276">INDEX(Triagem!$N$2:$N451 , MATCH(A276,Triagem!$A$2:$A451,0))</f>
        <v>abrir</v>
      </c>
      <c r="C276" s="20">
        <f t="array" ref="C276">INDEX(Triagem!$B$2:$B451 , MATCH(A276,Triagem!$A$2:$A451,0))</f>
        <v>2020</v>
      </c>
      <c r="D276" s="2" t="s">
        <v>771</v>
      </c>
      <c r="E276" s="2" t="s">
        <v>772</v>
      </c>
      <c r="F276" s="2" t="str">
        <f t="array" ref="F276">IFERROR(INDEX(Triagem!$I$2:$I$451,MATCH($A276,Triagem!$A$2:$A$451,0))&amp;"","")</f>
        <v>Apoio</v>
      </c>
      <c r="G276" s="2" t="str">
        <f t="array" ref="G276">IFERROR(INDEX('Revisão_Gemini'!$H$7:$H$456,MATCH($A276,'Revisão_Gemini'!$A$7:$A$456,0))&amp;"","")</f>
        <v>Apoio</v>
      </c>
      <c r="H276" s="2" t="str">
        <f t="array" ref="H276">IFERROR(INDEX('Revisão_ChatGPT'!$H$7:$H$456,MATCH($A276,'Revisão_ChatGPT'!$A$7:$A$456,0))&amp;"","")</f>
        <v>Excluir</v>
      </c>
      <c r="I276" s="2" t="str">
        <f t="shared" si="1"/>
        <v>2/3</v>
      </c>
      <c r="J276" s="21" t="s">
        <v>906</v>
      </c>
      <c r="K276" s="21"/>
      <c r="L276" s="21"/>
      <c r="M276" s="22" t="b">
        <f t="shared" si="2"/>
        <v>0</v>
      </c>
      <c r="N276" s="21"/>
      <c r="O276" s="2" t="str">
        <f t="shared" si="3"/>
        <v>Fora do recorte anual + Excluir</v>
      </c>
      <c r="P276" s="2" t="str">
        <f t="array" ref="P276">IF(O276&lt;&gt;"Incluir","",IF(K276&lt;&gt;"",K276,IF(IFERROR(INDEX(Triagem!$J$2:$J$451,MATCH($A276,Triagem!$A$2:$A$451,0))&amp;"","")&lt;&gt;"",IFERROR(INDEX(Triagem!$J$2:$J$451,MATCH($A276,Triagem!$A$2:$A$451,0))&amp;"",""),IF(IFERROR(INDEX('Revisão_Gemini'!$I$7:$I$456,MATCH($A276,'Revisão_Gemini'!$A$7:$A$456,0))&amp;"","")&lt;&gt;"",IFERROR(INDEX('Revisão_Gemini'!$I$7:$I$456,MATCH($A276,'Revisão_Gemini'!$A$7:$A$456,0))&amp;"",""),IFERROR(INDEX('Revisão_ChatGPT'!$I$7:$I$456,MATCH($A276,'Revisão_ChatGPT'!$A$7:$A$456,0))&amp;"","")))))</f>
        <v/>
      </c>
      <c r="Q276" s="2" t="str">
        <f t="array" ref="Q276">IF(O276&lt;&gt;"Excluir","",IF(L276&lt;&gt;"",L276,IF(F276="Excluir",IFERROR(INDEX(Triagem!$K$2:$K$451,MATCH($A276,Triagem!$A$2:$A$451,0))&amp;"",""),IF(G276="Excluir",IFERROR(INDEX('Revisão_Gemini'!$J$7:$J$456,MATCH($A276,'Revisão_Gemini'!$A$7:$A$456,0))&amp;"",""),IFERROR(INDEX('Revisão_ChatGPT'!$J$7:$J$456,MATCH($A276,'Revisão_ChatGPT'!$A$7:$A$456,0))&amp;"","")))))</f>
        <v/>
      </c>
    </row>
    <row r="277" ht="15.75" customHeight="1">
      <c r="A277" s="2" t="s">
        <v>313</v>
      </c>
      <c r="B277" s="19" t="str">
        <f t="array" ref="B277">INDEX(Triagem!$N$2:$N451 , MATCH(A277,Triagem!$A$2:$A451,0))</f>
        <v>abrir</v>
      </c>
      <c r="C277" s="20">
        <f t="array" ref="C277">INDEX(Triagem!$B$2:$B451 , MATCH(A277,Triagem!$A$2:$A451,0))</f>
        <v>2021</v>
      </c>
      <c r="D277" s="2" t="s">
        <v>315</v>
      </c>
      <c r="E277" s="2" t="s">
        <v>316</v>
      </c>
      <c r="F277" s="2" t="str">
        <f t="array" ref="F277">IFERROR(INDEX(Triagem!$I$2:$I$451,MATCH($A277,Triagem!$A$2:$A$451,0))&amp;"","")</f>
        <v>Incluir</v>
      </c>
      <c r="G277" s="2" t="str">
        <f t="array" ref="G277">IFERROR(INDEX('Revisão_Gemini'!$H$7:$H$456,MATCH($A277,'Revisão_Gemini'!$A$7:$A$456,0))&amp;"","")</f>
        <v>Incluir</v>
      </c>
      <c r="H277" s="2" t="str">
        <f t="array" ref="H277">IFERROR(INDEX('Revisão_ChatGPT'!$H$7:$H$456,MATCH($A277,'Revisão_ChatGPT'!$A$7:$A$456,0))&amp;"","")</f>
        <v>Incluir</v>
      </c>
      <c r="I277" s="2" t="str">
        <f t="shared" si="1"/>
        <v>3/3</v>
      </c>
      <c r="J277" s="21"/>
      <c r="K277" s="21"/>
      <c r="L277" s="21"/>
      <c r="M277" s="22" t="b">
        <f t="shared" si="2"/>
        <v>0</v>
      </c>
      <c r="N277" s="21" t="s">
        <v>3313</v>
      </c>
      <c r="O277" s="2" t="str">
        <f t="shared" si="3"/>
        <v>Fora do recorte anual + Incluir</v>
      </c>
      <c r="P277" s="2" t="str">
        <f t="array" ref="P277">IF(O277&lt;&gt;"Incluir","",IF(K277&lt;&gt;"",K277,IF(IFERROR(INDEX(Triagem!$J$2:$J$451,MATCH($A277,Triagem!$A$2:$A$451,0))&amp;"","")&lt;&gt;"",IFERROR(INDEX(Triagem!$J$2:$J$451,MATCH($A277,Triagem!$A$2:$A$451,0))&amp;"",""),IF(IFERROR(INDEX('Revisão_Gemini'!$I$7:$I$456,MATCH($A277,'Revisão_Gemini'!$A$7:$A$456,0))&amp;"","")&lt;&gt;"",IFERROR(INDEX('Revisão_Gemini'!$I$7:$I$456,MATCH($A277,'Revisão_Gemini'!$A$7:$A$456,0))&amp;"",""),IFERROR(INDEX('Revisão_ChatGPT'!$I$7:$I$456,MATCH($A277,'Revisão_ChatGPT'!$A$7:$A$456,0))&amp;"","")))))</f>
        <v/>
      </c>
      <c r="Q277" s="2" t="str">
        <f t="array" ref="Q277">IF(O277&lt;&gt;"Excluir","",IF(L277&lt;&gt;"",L277,IF(F277="Excluir",IFERROR(INDEX(Triagem!$K$2:$K$451,MATCH($A277,Triagem!$A$2:$A$451,0))&amp;"",""),IF(G277="Excluir",IFERROR(INDEX('Revisão_Gemini'!$J$7:$J$456,MATCH($A277,'Revisão_Gemini'!$A$7:$A$456,0))&amp;"",""),IFERROR(INDEX('Revisão_ChatGPT'!$J$7:$J$456,MATCH($A277,'Revisão_ChatGPT'!$A$7:$A$456,0))&amp;"","")))))</f>
        <v/>
      </c>
    </row>
    <row r="278" ht="15.75" customHeight="1">
      <c r="A278" s="2" t="s">
        <v>2003</v>
      </c>
      <c r="B278" s="19" t="str">
        <f t="array" ref="B278">INDEX(Triagem!$N$2:$N451 , MATCH(A278,Triagem!$A$2:$A451,0))</f>
        <v>abrir</v>
      </c>
      <c r="C278" s="20">
        <f t="array" ref="C278">INDEX(Triagem!$B$2:$B451 , MATCH(A278,Triagem!$A$2:$A451,0))</f>
        <v>2021</v>
      </c>
      <c r="D278" s="2" t="s">
        <v>2005</v>
      </c>
      <c r="E278" s="2" t="s">
        <v>2006</v>
      </c>
      <c r="F278" s="2" t="str">
        <f t="array" ref="F278">IFERROR(INDEX(Triagem!$I$2:$I$451,MATCH($A278,Triagem!$A$2:$A$451,0))&amp;"","")</f>
        <v>Excluir</v>
      </c>
      <c r="G278" s="2" t="str">
        <f t="array" ref="G278">IFERROR(INDEX('Revisão_Gemini'!$H$7:$H$456,MATCH($A278,'Revisão_Gemini'!$A$7:$A$456,0))&amp;"","")</f>
        <v>Incluir</v>
      </c>
      <c r="H278" s="2" t="str">
        <f t="array" ref="H278">IFERROR(INDEX('Revisão_ChatGPT'!$H$7:$H$456,MATCH($A278,'Revisão_ChatGPT'!$A$7:$A$456,0))&amp;"","")</f>
        <v>Excluir</v>
      </c>
      <c r="I278" s="2" t="str">
        <f t="shared" si="1"/>
        <v>2/3</v>
      </c>
      <c r="J278" s="21" t="s">
        <v>694</v>
      </c>
      <c r="K278" s="21"/>
      <c r="L278" s="21"/>
      <c r="M278" s="22" t="b">
        <f t="shared" si="2"/>
        <v>0</v>
      </c>
      <c r="N278" s="21" t="s">
        <v>3314</v>
      </c>
      <c r="O278" s="2" t="str">
        <f t="shared" si="3"/>
        <v>Fora do recorte anual + Apoio</v>
      </c>
      <c r="P278" s="2" t="str">
        <f t="array" ref="P278">IF(O278&lt;&gt;"Incluir","",IF(K278&lt;&gt;"",K278,IF(IFERROR(INDEX(Triagem!$J$2:$J$451,MATCH($A278,Triagem!$A$2:$A$451,0))&amp;"","")&lt;&gt;"",IFERROR(INDEX(Triagem!$J$2:$J$451,MATCH($A278,Triagem!$A$2:$A$451,0))&amp;"",""),IF(IFERROR(INDEX('Revisão_Gemini'!$I$7:$I$456,MATCH($A278,'Revisão_Gemini'!$A$7:$A$456,0))&amp;"","")&lt;&gt;"",IFERROR(INDEX('Revisão_Gemini'!$I$7:$I$456,MATCH($A278,'Revisão_Gemini'!$A$7:$A$456,0))&amp;"",""),IFERROR(INDEX('Revisão_ChatGPT'!$I$7:$I$456,MATCH($A278,'Revisão_ChatGPT'!$A$7:$A$456,0))&amp;"","")))))</f>
        <v/>
      </c>
      <c r="Q278" s="2" t="str">
        <f t="array" ref="Q278">IF(O278&lt;&gt;"Excluir","",IF(L278&lt;&gt;"",L278,IF(F278="Excluir",IFERROR(INDEX(Triagem!$K$2:$K$451,MATCH($A278,Triagem!$A$2:$A$451,0))&amp;"",""),IF(G278="Excluir",IFERROR(INDEX('Revisão_Gemini'!$J$7:$J$456,MATCH($A278,'Revisão_Gemini'!$A$7:$A$456,0))&amp;"",""),IFERROR(INDEX('Revisão_ChatGPT'!$J$7:$J$456,MATCH($A278,'Revisão_ChatGPT'!$A$7:$A$456,0))&amp;"","")))))</f>
        <v/>
      </c>
    </row>
    <row r="279" ht="15.75" customHeight="1">
      <c r="A279" s="2" t="s">
        <v>369</v>
      </c>
      <c r="B279" s="19" t="str">
        <f t="array" ref="B279">INDEX(Triagem!$N$2:$N451 , MATCH(A279,Triagem!$A$2:$A451,0))</f>
        <v>abrir</v>
      </c>
      <c r="C279" s="20">
        <f t="array" ref="C279">INDEX(Triagem!$B$2:$B451 , MATCH(A279,Triagem!$A$2:$A451,0))</f>
        <v>2020</v>
      </c>
      <c r="D279" s="2" t="s">
        <v>370</v>
      </c>
      <c r="E279" s="23" t="s">
        <v>371</v>
      </c>
      <c r="F279" s="2" t="str">
        <f t="array" ref="F279">IFERROR(INDEX(Triagem!$I$2:$I$451,MATCH($A279,Triagem!$A$2:$A$451,0))&amp;"","")</f>
        <v>Incluir</v>
      </c>
      <c r="G279" s="2" t="str">
        <f t="array" ref="G279">IFERROR(INDEX('Revisão_Gemini'!$H$7:$H$456,MATCH($A279,'Revisão_Gemini'!$A$7:$A$456,0))&amp;"","")</f>
        <v>Incluir</v>
      </c>
      <c r="H279" s="2" t="str">
        <f t="array" ref="H279">IFERROR(INDEX('Revisão_ChatGPT'!$H$7:$H$456,MATCH($A279,'Revisão_ChatGPT'!$A$7:$A$456,0))&amp;"","")</f>
        <v>Incluir</v>
      </c>
      <c r="I279" s="2" t="str">
        <f t="shared" si="1"/>
        <v>3/3</v>
      </c>
      <c r="J279" s="21"/>
      <c r="K279" s="21"/>
      <c r="L279" s="21"/>
      <c r="M279" s="22" t="b">
        <f t="shared" si="2"/>
        <v>0</v>
      </c>
      <c r="N279" s="21" t="s">
        <v>3315</v>
      </c>
      <c r="O279" s="2" t="str">
        <f t="shared" si="3"/>
        <v>Fora do recorte anual + Incluir</v>
      </c>
      <c r="P279" s="2" t="str">
        <f t="array" ref="P279">IF(O279&lt;&gt;"Incluir","",IF(K279&lt;&gt;"",K279,IF(IFERROR(INDEX(Triagem!$J$2:$J$451,MATCH($A279,Triagem!$A$2:$A$451,0))&amp;"","")&lt;&gt;"",IFERROR(INDEX(Triagem!$J$2:$J$451,MATCH($A279,Triagem!$A$2:$A$451,0))&amp;"",""),IF(IFERROR(INDEX('Revisão_Gemini'!$I$7:$I$456,MATCH($A279,'Revisão_Gemini'!$A$7:$A$456,0))&amp;"","")&lt;&gt;"",IFERROR(INDEX('Revisão_Gemini'!$I$7:$I$456,MATCH($A279,'Revisão_Gemini'!$A$7:$A$456,0))&amp;"",""),IFERROR(INDEX('Revisão_ChatGPT'!$I$7:$I$456,MATCH($A279,'Revisão_ChatGPT'!$A$7:$A$456,0))&amp;"","")))))</f>
        <v/>
      </c>
      <c r="Q279" s="2" t="str">
        <f t="array" ref="Q279">IF(O279&lt;&gt;"Excluir","",IF(L279&lt;&gt;"",L279,IF(F279="Excluir",IFERROR(INDEX(Triagem!$K$2:$K$451,MATCH($A279,Triagem!$A$2:$A$451,0))&amp;"",""),IF(G279="Excluir",IFERROR(INDEX('Revisão_Gemini'!$J$7:$J$456,MATCH($A279,'Revisão_Gemini'!$A$7:$A$456,0))&amp;"",""),IFERROR(INDEX('Revisão_ChatGPT'!$J$7:$J$456,MATCH($A279,'Revisão_ChatGPT'!$A$7:$A$456,0))&amp;"","")))))</f>
        <v/>
      </c>
    </row>
    <row r="280" ht="15.75" customHeight="1">
      <c r="A280" s="2" t="s">
        <v>1180</v>
      </c>
      <c r="B280" s="19" t="str">
        <f t="array" ref="B280">INDEX(Triagem!$N$2:$N451 , MATCH(A280,Triagem!$A$2:$A451,0))</f>
        <v>abrir</v>
      </c>
      <c r="C280" s="20">
        <f t="array" ref="C280">INDEX(Triagem!$B$2:$B451 , MATCH(A280,Triagem!$A$2:$A451,0))</f>
        <v>2021</v>
      </c>
      <c r="D280" s="2" t="s">
        <v>1182</v>
      </c>
      <c r="E280" s="2" t="s">
        <v>1183</v>
      </c>
      <c r="F280" s="2" t="str">
        <f t="array" ref="F280">IFERROR(INDEX(Triagem!$I$2:$I$451,MATCH($A280,Triagem!$A$2:$A$451,0))&amp;"","")</f>
        <v>Excluir</v>
      </c>
      <c r="G280" s="2" t="str">
        <f t="array" ref="G280">IFERROR(INDEX('Revisão_Gemini'!$H$7:$H$456,MATCH($A280,'Revisão_Gemini'!$A$7:$A$456,0))&amp;"","")</f>
        <v>Excluir</v>
      </c>
      <c r="H280" s="2" t="str">
        <f t="array" ref="H280">IFERROR(INDEX('Revisão_ChatGPT'!$H$7:$H$456,MATCH($A280,'Revisão_ChatGPT'!$A$7:$A$456,0))&amp;"","")</f>
        <v>Excluir</v>
      </c>
      <c r="I280" s="2" t="str">
        <f t="shared" si="1"/>
        <v>3/3</v>
      </c>
      <c r="J280" s="21"/>
      <c r="K280" s="21"/>
      <c r="L280" s="21"/>
      <c r="M280" s="22" t="b">
        <f t="shared" si="2"/>
        <v>0</v>
      </c>
      <c r="N280" s="21" t="s">
        <v>3316</v>
      </c>
      <c r="O280" s="2" t="str">
        <f t="shared" si="3"/>
        <v>Fora do recorte anual + Excluir</v>
      </c>
      <c r="P280" s="2" t="str">
        <f t="array" ref="P280">IF(O280&lt;&gt;"Incluir","",IF(K280&lt;&gt;"",K280,IF(IFERROR(INDEX(Triagem!$J$2:$J$451,MATCH($A280,Triagem!$A$2:$A$451,0))&amp;"","")&lt;&gt;"",IFERROR(INDEX(Triagem!$J$2:$J$451,MATCH($A280,Triagem!$A$2:$A$451,0))&amp;"",""),IF(IFERROR(INDEX('Revisão_Gemini'!$I$7:$I$456,MATCH($A280,'Revisão_Gemini'!$A$7:$A$456,0))&amp;"","")&lt;&gt;"",IFERROR(INDEX('Revisão_Gemini'!$I$7:$I$456,MATCH($A280,'Revisão_Gemini'!$A$7:$A$456,0))&amp;"",""),IFERROR(INDEX('Revisão_ChatGPT'!$I$7:$I$456,MATCH($A280,'Revisão_ChatGPT'!$A$7:$A$456,0))&amp;"","")))))</f>
        <v/>
      </c>
      <c r="Q280" s="2" t="str">
        <f t="array" ref="Q280">IF(O280&lt;&gt;"Excluir","",IF(L280&lt;&gt;"",L280,IF(F280="Excluir",IFERROR(INDEX(Triagem!$K$2:$K$451,MATCH($A280,Triagem!$A$2:$A$451,0))&amp;"",""),IF(G280="Excluir",IFERROR(INDEX('Revisão_Gemini'!$J$7:$J$456,MATCH($A280,'Revisão_Gemini'!$A$7:$A$456,0))&amp;"",""),IFERROR(INDEX('Revisão_ChatGPT'!$J$7:$J$456,MATCH($A280,'Revisão_ChatGPT'!$A$7:$A$456,0))&amp;"","")))))</f>
        <v/>
      </c>
    </row>
    <row r="281" ht="15.75" customHeight="1">
      <c r="A281" s="2" t="s">
        <v>1259</v>
      </c>
      <c r="B281" s="19" t="str">
        <f t="array" ref="B281">INDEX(Triagem!$N$2:$N451 , MATCH(A281,Triagem!$A$2:$A451,0))</f>
        <v>abrir</v>
      </c>
      <c r="C281" s="20">
        <f t="array" ref="C281">INDEX(Triagem!$B$2:$B451 , MATCH(A281,Triagem!$A$2:$A451,0))</f>
        <v>2020</v>
      </c>
      <c r="D281" s="2" t="s">
        <v>1261</v>
      </c>
      <c r="E281" s="2" t="s">
        <v>1262</v>
      </c>
      <c r="F281" s="2" t="str">
        <f t="array" ref="F281">IFERROR(INDEX(Triagem!$I$2:$I$451,MATCH($A281,Triagem!$A$2:$A$451,0))&amp;"","")</f>
        <v>Excluir</v>
      </c>
      <c r="G281" s="2" t="str">
        <f t="array" ref="G281">IFERROR(INDEX('Revisão_Gemini'!$H$7:$H$456,MATCH($A281,'Revisão_Gemini'!$A$7:$A$456,0))&amp;"","")</f>
        <v>Excluir</v>
      </c>
      <c r="H281" s="2" t="str">
        <f t="array" ref="H281">IFERROR(INDEX('Revisão_ChatGPT'!$H$7:$H$456,MATCH($A281,'Revisão_ChatGPT'!$A$7:$A$456,0))&amp;"","")</f>
        <v>Excluir</v>
      </c>
      <c r="I281" s="2" t="str">
        <f t="shared" si="1"/>
        <v>3/3</v>
      </c>
      <c r="J281" s="21"/>
      <c r="K281" s="21"/>
      <c r="L281" s="21"/>
      <c r="M281" s="22" t="b">
        <f t="shared" si="2"/>
        <v>0</v>
      </c>
      <c r="N281" s="21"/>
      <c r="O281" s="2" t="str">
        <f t="shared" si="3"/>
        <v>Fora do recorte anual + Excluir</v>
      </c>
      <c r="P281" s="2" t="str">
        <f t="array" ref="P281">IF(O281&lt;&gt;"Incluir","",IF(K281&lt;&gt;"",K281,IF(IFERROR(INDEX(Triagem!$J$2:$J$451,MATCH($A281,Triagem!$A$2:$A$451,0))&amp;"","")&lt;&gt;"",IFERROR(INDEX(Triagem!$J$2:$J$451,MATCH($A281,Triagem!$A$2:$A$451,0))&amp;"",""),IF(IFERROR(INDEX('Revisão_Gemini'!$I$7:$I$456,MATCH($A281,'Revisão_Gemini'!$A$7:$A$456,0))&amp;"","")&lt;&gt;"",IFERROR(INDEX('Revisão_Gemini'!$I$7:$I$456,MATCH($A281,'Revisão_Gemini'!$A$7:$A$456,0))&amp;"",""),IFERROR(INDEX('Revisão_ChatGPT'!$I$7:$I$456,MATCH($A281,'Revisão_ChatGPT'!$A$7:$A$456,0))&amp;"","")))))</f>
        <v/>
      </c>
      <c r="Q281" s="2" t="str">
        <f t="array" ref="Q281">IF(O281&lt;&gt;"Excluir","",IF(L281&lt;&gt;"",L281,IF(F281="Excluir",IFERROR(INDEX(Triagem!$K$2:$K$451,MATCH($A281,Triagem!$A$2:$A$451,0))&amp;"",""),IF(G281="Excluir",IFERROR(INDEX('Revisão_Gemini'!$J$7:$J$456,MATCH($A281,'Revisão_Gemini'!$A$7:$A$456,0))&amp;"",""),IFERROR(INDEX('Revisão_ChatGPT'!$J$7:$J$456,MATCH($A281,'Revisão_ChatGPT'!$A$7:$A$456,0))&amp;"","")))))</f>
        <v/>
      </c>
    </row>
    <row r="282" ht="15.75" customHeight="1">
      <c r="A282" s="2" t="s">
        <v>2085</v>
      </c>
      <c r="B282" s="19" t="str">
        <f t="array" ref="B282">INDEX(Triagem!$N$2:$N451 , MATCH(A282,Triagem!$A$2:$A451,0))</f>
        <v>abrir</v>
      </c>
      <c r="C282" s="20">
        <f t="array" ref="C282">INDEX(Triagem!$B$2:$B451 , MATCH(A282,Triagem!$A$2:$A451,0))</f>
        <v>2025</v>
      </c>
      <c r="D282" s="2" t="s">
        <v>2087</v>
      </c>
      <c r="E282" s="2"/>
      <c r="F282" s="2" t="str">
        <f t="array" ref="F282">IFERROR(INDEX(Triagem!$I$2:$I$451,MATCH($A282,Triagem!$A$2:$A$451,0))&amp;"","")</f>
        <v>Excluir</v>
      </c>
      <c r="G282" s="2" t="str">
        <f t="array" ref="G282">IFERROR(INDEX('Revisão_Gemini'!$H$7:$H$456,MATCH($A282,'Revisão_Gemini'!$A$7:$A$456,0))&amp;"","")</f>
        <v>Excluir</v>
      </c>
      <c r="H282" s="2" t="str">
        <f t="array" ref="H282">IFERROR(INDEX('Revisão_ChatGPT'!$H$7:$H$456,MATCH($A282,'Revisão_ChatGPT'!$A$7:$A$456,0))&amp;"","")</f>
        <v>Excluir</v>
      </c>
      <c r="I282" s="2" t="str">
        <f t="shared" si="1"/>
        <v>3/3</v>
      </c>
      <c r="J282" s="21"/>
      <c r="K282" s="21"/>
      <c r="L282" s="21"/>
      <c r="M282" s="22" t="b">
        <f t="shared" si="2"/>
        <v>1</v>
      </c>
      <c r="N282" s="21"/>
      <c r="O282" s="2" t="str">
        <f t="shared" si="3"/>
        <v>Excluir</v>
      </c>
      <c r="P282" s="2" t="str">
        <f t="array" ref="P282">IF(O282&lt;&gt;"Incluir","",IF(K282&lt;&gt;"",K282,IF(IFERROR(INDEX(Triagem!$J$2:$J$451,MATCH($A282,Triagem!$A$2:$A$451,0))&amp;"","")&lt;&gt;"",IFERROR(INDEX(Triagem!$J$2:$J$451,MATCH($A282,Triagem!$A$2:$A$451,0))&amp;"",""),IF(IFERROR(INDEX('Revisão_Gemini'!$I$7:$I$456,MATCH($A282,'Revisão_Gemini'!$A$7:$A$456,0))&amp;"","")&lt;&gt;"",IFERROR(INDEX('Revisão_Gemini'!$I$7:$I$456,MATCH($A282,'Revisão_Gemini'!$A$7:$A$456,0))&amp;"",""),IFERROR(INDEX('Revisão_ChatGPT'!$I$7:$I$456,MATCH($A282,'Revisão_ChatGPT'!$A$7:$A$456,0))&amp;"","")))))</f>
        <v/>
      </c>
      <c r="Q282" s="2" t="str">
        <f t="array" ref="Q282">IF(O282&lt;&gt;"Excluir","",IF(L282&lt;&gt;"",L282,IF(F282="Excluir",IFERROR(INDEX(Triagem!$K$2:$K$451,MATCH($A282,Triagem!$A$2:$A$451,0))&amp;"",""),IF(G282="Excluir",IFERROR(INDEX('Revisão_Gemini'!$J$7:$J$456,MATCH($A282,'Revisão_Gemini'!$A$7:$A$456,0))&amp;"",""),IFERROR(INDEX('Revisão_ChatGPT'!$J$7:$J$456,MATCH($A282,'Revisão_ChatGPT'!$A$7:$A$456,0))&amp;"","")))))</f>
        <v>E6</v>
      </c>
    </row>
    <row r="283" ht="15.75" customHeight="1">
      <c r="A283" s="2" t="s">
        <v>1264</v>
      </c>
      <c r="B283" s="19" t="str">
        <f t="array" ref="B283">INDEX(Triagem!$N$2:$N451 , MATCH(A283,Triagem!$A$2:$A451,0))</f>
        <v>abrir</v>
      </c>
      <c r="C283" s="20">
        <f t="array" ref="C283">INDEX(Triagem!$B$2:$B451 , MATCH(A283,Triagem!$A$2:$A451,0))</f>
        <v>2020</v>
      </c>
      <c r="D283" s="2" t="s">
        <v>1266</v>
      </c>
      <c r="E283" s="2" t="s">
        <v>1267</v>
      </c>
      <c r="F283" s="2" t="str">
        <f t="array" ref="F283">IFERROR(INDEX(Triagem!$I$2:$I$451,MATCH($A283,Triagem!$A$2:$A$451,0))&amp;"","")</f>
        <v>Excluir</v>
      </c>
      <c r="G283" s="2" t="str">
        <f t="array" ref="G283">IFERROR(INDEX('Revisão_Gemini'!$H$7:$H$456,MATCH($A283,'Revisão_Gemini'!$A$7:$A$456,0))&amp;"","")</f>
        <v>Excluir</v>
      </c>
      <c r="H283" s="2" t="str">
        <f t="array" ref="H283">IFERROR(INDEX('Revisão_ChatGPT'!$H$7:$H$456,MATCH($A283,'Revisão_ChatGPT'!$A$7:$A$456,0))&amp;"","")</f>
        <v>Excluir</v>
      </c>
      <c r="I283" s="2" t="str">
        <f t="shared" si="1"/>
        <v>3/3</v>
      </c>
      <c r="J283" s="21"/>
      <c r="K283" s="21"/>
      <c r="L283" s="21"/>
      <c r="M283" s="22" t="b">
        <f t="shared" si="2"/>
        <v>0</v>
      </c>
      <c r="N283" s="21" t="s">
        <v>3317</v>
      </c>
      <c r="O283" s="2" t="str">
        <f t="shared" si="3"/>
        <v>Fora do recorte anual + Excluir</v>
      </c>
      <c r="P283" s="2" t="str">
        <f t="array" ref="P283">IF(O283&lt;&gt;"Incluir","",IF(K283&lt;&gt;"",K283,IF(IFERROR(INDEX(Triagem!$J$2:$J$451,MATCH($A283,Triagem!$A$2:$A$451,0))&amp;"","")&lt;&gt;"",IFERROR(INDEX(Triagem!$J$2:$J$451,MATCH($A283,Triagem!$A$2:$A$451,0))&amp;"",""),IF(IFERROR(INDEX('Revisão_Gemini'!$I$7:$I$456,MATCH($A283,'Revisão_Gemini'!$A$7:$A$456,0))&amp;"","")&lt;&gt;"",IFERROR(INDEX('Revisão_Gemini'!$I$7:$I$456,MATCH($A283,'Revisão_Gemini'!$A$7:$A$456,0))&amp;"",""),IFERROR(INDEX('Revisão_ChatGPT'!$I$7:$I$456,MATCH($A283,'Revisão_ChatGPT'!$A$7:$A$456,0))&amp;"","")))))</f>
        <v/>
      </c>
      <c r="Q283" s="2" t="str">
        <f t="array" ref="Q283">IF(O283&lt;&gt;"Excluir","",IF(L283&lt;&gt;"",L283,IF(F283="Excluir",IFERROR(INDEX(Triagem!$K$2:$K$451,MATCH($A283,Triagem!$A$2:$A$451,0))&amp;"",""),IF(G283="Excluir",IFERROR(INDEX('Revisão_Gemini'!$J$7:$J$456,MATCH($A283,'Revisão_Gemini'!$A$7:$A$456,0))&amp;"",""),IFERROR(INDEX('Revisão_ChatGPT'!$J$7:$J$456,MATCH($A283,'Revisão_ChatGPT'!$A$7:$A$456,0))&amp;"","")))))</f>
        <v/>
      </c>
    </row>
    <row r="284" ht="15.75" customHeight="1">
      <c r="A284" s="2" t="s">
        <v>1184</v>
      </c>
      <c r="B284" s="19" t="str">
        <f t="array" ref="B284">INDEX(Triagem!$N$2:$N451 , MATCH(A284,Triagem!$A$2:$A451,0))</f>
        <v>abrir</v>
      </c>
      <c r="C284" s="20">
        <f t="array" ref="C284">INDEX(Triagem!$B$2:$B451 , MATCH(A284,Triagem!$A$2:$A451,0))</f>
        <v>2021</v>
      </c>
      <c r="D284" s="2" t="s">
        <v>1186</v>
      </c>
      <c r="E284" s="2" t="s">
        <v>1187</v>
      </c>
      <c r="F284" s="2" t="str">
        <f t="array" ref="F284">IFERROR(INDEX(Triagem!$I$2:$I$451,MATCH($A284,Triagem!$A$2:$A$451,0))&amp;"","")</f>
        <v>Excluir</v>
      </c>
      <c r="G284" s="2" t="str">
        <f t="array" ref="G284">IFERROR(INDEX('Revisão_Gemini'!$H$7:$H$456,MATCH($A284,'Revisão_Gemini'!$A$7:$A$456,0))&amp;"","")</f>
        <v>Incluir</v>
      </c>
      <c r="H284" s="2" t="str">
        <f t="array" ref="H284">IFERROR(INDEX('Revisão_ChatGPT'!$H$7:$H$456,MATCH($A284,'Revisão_ChatGPT'!$A$7:$A$456,0))&amp;"","")</f>
        <v>Incluir</v>
      </c>
      <c r="I284" s="2" t="str">
        <f t="shared" si="1"/>
        <v>2/3</v>
      </c>
      <c r="J284" s="21" t="s">
        <v>906</v>
      </c>
      <c r="K284" s="21"/>
      <c r="L284" s="21"/>
      <c r="M284" s="22" t="b">
        <f t="shared" si="2"/>
        <v>0</v>
      </c>
      <c r="N284" s="21" t="s">
        <v>3318</v>
      </c>
      <c r="O284" s="2" t="str">
        <f t="shared" si="3"/>
        <v>Fora do recorte anual + Excluir</v>
      </c>
      <c r="P284" s="2" t="str">
        <f t="array" ref="P284">IF(O284&lt;&gt;"Incluir","",IF(K284&lt;&gt;"",K284,IF(IFERROR(INDEX(Triagem!$J$2:$J$451,MATCH($A284,Triagem!$A$2:$A$451,0))&amp;"","")&lt;&gt;"",IFERROR(INDEX(Triagem!$J$2:$J$451,MATCH($A284,Triagem!$A$2:$A$451,0))&amp;"",""),IF(IFERROR(INDEX('Revisão_Gemini'!$I$7:$I$456,MATCH($A284,'Revisão_Gemini'!$A$7:$A$456,0))&amp;"","")&lt;&gt;"",IFERROR(INDEX('Revisão_Gemini'!$I$7:$I$456,MATCH($A284,'Revisão_Gemini'!$A$7:$A$456,0))&amp;"",""),IFERROR(INDEX('Revisão_ChatGPT'!$I$7:$I$456,MATCH($A284,'Revisão_ChatGPT'!$A$7:$A$456,0))&amp;"","")))))</f>
        <v/>
      </c>
      <c r="Q284" s="2" t="str">
        <f t="array" ref="Q284">IF(O284&lt;&gt;"Excluir","",IF(L284&lt;&gt;"",L284,IF(F284="Excluir",IFERROR(INDEX(Triagem!$K$2:$K$451,MATCH($A284,Triagem!$A$2:$A$451,0))&amp;"",""),IF(G284="Excluir",IFERROR(INDEX('Revisão_Gemini'!$J$7:$J$456,MATCH($A284,'Revisão_Gemini'!$A$7:$A$456,0))&amp;"",""),IFERROR(INDEX('Revisão_ChatGPT'!$J$7:$J$456,MATCH($A284,'Revisão_ChatGPT'!$A$7:$A$456,0))&amp;"","")))))</f>
        <v/>
      </c>
    </row>
    <row r="285" ht="15.75" customHeight="1">
      <c r="A285" s="2" t="s">
        <v>318</v>
      </c>
      <c r="B285" s="19" t="str">
        <f t="array" ref="B285">INDEX(Triagem!$N$2:$N451 , MATCH(A285,Triagem!$A$2:$A451,0))</f>
        <v>abrir</v>
      </c>
      <c r="C285" s="20">
        <f t="array" ref="C285">INDEX(Triagem!$B$2:$B451 , MATCH(A285,Triagem!$A$2:$A451,0))</f>
        <v>2021</v>
      </c>
      <c r="D285" s="2" t="s">
        <v>320</v>
      </c>
      <c r="E285" s="2" t="s">
        <v>321</v>
      </c>
      <c r="F285" s="2" t="str">
        <f t="array" ref="F285">IFERROR(INDEX(Triagem!$I$2:$I$451,MATCH($A285,Triagem!$A$2:$A$451,0))&amp;"","")</f>
        <v>Incluir</v>
      </c>
      <c r="G285" s="2" t="str">
        <f t="array" ref="G285">IFERROR(INDEX('Revisão_Gemini'!$H$7:$H$456,MATCH($A285,'Revisão_Gemini'!$A$7:$A$456,0))&amp;"","")</f>
        <v>Incluir</v>
      </c>
      <c r="H285" s="2" t="str">
        <f t="array" ref="H285">IFERROR(INDEX('Revisão_ChatGPT'!$H$7:$H$456,MATCH($A285,'Revisão_ChatGPT'!$A$7:$A$456,0))&amp;"","")</f>
        <v>Excluir</v>
      </c>
      <c r="I285" s="2" t="str">
        <f t="shared" si="1"/>
        <v>2/3</v>
      </c>
      <c r="J285" s="21" t="s">
        <v>906</v>
      </c>
      <c r="K285" s="21"/>
      <c r="L285" s="21"/>
      <c r="M285" s="22" t="b">
        <f t="shared" si="2"/>
        <v>0</v>
      </c>
      <c r="N285" s="21"/>
      <c r="O285" s="2" t="str">
        <f t="shared" si="3"/>
        <v>Fora do recorte anual + Excluir</v>
      </c>
      <c r="P285" s="2" t="str">
        <f t="array" ref="P285">IF(O285&lt;&gt;"Incluir","",IF(K285&lt;&gt;"",K285,IF(IFERROR(INDEX(Triagem!$J$2:$J$451,MATCH($A285,Triagem!$A$2:$A$451,0))&amp;"","")&lt;&gt;"",IFERROR(INDEX(Triagem!$J$2:$J$451,MATCH($A285,Triagem!$A$2:$A$451,0))&amp;"",""),IF(IFERROR(INDEX('Revisão_Gemini'!$I$7:$I$456,MATCH($A285,'Revisão_Gemini'!$A$7:$A$456,0))&amp;"","")&lt;&gt;"",IFERROR(INDEX('Revisão_Gemini'!$I$7:$I$456,MATCH($A285,'Revisão_Gemini'!$A$7:$A$456,0))&amp;"",""),IFERROR(INDEX('Revisão_ChatGPT'!$I$7:$I$456,MATCH($A285,'Revisão_ChatGPT'!$A$7:$A$456,0))&amp;"","")))))</f>
        <v/>
      </c>
      <c r="Q285" s="2" t="str">
        <f t="array" ref="Q285">IF(O285&lt;&gt;"Excluir","",IF(L285&lt;&gt;"",L285,IF(F285="Excluir",IFERROR(INDEX(Triagem!$K$2:$K$451,MATCH($A285,Triagem!$A$2:$A$451,0))&amp;"",""),IF(G285="Excluir",IFERROR(INDEX('Revisão_Gemini'!$J$7:$J$456,MATCH($A285,'Revisão_Gemini'!$A$7:$A$456,0))&amp;"",""),IFERROR(INDEX('Revisão_ChatGPT'!$J$7:$J$456,MATCH($A285,'Revisão_ChatGPT'!$A$7:$A$456,0))&amp;"","")))))</f>
        <v/>
      </c>
    </row>
    <row r="286" ht="15.75" customHeight="1">
      <c r="A286" s="2" t="s">
        <v>1189</v>
      </c>
      <c r="B286" s="19" t="str">
        <f t="array" ref="B286">INDEX(Triagem!$N$2:$N451 , MATCH(A286,Triagem!$A$2:$A451,0))</f>
        <v>abrir</v>
      </c>
      <c r="C286" s="20">
        <f t="array" ref="C286">INDEX(Triagem!$B$2:$B451 , MATCH(A286,Triagem!$A$2:$A451,0))</f>
        <v>2021</v>
      </c>
      <c r="D286" s="2" t="s">
        <v>1191</v>
      </c>
      <c r="E286" s="2" t="s">
        <v>1192</v>
      </c>
      <c r="F286" s="2" t="str">
        <f t="array" ref="F286">IFERROR(INDEX(Triagem!$I$2:$I$451,MATCH($A286,Triagem!$A$2:$A$451,0))&amp;"","")</f>
        <v>Excluir</v>
      </c>
      <c r="G286" s="2" t="str">
        <f t="array" ref="G286">IFERROR(INDEX('Revisão_Gemini'!$H$7:$H$456,MATCH($A286,'Revisão_Gemini'!$A$7:$A$456,0))&amp;"","")</f>
        <v>Excluir</v>
      </c>
      <c r="H286" s="2" t="str">
        <f t="array" ref="H286">IFERROR(INDEX('Revisão_ChatGPT'!$H$7:$H$456,MATCH($A286,'Revisão_ChatGPT'!$A$7:$A$456,0))&amp;"","")</f>
        <v>Excluir</v>
      </c>
      <c r="I286" s="2" t="str">
        <f t="shared" si="1"/>
        <v>3/3</v>
      </c>
      <c r="J286" s="21"/>
      <c r="K286" s="21"/>
      <c r="L286" s="21"/>
      <c r="M286" s="22" t="b">
        <f t="shared" si="2"/>
        <v>0</v>
      </c>
      <c r="N286" s="21" t="s">
        <v>3319</v>
      </c>
      <c r="O286" s="2" t="str">
        <f t="shared" si="3"/>
        <v>Fora do recorte anual + Excluir</v>
      </c>
      <c r="P286" s="2" t="str">
        <f t="array" ref="P286">IF(O286&lt;&gt;"Incluir","",IF(K286&lt;&gt;"",K286,IF(IFERROR(INDEX(Triagem!$J$2:$J$451,MATCH($A286,Triagem!$A$2:$A$451,0))&amp;"","")&lt;&gt;"",IFERROR(INDEX(Triagem!$J$2:$J$451,MATCH($A286,Triagem!$A$2:$A$451,0))&amp;"",""),IF(IFERROR(INDEX('Revisão_Gemini'!$I$7:$I$456,MATCH($A286,'Revisão_Gemini'!$A$7:$A$456,0))&amp;"","")&lt;&gt;"",IFERROR(INDEX('Revisão_Gemini'!$I$7:$I$456,MATCH($A286,'Revisão_Gemini'!$A$7:$A$456,0))&amp;"",""),IFERROR(INDEX('Revisão_ChatGPT'!$I$7:$I$456,MATCH($A286,'Revisão_ChatGPT'!$A$7:$A$456,0))&amp;"","")))))</f>
        <v/>
      </c>
      <c r="Q286" s="2" t="str">
        <f t="array" ref="Q286">IF(O286&lt;&gt;"Excluir","",IF(L286&lt;&gt;"",L286,IF(F286="Excluir",IFERROR(INDEX(Triagem!$K$2:$K$451,MATCH($A286,Triagem!$A$2:$A$451,0))&amp;"",""),IF(G286="Excluir",IFERROR(INDEX('Revisão_Gemini'!$J$7:$J$456,MATCH($A286,'Revisão_Gemini'!$A$7:$A$456,0))&amp;"",""),IFERROR(INDEX('Revisão_ChatGPT'!$J$7:$J$456,MATCH($A286,'Revisão_ChatGPT'!$A$7:$A$456,0))&amp;"","")))))</f>
        <v/>
      </c>
    </row>
    <row r="287" ht="15.75" customHeight="1">
      <c r="A287" s="2" t="s">
        <v>323</v>
      </c>
      <c r="B287" s="19" t="str">
        <f t="array" ref="B287">INDEX(Triagem!$N$2:$N451 , MATCH(A287,Triagem!$A$2:$A451,0))</f>
        <v>abrir</v>
      </c>
      <c r="C287" s="20">
        <f t="array" ref="C287">INDEX(Triagem!$B$2:$B451 , MATCH(A287,Triagem!$A$2:$A451,0))</f>
        <v>2021</v>
      </c>
      <c r="D287" s="2" t="s">
        <v>325</v>
      </c>
      <c r="E287" s="2" t="s">
        <v>326</v>
      </c>
      <c r="F287" s="2" t="str">
        <f t="array" ref="F287">IFERROR(INDEX(Triagem!$I$2:$I$451,MATCH($A287,Triagem!$A$2:$A$451,0))&amp;"","")</f>
        <v>Incluir</v>
      </c>
      <c r="G287" s="2" t="str">
        <f t="array" ref="G287">IFERROR(INDEX('Revisão_Gemini'!$H$7:$H$456,MATCH($A287,'Revisão_Gemini'!$A$7:$A$456,0))&amp;"","")</f>
        <v>Incluir</v>
      </c>
      <c r="H287" s="2" t="str">
        <f t="array" ref="H287">IFERROR(INDEX('Revisão_ChatGPT'!$H$7:$H$456,MATCH($A287,'Revisão_ChatGPT'!$A$7:$A$456,0))&amp;"","")</f>
        <v>Incluir</v>
      </c>
      <c r="I287" s="2" t="str">
        <f t="shared" si="1"/>
        <v>3/3</v>
      </c>
      <c r="J287" s="21"/>
      <c r="K287" s="21"/>
      <c r="L287" s="21"/>
      <c r="M287" s="22" t="b">
        <f t="shared" si="2"/>
        <v>0</v>
      </c>
      <c r="N287" s="21" t="s">
        <v>3320</v>
      </c>
      <c r="O287" s="2" t="str">
        <f t="shared" si="3"/>
        <v>Fora do recorte anual + Incluir</v>
      </c>
      <c r="P287" s="2" t="str">
        <f t="array" ref="P287">IF(O287&lt;&gt;"Incluir","",IF(K287&lt;&gt;"",K287,IF(IFERROR(INDEX(Triagem!$J$2:$J$451,MATCH($A287,Triagem!$A$2:$A$451,0))&amp;"","")&lt;&gt;"",IFERROR(INDEX(Triagem!$J$2:$J$451,MATCH($A287,Triagem!$A$2:$A$451,0))&amp;"",""),IF(IFERROR(INDEX('Revisão_Gemini'!$I$7:$I$456,MATCH($A287,'Revisão_Gemini'!$A$7:$A$456,0))&amp;"","")&lt;&gt;"",IFERROR(INDEX('Revisão_Gemini'!$I$7:$I$456,MATCH($A287,'Revisão_Gemini'!$A$7:$A$456,0))&amp;"",""),IFERROR(INDEX('Revisão_ChatGPT'!$I$7:$I$456,MATCH($A287,'Revisão_ChatGPT'!$A$7:$A$456,0))&amp;"","")))))</f>
        <v/>
      </c>
      <c r="Q287" s="2" t="str">
        <f t="array" ref="Q287">IF(O287&lt;&gt;"Excluir","",IF(L287&lt;&gt;"",L287,IF(F287="Excluir",IFERROR(INDEX(Triagem!$K$2:$K$451,MATCH($A287,Triagem!$A$2:$A$451,0))&amp;"",""),IF(G287="Excluir",IFERROR(INDEX('Revisão_Gemini'!$J$7:$J$456,MATCH($A287,'Revisão_Gemini'!$A$7:$A$456,0))&amp;"",""),IFERROR(INDEX('Revisão_ChatGPT'!$J$7:$J$456,MATCH($A287,'Revisão_ChatGPT'!$A$7:$A$456,0))&amp;"","")))))</f>
        <v/>
      </c>
    </row>
    <row r="288" ht="15.75" customHeight="1">
      <c r="A288" s="2" t="s">
        <v>329</v>
      </c>
      <c r="B288" s="19" t="str">
        <f t="array" ref="B288">INDEX(Triagem!$N$2:$N451 , MATCH(A288,Triagem!$A$2:$A451,0))</f>
        <v>abrir</v>
      </c>
      <c r="C288" s="20">
        <f t="array" ref="C288">INDEX(Triagem!$B$2:$B451 , MATCH(A288,Triagem!$A$2:$A451,0))</f>
        <v>2021</v>
      </c>
      <c r="D288" s="2" t="s">
        <v>331</v>
      </c>
      <c r="E288" s="2" t="s">
        <v>332</v>
      </c>
      <c r="F288" s="2" t="str">
        <f t="array" ref="F288">IFERROR(INDEX(Triagem!$I$2:$I$451,MATCH($A288,Triagem!$A$2:$A$451,0))&amp;"","")</f>
        <v>Incluir</v>
      </c>
      <c r="G288" s="2" t="str">
        <f t="array" ref="G288">IFERROR(INDEX('Revisão_Gemini'!$H$7:$H$456,MATCH($A288,'Revisão_Gemini'!$A$7:$A$456,0))&amp;"","")</f>
        <v>Incluir</v>
      </c>
      <c r="H288" s="2" t="str">
        <f t="array" ref="H288">IFERROR(INDEX('Revisão_ChatGPT'!$H$7:$H$456,MATCH($A288,'Revisão_ChatGPT'!$A$7:$A$456,0))&amp;"","")</f>
        <v>Incluir</v>
      </c>
      <c r="I288" s="2" t="str">
        <f t="shared" si="1"/>
        <v>3/3</v>
      </c>
      <c r="J288" s="21"/>
      <c r="K288" s="21"/>
      <c r="L288" s="21"/>
      <c r="M288" s="22" t="b">
        <f t="shared" si="2"/>
        <v>0</v>
      </c>
      <c r="N288" s="21" t="s">
        <v>3321</v>
      </c>
      <c r="O288" s="2" t="str">
        <f t="shared" si="3"/>
        <v>Fora do recorte anual + Incluir</v>
      </c>
      <c r="P288" s="2" t="str">
        <f t="array" ref="P288">IF(O288&lt;&gt;"Incluir","",IF(K288&lt;&gt;"",K288,IF(IFERROR(INDEX(Triagem!$J$2:$J$451,MATCH($A288,Triagem!$A$2:$A$451,0))&amp;"","")&lt;&gt;"",IFERROR(INDEX(Triagem!$J$2:$J$451,MATCH($A288,Triagem!$A$2:$A$451,0))&amp;"",""),IF(IFERROR(INDEX('Revisão_Gemini'!$I$7:$I$456,MATCH($A288,'Revisão_Gemini'!$A$7:$A$456,0))&amp;"","")&lt;&gt;"",IFERROR(INDEX('Revisão_Gemini'!$I$7:$I$456,MATCH($A288,'Revisão_Gemini'!$A$7:$A$456,0))&amp;"",""),IFERROR(INDEX('Revisão_ChatGPT'!$I$7:$I$456,MATCH($A288,'Revisão_ChatGPT'!$A$7:$A$456,0))&amp;"","")))))</f>
        <v/>
      </c>
      <c r="Q288" s="2" t="str">
        <f t="array" ref="Q288">IF(O288&lt;&gt;"Excluir","",IF(L288&lt;&gt;"",L288,IF(F288="Excluir",IFERROR(INDEX(Triagem!$K$2:$K$451,MATCH($A288,Triagem!$A$2:$A$451,0))&amp;"",""),IF(G288="Excluir",IFERROR(INDEX('Revisão_Gemini'!$J$7:$J$456,MATCH($A288,'Revisão_Gemini'!$A$7:$A$456,0))&amp;"",""),IFERROR(INDEX('Revisão_ChatGPT'!$J$7:$J$456,MATCH($A288,'Revisão_ChatGPT'!$A$7:$A$456,0))&amp;"","")))))</f>
        <v/>
      </c>
    </row>
    <row r="289" ht="15.75" customHeight="1">
      <c r="A289" s="2" t="s">
        <v>749</v>
      </c>
      <c r="B289" s="19" t="str">
        <f t="array" ref="B289">INDEX(Triagem!$N$2:$N451 , MATCH(A289,Triagem!$A$2:$A451,0))</f>
        <v>abrir</v>
      </c>
      <c r="C289" s="20">
        <f t="array" ref="C289">INDEX(Triagem!$B$2:$B451 , MATCH(A289,Triagem!$A$2:$A451,0))</f>
        <v>2021</v>
      </c>
      <c r="D289" s="2" t="s">
        <v>751</v>
      </c>
      <c r="E289" s="2" t="s">
        <v>752</v>
      </c>
      <c r="F289" s="2" t="str">
        <f t="array" ref="F289">IFERROR(INDEX(Triagem!$I$2:$I$451,MATCH($A289,Triagem!$A$2:$A$451,0))&amp;"","")</f>
        <v>Apoio</v>
      </c>
      <c r="G289" s="2" t="str">
        <f t="array" ref="G289">IFERROR(INDEX('Revisão_Gemini'!$H$7:$H$456,MATCH($A289,'Revisão_Gemini'!$A$7:$A$456,0))&amp;"","")</f>
        <v>Apoio</v>
      </c>
      <c r="H289" s="2" t="str">
        <f t="array" ref="H289">IFERROR(INDEX('Revisão_ChatGPT'!$H$7:$H$456,MATCH($A289,'Revisão_ChatGPT'!$A$7:$A$456,0))&amp;"","")</f>
        <v>Apoio</v>
      </c>
      <c r="I289" s="2" t="str">
        <f t="shared" si="1"/>
        <v>3/3</v>
      </c>
      <c r="J289" s="21"/>
      <c r="K289" s="21"/>
      <c r="L289" s="21"/>
      <c r="M289" s="22" t="b">
        <f t="shared" si="2"/>
        <v>0</v>
      </c>
      <c r="N289" s="21"/>
      <c r="O289" s="2" t="str">
        <f t="shared" si="3"/>
        <v>Fora do recorte anual + Apoio</v>
      </c>
      <c r="P289" s="2" t="str">
        <f t="array" ref="P289">IF(O289&lt;&gt;"Incluir","",IF(K289&lt;&gt;"",K289,IF(IFERROR(INDEX(Triagem!$J$2:$J$451,MATCH($A289,Triagem!$A$2:$A$451,0))&amp;"","")&lt;&gt;"",IFERROR(INDEX(Triagem!$J$2:$J$451,MATCH($A289,Triagem!$A$2:$A$451,0))&amp;"",""),IF(IFERROR(INDEX('Revisão_Gemini'!$I$7:$I$456,MATCH($A289,'Revisão_Gemini'!$A$7:$A$456,0))&amp;"","")&lt;&gt;"",IFERROR(INDEX('Revisão_Gemini'!$I$7:$I$456,MATCH($A289,'Revisão_Gemini'!$A$7:$A$456,0))&amp;"",""),IFERROR(INDEX('Revisão_ChatGPT'!$I$7:$I$456,MATCH($A289,'Revisão_ChatGPT'!$A$7:$A$456,0))&amp;"","")))))</f>
        <v/>
      </c>
      <c r="Q289" s="2" t="str">
        <f t="array" ref="Q289">IF(O289&lt;&gt;"Excluir","",IF(L289&lt;&gt;"",L289,IF(F289="Excluir",IFERROR(INDEX(Triagem!$K$2:$K$451,MATCH($A289,Triagem!$A$2:$A$451,0))&amp;"",""),IF(G289="Excluir",IFERROR(INDEX('Revisão_Gemini'!$J$7:$J$456,MATCH($A289,'Revisão_Gemini'!$A$7:$A$456,0))&amp;"",""),IFERROR(INDEX('Revisão_ChatGPT'!$J$7:$J$456,MATCH($A289,'Revisão_ChatGPT'!$A$7:$A$456,0))&amp;"","")))))</f>
        <v/>
      </c>
    </row>
    <row r="290" ht="15.75" customHeight="1">
      <c r="A290" s="2" t="s">
        <v>2007</v>
      </c>
      <c r="B290" s="19" t="str">
        <f t="array" ref="B290">INDEX(Triagem!$N$2:$N451 , MATCH(A290,Triagem!$A$2:$A451,0))</f>
        <v>abrir</v>
      </c>
      <c r="C290" s="20">
        <f t="array" ref="C290">INDEX(Triagem!$B$2:$B451 , MATCH(A290,Triagem!$A$2:$A451,0))</f>
        <v>2021</v>
      </c>
      <c r="D290" s="2" t="s">
        <v>2009</v>
      </c>
      <c r="E290" s="2" t="s">
        <v>2010</v>
      </c>
      <c r="F290" s="2" t="str">
        <f t="array" ref="F290">IFERROR(INDEX(Triagem!$I$2:$I$451,MATCH($A290,Triagem!$A$2:$A$451,0))&amp;"","")</f>
        <v>Excluir</v>
      </c>
      <c r="G290" s="2" t="str">
        <f t="array" ref="G290">IFERROR(INDEX('Revisão_Gemini'!$H$7:$H$456,MATCH($A290,'Revisão_Gemini'!$A$7:$A$456,0))&amp;"","")</f>
        <v>Incluir</v>
      </c>
      <c r="H290" s="2" t="str">
        <f t="array" ref="H290">IFERROR(INDEX('Revisão_ChatGPT'!$H$7:$H$456,MATCH($A290,'Revisão_ChatGPT'!$A$7:$A$456,0))&amp;"","")</f>
        <v>Incluir</v>
      </c>
      <c r="I290" s="2" t="str">
        <f t="shared" si="1"/>
        <v>2/3</v>
      </c>
      <c r="J290" s="21" t="s">
        <v>906</v>
      </c>
      <c r="K290" s="21"/>
      <c r="L290" s="21"/>
      <c r="M290" s="22" t="b">
        <f t="shared" si="2"/>
        <v>0</v>
      </c>
      <c r="N290" s="21" t="s">
        <v>3322</v>
      </c>
      <c r="O290" s="2" t="str">
        <f t="shared" si="3"/>
        <v>Fora do recorte anual + Excluir</v>
      </c>
      <c r="P290" s="2" t="str">
        <f t="array" ref="P290">IF(O290&lt;&gt;"Incluir","",IF(K290&lt;&gt;"",K290,IF(IFERROR(INDEX(Triagem!$J$2:$J$451,MATCH($A290,Triagem!$A$2:$A$451,0))&amp;"","")&lt;&gt;"",IFERROR(INDEX(Triagem!$J$2:$J$451,MATCH($A290,Triagem!$A$2:$A$451,0))&amp;"",""),IF(IFERROR(INDEX('Revisão_Gemini'!$I$7:$I$456,MATCH($A290,'Revisão_Gemini'!$A$7:$A$456,0))&amp;"","")&lt;&gt;"",IFERROR(INDEX('Revisão_Gemini'!$I$7:$I$456,MATCH($A290,'Revisão_Gemini'!$A$7:$A$456,0))&amp;"",""),IFERROR(INDEX('Revisão_ChatGPT'!$I$7:$I$456,MATCH($A290,'Revisão_ChatGPT'!$A$7:$A$456,0))&amp;"","")))))</f>
        <v/>
      </c>
      <c r="Q290" s="2" t="str">
        <f t="array" ref="Q290">IF(O290&lt;&gt;"Excluir","",IF(L290&lt;&gt;"",L290,IF(F290="Excluir",IFERROR(INDEX(Triagem!$K$2:$K$451,MATCH($A290,Triagem!$A$2:$A$451,0))&amp;"",""),IF(G290="Excluir",IFERROR(INDEX('Revisão_Gemini'!$J$7:$J$456,MATCH($A290,'Revisão_Gemini'!$A$7:$A$456,0))&amp;"",""),IFERROR(INDEX('Revisão_ChatGPT'!$J$7:$J$456,MATCH($A290,'Revisão_ChatGPT'!$A$7:$A$456,0))&amp;"","")))))</f>
        <v/>
      </c>
    </row>
    <row r="291" ht="15.75" customHeight="1">
      <c r="A291" s="2" t="s">
        <v>915</v>
      </c>
      <c r="B291" s="19" t="str">
        <f t="array" ref="B291">INDEX(Triagem!$N$2:$N451 , MATCH(A291,Triagem!$A$2:$A451,0))</f>
        <v>abrir</v>
      </c>
      <c r="C291" s="20">
        <f t="array" ref="C291">INDEX(Triagem!$B$2:$B451 , MATCH(A291,Triagem!$A$2:$A451,0))</f>
        <v>2021</v>
      </c>
      <c r="D291" s="2" t="s">
        <v>917</v>
      </c>
      <c r="E291" s="2" t="s">
        <v>918</v>
      </c>
      <c r="F291" s="2" t="str">
        <f t="array" ref="F291">IFERROR(INDEX(Triagem!$I$2:$I$451,MATCH($A291,Triagem!$A$2:$A$451,0))&amp;"","")</f>
        <v>Excluir</v>
      </c>
      <c r="G291" s="2" t="str">
        <f t="array" ref="G291">IFERROR(INDEX('Revisão_Gemini'!$H$7:$H$456,MATCH($A291,'Revisão_Gemini'!$A$7:$A$456,0))&amp;"","")</f>
        <v>Excluir</v>
      </c>
      <c r="H291" s="2" t="str">
        <f t="array" ref="H291">IFERROR(INDEX('Revisão_ChatGPT'!$H$7:$H$456,MATCH($A291,'Revisão_ChatGPT'!$A$7:$A$456,0))&amp;"","")</f>
        <v>Excluir</v>
      </c>
      <c r="I291" s="2" t="str">
        <f t="shared" si="1"/>
        <v>3/3</v>
      </c>
      <c r="J291" s="21"/>
      <c r="K291" s="21"/>
      <c r="L291" s="21"/>
      <c r="M291" s="22" t="b">
        <f t="shared" si="2"/>
        <v>0</v>
      </c>
      <c r="N291" s="21" t="s">
        <v>3323</v>
      </c>
      <c r="O291" s="2" t="str">
        <f t="shared" si="3"/>
        <v>Fora do recorte anual + Excluir</v>
      </c>
      <c r="P291" s="2" t="str">
        <f t="array" ref="P291">IF(O291&lt;&gt;"Incluir","",IF(K291&lt;&gt;"",K291,IF(IFERROR(INDEX(Triagem!$J$2:$J$451,MATCH($A291,Triagem!$A$2:$A$451,0))&amp;"","")&lt;&gt;"",IFERROR(INDEX(Triagem!$J$2:$J$451,MATCH($A291,Triagem!$A$2:$A$451,0))&amp;"",""),IF(IFERROR(INDEX('Revisão_Gemini'!$I$7:$I$456,MATCH($A291,'Revisão_Gemini'!$A$7:$A$456,0))&amp;"","")&lt;&gt;"",IFERROR(INDEX('Revisão_Gemini'!$I$7:$I$456,MATCH($A291,'Revisão_Gemini'!$A$7:$A$456,0))&amp;"",""),IFERROR(INDEX('Revisão_ChatGPT'!$I$7:$I$456,MATCH($A291,'Revisão_ChatGPT'!$A$7:$A$456,0))&amp;"","")))))</f>
        <v/>
      </c>
      <c r="Q291" s="2" t="str">
        <f t="array" ref="Q291">IF(O291&lt;&gt;"Excluir","",IF(L291&lt;&gt;"",L291,IF(F291="Excluir",IFERROR(INDEX(Triagem!$K$2:$K$451,MATCH($A291,Triagem!$A$2:$A$451,0))&amp;"",""),IF(G291="Excluir",IFERROR(INDEX('Revisão_Gemini'!$J$7:$J$456,MATCH($A291,'Revisão_Gemini'!$A$7:$A$456,0))&amp;"",""),IFERROR(INDEX('Revisão_ChatGPT'!$J$7:$J$456,MATCH($A291,'Revisão_ChatGPT'!$A$7:$A$456,0))&amp;"","")))))</f>
        <v/>
      </c>
    </row>
    <row r="292" ht="15.75" customHeight="1">
      <c r="A292" s="2" t="s">
        <v>1193</v>
      </c>
      <c r="B292" s="19" t="str">
        <f t="array" ref="B292">INDEX(Triagem!$N$2:$N451 , MATCH(A292,Triagem!$A$2:$A451,0))</f>
        <v>abrir</v>
      </c>
      <c r="C292" s="20">
        <f t="array" ref="C292">INDEX(Triagem!$B$2:$B451 , MATCH(A292,Triagem!$A$2:$A451,0))</f>
        <v>2021</v>
      </c>
      <c r="D292" s="2" t="s">
        <v>1195</v>
      </c>
      <c r="E292" s="2" t="s">
        <v>1196</v>
      </c>
      <c r="F292" s="2" t="str">
        <f t="array" ref="F292">IFERROR(INDEX(Triagem!$I$2:$I$451,MATCH($A292,Triagem!$A$2:$A$451,0))&amp;"","")</f>
        <v>Excluir</v>
      </c>
      <c r="G292" s="2" t="str">
        <f t="array" ref="G292">IFERROR(INDEX('Revisão_Gemini'!$H$7:$H$456,MATCH($A292,'Revisão_Gemini'!$A$7:$A$456,0))&amp;"","")</f>
        <v>Excluir</v>
      </c>
      <c r="H292" s="2" t="str">
        <f t="array" ref="H292">IFERROR(INDEX('Revisão_ChatGPT'!$H$7:$H$456,MATCH($A292,'Revisão_ChatGPT'!$A$7:$A$456,0))&amp;"","")</f>
        <v>Excluir</v>
      </c>
      <c r="I292" s="2" t="str">
        <f t="shared" si="1"/>
        <v>3/3</v>
      </c>
      <c r="J292" s="21"/>
      <c r="K292" s="21"/>
      <c r="L292" s="21"/>
      <c r="M292" s="22" t="b">
        <f t="shared" si="2"/>
        <v>0</v>
      </c>
      <c r="N292" s="21" t="s">
        <v>3324</v>
      </c>
      <c r="O292" s="2" t="str">
        <f t="shared" si="3"/>
        <v>Fora do recorte anual + Excluir</v>
      </c>
      <c r="P292" s="2" t="str">
        <f t="array" ref="P292">IF(O292&lt;&gt;"Incluir","",IF(K292&lt;&gt;"",K292,IF(IFERROR(INDEX(Triagem!$J$2:$J$451,MATCH($A292,Triagem!$A$2:$A$451,0))&amp;"","")&lt;&gt;"",IFERROR(INDEX(Triagem!$J$2:$J$451,MATCH($A292,Triagem!$A$2:$A$451,0))&amp;"",""),IF(IFERROR(INDEX('Revisão_Gemini'!$I$7:$I$456,MATCH($A292,'Revisão_Gemini'!$A$7:$A$456,0))&amp;"","")&lt;&gt;"",IFERROR(INDEX('Revisão_Gemini'!$I$7:$I$456,MATCH($A292,'Revisão_Gemini'!$A$7:$A$456,0))&amp;"",""),IFERROR(INDEX('Revisão_ChatGPT'!$I$7:$I$456,MATCH($A292,'Revisão_ChatGPT'!$A$7:$A$456,0))&amp;"","")))))</f>
        <v/>
      </c>
      <c r="Q292" s="2" t="str">
        <f t="array" ref="Q292">IF(O292&lt;&gt;"Excluir","",IF(L292&lt;&gt;"",L292,IF(F292="Excluir",IFERROR(INDEX(Triagem!$K$2:$K$451,MATCH($A292,Triagem!$A$2:$A$451,0))&amp;"",""),IF(G292="Excluir",IFERROR(INDEX('Revisão_Gemini'!$J$7:$J$456,MATCH($A292,'Revisão_Gemini'!$A$7:$A$456,0))&amp;"",""),IFERROR(INDEX('Revisão_ChatGPT'!$J$7:$J$456,MATCH($A292,'Revisão_ChatGPT'!$A$7:$A$456,0))&amp;"","")))))</f>
        <v/>
      </c>
    </row>
    <row r="293" ht="15.75" customHeight="1">
      <c r="A293" s="2" t="s">
        <v>1198</v>
      </c>
      <c r="B293" s="19" t="str">
        <f t="array" ref="B293">INDEX(Triagem!$N$2:$N451 , MATCH(A293,Triagem!$A$2:$A451,0))</f>
        <v>abrir</v>
      </c>
      <c r="C293" s="20">
        <f t="array" ref="C293">INDEX(Triagem!$B$2:$B451 , MATCH(A293,Triagem!$A$2:$A451,0))</f>
        <v>2021</v>
      </c>
      <c r="D293" s="2" t="s">
        <v>1200</v>
      </c>
      <c r="E293" s="2" t="s">
        <v>1201</v>
      </c>
      <c r="F293" s="2" t="str">
        <f t="array" ref="F293">IFERROR(INDEX(Triagem!$I$2:$I$451,MATCH($A293,Triagem!$A$2:$A$451,0))&amp;"","")</f>
        <v>Excluir</v>
      </c>
      <c r="G293" s="2" t="str">
        <f t="array" ref="G293">IFERROR(INDEX('Revisão_Gemini'!$H$7:$H$456,MATCH($A293,'Revisão_Gemini'!$A$7:$A$456,0))&amp;"","")</f>
        <v>Excluir</v>
      </c>
      <c r="H293" s="2" t="str">
        <f t="array" ref="H293">IFERROR(INDEX('Revisão_ChatGPT'!$H$7:$H$456,MATCH($A293,'Revisão_ChatGPT'!$A$7:$A$456,0))&amp;"","")</f>
        <v>Excluir</v>
      </c>
      <c r="I293" s="2" t="str">
        <f t="shared" si="1"/>
        <v>3/3</v>
      </c>
      <c r="J293" s="21"/>
      <c r="K293" s="21"/>
      <c r="L293" s="21"/>
      <c r="M293" s="22" t="b">
        <f t="shared" si="2"/>
        <v>0</v>
      </c>
      <c r="N293" s="21" t="s">
        <v>3325</v>
      </c>
      <c r="O293" s="2" t="str">
        <f t="shared" si="3"/>
        <v>Fora do recorte anual + Excluir</v>
      </c>
      <c r="P293" s="2" t="str">
        <f t="array" ref="P293">IF(O293&lt;&gt;"Incluir","",IF(K293&lt;&gt;"",K293,IF(IFERROR(INDEX(Triagem!$J$2:$J$451,MATCH($A293,Triagem!$A$2:$A$451,0))&amp;"","")&lt;&gt;"",IFERROR(INDEX(Triagem!$J$2:$J$451,MATCH($A293,Triagem!$A$2:$A$451,0))&amp;"",""),IF(IFERROR(INDEX('Revisão_Gemini'!$I$7:$I$456,MATCH($A293,'Revisão_Gemini'!$A$7:$A$456,0))&amp;"","")&lt;&gt;"",IFERROR(INDEX('Revisão_Gemini'!$I$7:$I$456,MATCH($A293,'Revisão_Gemini'!$A$7:$A$456,0))&amp;"",""),IFERROR(INDEX('Revisão_ChatGPT'!$I$7:$I$456,MATCH($A293,'Revisão_ChatGPT'!$A$7:$A$456,0))&amp;"","")))))</f>
        <v/>
      </c>
      <c r="Q293" s="2" t="str">
        <f t="array" ref="Q293">IF(O293&lt;&gt;"Excluir","",IF(L293&lt;&gt;"",L293,IF(F293="Excluir",IFERROR(INDEX(Triagem!$K$2:$K$451,MATCH($A293,Triagem!$A$2:$A$451,0))&amp;"",""),IF(G293="Excluir",IFERROR(INDEX('Revisão_Gemini'!$J$7:$J$456,MATCH($A293,'Revisão_Gemini'!$A$7:$A$456,0))&amp;"",""),IFERROR(INDEX('Revisão_ChatGPT'!$J$7:$J$456,MATCH($A293,'Revisão_ChatGPT'!$A$7:$A$456,0))&amp;"","")))))</f>
        <v/>
      </c>
    </row>
    <row r="294" ht="15.75" customHeight="1">
      <c r="A294" s="2" t="s">
        <v>1202</v>
      </c>
      <c r="B294" s="19" t="str">
        <f t="array" ref="B294">INDEX(Triagem!$N$2:$N451 , MATCH(A294,Triagem!$A$2:$A451,0))</f>
        <v>abrir</v>
      </c>
      <c r="C294" s="20">
        <f t="array" ref="C294">INDEX(Triagem!$B$2:$B451 , MATCH(A294,Triagem!$A$2:$A451,0))</f>
        <v>2021</v>
      </c>
      <c r="D294" s="2" t="s">
        <v>1204</v>
      </c>
      <c r="E294" s="2" t="s">
        <v>1205</v>
      </c>
      <c r="F294" s="2" t="str">
        <f t="array" ref="F294">IFERROR(INDEX(Triagem!$I$2:$I$451,MATCH($A294,Triagem!$A$2:$A$451,0))&amp;"","")</f>
        <v>Excluir</v>
      </c>
      <c r="G294" s="2" t="str">
        <f t="array" ref="G294">IFERROR(INDEX('Revisão_Gemini'!$H$7:$H$456,MATCH($A294,'Revisão_Gemini'!$A$7:$A$456,0))&amp;"","")</f>
        <v>Excluir</v>
      </c>
      <c r="H294" s="2" t="str">
        <f t="array" ref="H294">IFERROR(INDEX('Revisão_ChatGPT'!$H$7:$H$456,MATCH($A294,'Revisão_ChatGPT'!$A$7:$A$456,0))&amp;"","")</f>
        <v>Excluir</v>
      </c>
      <c r="I294" s="2" t="str">
        <f t="shared" si="1"/>
        <v>3/3</v>
      </c>
      <c r="J294" s="21"/>
      <c r="K294" s="21"/>
      <c r="L294" s="21"/>
      <c r="M294" s="22" t="b">
        <f t="shared" si="2"/>
        <v>0</v>
      </c>
      <c r="N294" s="21" t="s">
        <v>3326</v>
      </c>
      <c r="O294" s="2" t="str">
        <f t="shared" si="3"/>
        <v>Fora do recorte anual + Excluir</v>
      </c>
      <c r="P294" s="2" t="str">
        <f t="array" ref="P294">IF(O294&lt;&gt;"Incluir","",IF(K294&lt;&gt;"",K294,IF(IFERROR(INDEX(Triagem!$J$2:$J$451,MATCH($A294,Triagem!$A$2:$A$451,0))&amp;"","")&lt;&gt;"",IFERROR(INDEX(Triagem!$J$2:$J$451,MATCH($A294,Triagem!$A$2:$A$451,0))&amp;"",""),IF(IFERROR(INDEX('Revisão_Gemini'!$I$7:$I$456,MATCH($A294,'Revisão_Gemini'!$A$7:$A$456,0))&amp;"","")&lt;&gt;"",IFERROR(INDEX('Revisão_Gemini'!$I$7:$I$456,MATCH($A294,'Revisão_Gemini'!$A$7:$A$456,0))&amp;"",""),IFERROR(INDEX('Revisão_ChatGPT'!$I$7:$I$456,MATCH($A294,'Revisão_ChatGPT'!$A$7:$A$456,0))&amp;"","")))))</f>
        <v/>
      </c>
      <c r="Q294" s="2" t="str">
        <f t="array" ref="Q294">IF(O294&lt;&gt;"Excluir","",IF(L294&lt;&gt;"",L294,IF(F294="Excluir",IFERROR(INDEX(Triagem!$K$2:$K$451,MATCH($A294,Triagem!$A$2:$A$451,0))&amp;"",""),IF(G294="Excluir",IFERROR(INDEX('Revisão_Gemini'!$J$7:$J$456,MATCH($A294,'Revisão_Gemini'!$A$7:$A$456,0))&amp;"",""),IFERROR(INDEX('Revisão_ChatGPT'!$J$7:$J$456,MATCH($A294,'Revisão_ChatGPT'!$A$7:$A$456,0))&amp;"","")))))</f>
        <v/>
      </c>
    </row>
    <row r="295" ht="15.75" customHeight="1">
      <c r="A295" s="2" t="s">
        <v>1674</v>
      </c>
      <c r="B295" s="19" t="str">
        <f t="array" ref="B295">INDEX(Triagem!$N$2:$N451 , MATCH(A295,Triagem!$A$2:$A451,0))</f>
        <v>abrir</v>
      </c>
      <c r="C295" s="20">
        <f t="array" ref="C295">INDEX(Triagem!$B$2:$B451 , MATCH(A295,Triagem!$A$2:$A451,0))</f>
        <v>2021</v>
      </c>
      <c r="D295" s="2" t="s">
        <v>1676</v>
      </c>
      <c r="E295" s="2" t="s">
        <v>1677</v>
      </c>
      <c r="F295" s="2" t="str">
        <f t="array" ref="F295">IFERROR(INDEX(Triagem!$I$2:$I$451,MATCH($A295,Triagem!$A$2:$A$451,0))&amp;"","")</f>
        <v>Excluir</v>
      </c>
      <c r="G295" s="2" t="str">
        <f t="array" ref="G295">IFERROR(INDEX('Revisão_Gemini'!$H$7:$H$456,MATCH($A295,'Revisão_Gemini'!$A$7:$A$456,0))&amp;"","")</f>
        <v>Incluir</v>
      </c>
      <c r="H295" s="2" t="str">
        <f t="array" ref="H295">IFERROR(INDEX('Revisão_ChatGPT'!$H$7:$H$456,MATCH($A295,'Revisão_ChatGPT'!$A$7:$A$456,0))&amp;"","")</f>
        <v>Excluir</v>
      </c>
      <c r="I295" s="2" t="str">
        <f t="shared" si="1"/>
        <v>2/3</v>
      </c>
      <c r="J295" s="21" t="s">
        <v>906</v>
      </c>
      <c r="K295" s="21"/>
      <c r="L295" s="21"/>
      <c r="M295" s="22" t="b">
        <f t="shared" si="2"/>
        <v>0</v>
      </c>
      <c r="N295" s="21" t="s">
        <v>3327</v>
      </c>
      <c r="O295" s="2" t="str">
        <f t="shared" si="3"/>
        <v>Fora do recorte anual + Excluir</v>
      </c>
      <c r="P295" s="2" t="str">
        <f t="array" ref="P295">IF(O295&lt;&gt;"Incluir","",IF(K295&lt;&gt;"",K295,IF(IFERROR(INDEX(Triagem!$J$2:$J$451,MATCH($A295,Triagem!$A$2:$A$451,0))&amp;"","")&lt;&gt;"",IFERROR(INDEX(Triagem!$J$2:$J$451,MATCH($A295,Triagem!$A$2:$A$451,0))&amp;"",""),IF(IFERROR(INDEX('Revisão_Gemini'!$I$7:$I$456,MATCH($A295,'Revisão_Gemini'!$A$7:$A$456,0))&amp;"","")&lt;&gt;"",IFERROR(INDEX('Revisão_Gemini'!$I$7:$I$456,MATCH($A295,'Revisão_Gemini'!$A$7:$A$456,0))&amp;"",""),IFERROR(INDEX('Revisão_ChatGPT'!$I$7:$I$456,MATCH($A295,'Revisão_ChatGPT'!$A$7:$A$456,0))&amp;"","")))))</f>
        <v/>
      </c>
      <c r="Q295" s="2" t="str">
        <f t="array" ref="Q295">IF(O295&lt;&gt;"Excluir","",IF(L295&lt;&gt;"",L295,IF(F295="Excluir",IFERROR(INDEX(Triagem!$K$2:$K$451,MATCH($A295,Triagem!$A$2:$A$451,0))&amp;"",""),IF(G295="Excluir",IFERROR(INDEX('Revisão_Gemini'!$J$7:$J$456,MATCH($A295,'Revisão_Gemini'!$A$7:$A$456,0))&amp;"",""),IFERROR(INDEX('Revisão_ChatGPT'!$J$7:$J$456,MATCH($A295,'Revisão_ChatGPT'!$A$7:$A$456,0))&amp;"","")))))</f>
        <v/>
      </c>
    </row>
    <row r="296" ht="15.75" customHeight="1">
      <c r="A296" s="2" t="s">
        <v>1206</v>
      </c>
      <c r="B296" s="19" t="str">
        <f t="array" ref="B296">INDEX(Triagem!$N$2:$N451 , MATCH(A296,Triagem!$A$2:$A451,0))</f>
        <v>abrir</v>
      </c>
      <c r="C296" s="20">
        <f t="array" ref="C296">INDEX(Triagem!$B$2:$B451 , MATCH(A296,Triagem!$A$2:$A451,0))</f>
        <v>2021</v>
      </c>
      <c r="D296" s="2" t="s">
        <v>1208</v>
      </c>
      <c r="E296" s="2" t="s">
        <v>1209</v>
      </c>
      <c r="F296" s="2" t="str">
        <f t="array" ref="F296">IFERROR(INDEX(Triagem!$I$2:$I$451,MATCH($A296,Triagem!$A$2:$A$451,0))&amp;"","")</f>
        <v>Excluir</v>
      </c>
      <c r="G296" s="2" t="str">
        <f t="array" ref="G296">IFERROR(INDEX('Revisão_Gemini'!$H$7:$H$456,MATCH($A296,'Revisão_Gemini'!$A$7:$A$456,0))&amp;"","")</f>
        <v>Excluir</v>
      </c>
      <c r="H296" s="2" t="str">
        <f t="array" ref="H296">IFERROR(INDEX('Revisão_ChatGPT'!$H$7:$H$456,MATCH($A296,'Revisão_ChatGPT'!$A$7:$A$456,0))&amp;"","")</f>
        <v>Excluir</v>
      </c>
      <c r="I296" s="2" t="str">
        <f t="shared" si="1"/>
        <v>3/3</v>
      </c>
      <c r="J296" s="21"/>
      <c r="K296" s="21"/>
      <c r="L296" s="21"/>
      <c r="M296" s="22" t="b">
        <f t="shared" si="2"/>
        <v>0</v>
      </c>
      <c r="N296" s="21" t="s">
        <v>3328</v>
      </c>
      <c r="O296" s="2" t="str">
        <f t="shared" si="3"/>
        <v>Fora do recorte anual + Excluir</v>
      </c>
      <c r="P296" s="2" t="str">
        <f t="array" ref="P296">IF(O296&lt;&gt;"Incluir","",IF(K296&lt;&gt;"",K296,IF(IFERROR(INDEX(Triagem!$J$2:$J$451,MATCH($A296,Triagem!$A$2:$A$451,0))&amp;"","")&lt;&gt;"",IFERROR(INDEX(Triagem!$J$2:$J$451,MATCH($A296,Triagem!$A$2:$A$451,0))&amp;"",""),IF(IFERROR(INDEX('Revisão_Gemini'!$I$7:$I$456,MATCH($A296,'Revisão_Gemini'!$A$7:$A$456,0))&amp;"","")&lt;&gt;"",IFERROR(INDEX('Revisão_Gemini'!$I$7:$I$456,MATCH($A296,'Revisão_Gemini'!$A$7:$A$456,0))&amp;"",""),IFERROR(INDEX('Revisão_ChatGPT'!$I$7:$I$456,MATCH($A296,'Revisão_ChatGPT'!$A$7:$A$456,0))&amp;"","")))))</f>
        <v/>
      </c>
      <c r="Q296" s="2" t="str">
        <f t="array" ref="Q296">IF(O296&lt;&gt;"Excluir","",IF(L296&lt;&gt;"",L296,IF(F296="Excluir",IFERROR(INDEX(Triagem!$K$2:$K$451,MATCH($A296,Triagem!$A$2:$A$451,0))&amp;"",""),IF(G296="Excluir",IFERROR(INDEX('Revisão_Gemini'!$J$7:$J$456,MATCH($A296,'Revisão_Gemini'!$A$7:$A$456,0))&amp;"",""),IFERROR(INDEX('Revisão_ChatGPT'!$J$7:$J$456,MATCH($A296,'Revisão_ChatGPT'!$A$7:$A$456,0))&amp;"","")))))</f>
        <v/>
      </c>
    </row>
    <row r="297" ht="15.75" customHeight="1">
      <c r="A297" s="2" t="s">
        <v>1211</v>
      </c>
      <c r="B297" s="19" t="str">
        <f t="array" ref="B297">INDEX(Triagem!$N$2:$N451 , MATCH(A297,Triagem!$A$2:$A451,0))</f>
        <v>abrir</v>
      </c>
      <c r="C297" s="20">
        <f t="array" ref="C297">INDEX(Triagem!$B$2:$B451 , MATCH(A297,Triagem!$A$2:$A451,0))</f>
        <v>2021</v>
      </c>
      <c r="D297" s="2" t="s">
        <v>1213</v>
      </c>
      <c r="E297" s="2" t="s">
        <v>1214</v>
      </c>
      <c r="F297" s="2" t="str">
        <f t="array" ref="F297">IFERROR(INDEX(Triagem!$I$2:$I$451,MATCH($A297,Triagem!$A$2:$A$451,0))&amp;"","")</f>
        <v>Excluir</v>
      </c>
      <c r="G297" s="2" t="str">
        <f t="array" ref="G297">IFERROR(INDEX('Revisão_Gemini'!$H$7:$H$456,MATCH($A297,'Revisão_Gemini'!$A$7:$A$456,0))&amp;"","")</f>
        <v>Excluir</v>
      </c>
      <c r="H297" s="2" t="str">
        <f t="array" ref="H297">IFERROR(INDEX('Revisão_ChatGPT'!$H$7:$H$456,MATCH($A297,'Revisão_ChatGPT'!$A$7:$A$456,0))&amp;"","")</f>
        <v>Excluir</v>
      </c>
      <c r="I297" s="2" t="str">
        <f t="shared" si="1"/>
        <v>3/3</v>
      </c>
      <c r="J297" s="21"/>
      <c r="K297" s="21"/>
      <c r="L297" s="21"/>
      <c r="M297" s="22" t="b">
        <f t="shared" si="2"/>
        <v>0</v>
      </c>
      <c r="N297" s="21" t="s">
        <v>3329</v>
      </c>
      <c r="O297" s="2" t="str">
        <f t="shared" si="3"/>
        <v>Fora do recorte anual + Excluir</v>
      </c>
      <c r="P297" s="2" t="str">
        <f t="array" ref="P297">IF(O297&lt;&gt;"Incluir","",IF(K297&lt;&gt;"",K297,IF(IFERROR(INDEX(Triagem!$J$2:$J$451,MATCH($A297,Triagem!$A$2:$A$451,0))&amp;"","")&lt;&gt;"",IFERROR(INDEX(Triagem!$J$2:$J$451,MATCH($A297,Triagem!$A$2:$A$451,0))&amp;"",""),IF(IFERROR(INDEX('Revisão_Gemini'!$I$7:$I$456,MATCH($A297,'Revisão_Gemini'!$A$7:$A$456,0))&amp;"","")&lt;&gt;"",IFERROR(INDEX('Revisão_Gemini'!$I$7:$I$456,MATCH($A297,'Revisão_Gemini'!$A$7:$A$456,0))&amp;"",""),IFERROR(INDEX('Revisão_ChatGPT'!$I$7:$I$456,MATCH($A297,'Revisão_ChatGPT'!$A$7:$A$456,0))&amp;"","")))))</f>
        <v/>
      </c>
      <c r="Q297" s="2" t="str">
        <f t="array" ref="Q297">IF(O297&lt;&gt;"Excluir","",IF(L297&lt;&gt;"",L297,IF(F297="Excluir",IFERROR(INDEX(Triagem!$K$2:$K$451,MATCH($A297,Triagem!$A$2:$A$451,0))&amp;"",""),IF(G297="Excluir",IFERROR(INDEX('Revisão_Gemini'!$J$7:$J$456,MATCH($A297,'Revisão_Gemini'!$A$7:$A$456,0))&amp;"",""),IFERROR(INDEX('Revisão_ChatGPT'!$J$7:$J$456,MATCH($A297,'Revisão_ChatGPT'!$A$7:$A$456,0))&amp;"","")))))</f>
        <v/>
      </c>
    </row>
    <row r="298" ht="15.75" customHeight="1">
      <c r="A298" s="2" t="s">
        <v>1216</v>
      </c>
      <c r="B298" s="19" t="str">
        <f t="array" ref="B298">INDEX(Triagem!$N$2:$N451 , MATCH(A298,Triagem!$A$2:$A451,0))</f>
        <v>abrir</v>
      </c>
      <c r="C298" s="20">
        <f t="array" ref="C298">INDEX(Triagem!$B$2:$B451 , MATCH(A298,Triagem!$A$2:$A451,0))</f>
        <v>2021</v>
      </c>
      <c r="D298" s="2" t="s">
        <v>1218</v>
      </c>
      <c r="E298" s="2" t="s">
        <v>1219</v>
      </c>
      <c r="F298" s="2" t="str">
        <f t="array" ref="F298">IFERROR(INDEX(Triagem!$I$2:$I$451,MATCH($A298,Triagem!$A$2:$A$451,0))&amp;"","")</f>
        <v>Excluir</v>
      </c>
      <c r="G298" s="2" t="str">
        <f t="array" ref="G298">IFERROR(INDEX('Revisão_Gemini'!$H$7:$H$456,MATCH($A298,'Revisão_Gemini'!$A$7:$A$456,0))&amp;"","")</f>
        <v>Excluir</v>
      </c>
      <c r="H298" s="2" t="str">
        <f t="array" ref="H298">IFERROR(INDEX('Revisão_ChatGPT'!$H$7:$H$456,MATCH($A298,'Revisão_ChatGPT'!$A$7:$A$456,0))&amp;"","")</f>
        <v>Excluir</v>
      </c>
      <c r="I298" s="2" t="str">
        <f t="shared" si="1"/>
        <v>3/3</v>
      </c>
      <c r="J298" s="21"/>
      <c r="K298" s="21"/>
      <c r="L298" s="21"/>
      <c r="M298" s="22" t="b">
        <f t="shared" si="2"/>
        <v>0</v>
      </c>
      <c r="N298" s="21"/>
      <c r="O298" s="2" t="str">
        <f t="shared" si="3"/>
        <v>Fora do recorte anual + Excluir</v>
      </c>
      <c r="P298" s="2" t="str">
        <f t="array" ref="P298">IF(O298&lt;&gt;"Incluir","",IF(K298&lt;&gt;"",K298,IF(IFERROR(INDEX(Triagem!$J$2:$J$451,MATCH($A298,Triagem!$A$2:$A$451,0))&amp;"","")&lt;&gt;"",IFERROR(INDEX(Triagem!$J$2:$J$451,MATCH($A298,Triagem!$A$2:$A$451,0))&amp;"",""),IF(IFERROR(INDEX('Revisão_Gemini'!$I$7:$I$456,MATCH($A298,'Revisão_Gemini'!$A$7:$A$456,0))&amp;"","")&lt;&gt;"",IFERROR(INDEX('Revisão_Gemini'!$I$7:$I$456,MATCH($A298,'Revisão_Gemini'!$A$7:$A$456,0))&amp;"",""),IFERROR(INDEX('Revisão_ChatGPT'!$I$7:$I$456,MATCH($A298,'Revisão_ChatGPT'!$A$7:$A$456,0))&amp;"","")))))</f>
        <v/>
      </c>
      <c r="Q298" s="2" t="str">
        <f t="array" ref="Q298">IF(O298&lt;&gt;"Excluir","",IF(L298&lt;&gt;"",L298,IF(F298="Excluir",IFERROR(INDEX(Triagem!$K$2:$K$451,MATCH($A298,Triagem!$A$2:$A$451,0))&amp;"",""),IF(G298="Excluir",IFERROR(INDEX('Revisão_Gemini'!$J$7:$J$456,MATCH($A298,'Revisão_Gemini'!$A$7:$A$456,0))&amp;"",""),IFERROR(INDEX('Revisão_ChatGPT'!$J$7:$J$456,MATCH($A298,'Revisão_ChatGPT'!$A$7:$A$456,0))&amp;"","")))))</f>
        <v/>
      </c>
    </row>
    <row r="299" ht="15.75" customHeight="1">
      <c r="A299" s="2" t="s">
        <v>1678</v>
      </c>
      <c r="B299" s="19" t="str">
        <f t="array" ref="B299">INDEX(Triagem!$N$2:$N451 , MATCH(A299,Triagem!$A$2:$A451,0))</f>
        <v>abrir</v>
      </c>
      <c r="C299" s="20">
        <f t="array" ref="C299">INDEX(Triagem!$B$2:$B451 , MATCH(A299,Triagem!$A$2:$A451,0))</f>
        <v>2021</v>
      </c>
      <c r="D299" s="2" t="s">
        <v>1680</v>
      </c>
      <c r="E299" s="2" t="s">
        <v>1681</v>
      </c>
      <c r="F299" s="2" t="str">
        <f t="array" ref="F299">IFERROR(INDEX(Triagem!$I$2:$I$451,MATCH($A299,Triagem!$A$2:$A$451,0))&amp;"","")</f>
        <v>Excluir</v>
      </c>
      <c r="G299" s="2" t="str">
        <f t="array" ref="G299">IFERROR(INDEX('Revisão_Gemini'!$H$7:$H$456,MATCH($A299,'Revisão_Gemini'!$A$7:$A$456,0))&amp;"","")</f>
        <v>Excluir</v>
      </c>
      <c r="H299" s="2" t="str">
        <f t="array" ref="H299">IFERROR(INDEX('Revisão_ChatGPT'!$H$7:$H$456,MATCH($A299,'Revisão_ChatGPT'!$A$7:$A$456,0))&amp;"","")</f>
        <v>Excluir</v>
      </c>
      <c r="I299" s="2" t="str">
        <f t="shared" si="1"/>
        <v>3/3</v>
      </c>
      <c r="J299" s="21"/>
      <c r="K299" s="21"/>
      <c r="L299" s="21"/>
      <c r="M299" s="22" t="b">
        <f t="shared" si="2"/>
        <v>0</v>
      </c>
      <c r="N299" s="21" t="s">
        <v>3330</v>
      </c>
      <c r="O299" s="2" t="str">
        <f t="shared" si="3"/>
        <v>Fora do recorte anual + Excluir</v>
      </c>
      <c r="P299" s="2" t="str">
        <f t="array" ref="P299">IF(O299&lt;&gt;"Incluir","",IF(K299&lt;&gt;"",K299,IF(IFERROR(INDEX(Triagem!$J$2:$J$451,MATCH($A299,Triagem!$A$2:$A$451,0))&amp;"","")&lt;&gt;"",IFERROR(INDEX(Triagem!$J$2:$J$451,MATCH($A299,Triagem!$A$2:$A$451,0))&amp;"",""),IF(IFERROR(INDEX('Revisão_Gemini'!$I$7:$I$456,MATCH($A299,'Revisão_Gemini'!$A$7:$A$456,0))&amp;"","")&lt;&gt;"",IFERROR(INDEX('Revisão_Gemini'!$I$7:$I$456,MATCH($A299,'Revisão_Gemini'!$A$7:$A$456,0))&amp;"",""),IFERROR(INDEX('Revisão_ChatGPT'!$I$7:$I$456,MATCH($A299,'Revisão_ChatGPT'!$A$7:$A$456,0))&amp;"","")))))</f>
        <v/>
      </c>
      <c r="Q299" s="2" t="str">
        <f t="array" ref="Q299">IF(O299&lt;&gt;"Excluir","",IF(L299&lt;&gt;"",L299,IF(F299="Excluir",IFERROR(INDEX(Triagem!$K$2:$K$451,MATCH($A299,Triagem!$A$2:$A$451,0))&amp;"",""),IF(G299="Excluir",IFERROR(INDEX('Revisão_Gemini'!$J$7:$J$456,MATCH($A299,'Revisão_Gemini'!$A$7:$A$456,0))&amp;"",""),IFERROR(INDEX('Revisão_ChatGPT'!$J$7:$J$456,MATCH($A299,'Revisão_ChatGPT'!$A$7:$A$456,0))&amp;"","")))))</f>
        <v/>
      </c>
    </row>
    <row r="300" ht="15.75" customHeight="1">
      <c r="A300" s="2" t="s">
        <v>333</v>
      </c>
      <c r="B300" s="19" t="str">
        <f t="array" ref="B300">INDEX(Triagem!$N$2:$N451 , MATCH(A300,Triagem!$A$2:$A451,0))</f>
        <v>abrir</v>
      </c>
      <c r="C300" s="20">
        <f t="array" ref="C300">INDEX(Triagem!$B$2:$B451 , MATCH(A300,Triagem!$A$2:$A451,0))</f>
        <v>2021</v>
      </c>
      <c r="D300" s="2" t="s">
        <v>335</v>
      </c>
      <c r="E300" s="2" t="s">
        <v>336</v>
      </c>
      <c r="F300" s="2" t="str">
        <f t="array" ref="F300">IFERROR(INDEX(Triagem!$I$2:$I$451,MATCH($A300,Triagem!$A$2:$A$451,0))&amp;"","")</f>
        <v>Incluir</v>
      </c>
      <c r="G300" s="2" t="str">
        <f t="array" ref="G300">IFERROR(INDEX('Revisão_Gemini'!$H$7:$H$456,MATCH($A300,'Revisão_Gemini'!$A$7:$A$456,0))&amp;"","")</f>
        <v>Incluir</v>
      </c>
      <c r="H300" s="2" t="str">
        <f t="array" ref="H300">IFERROR(INDEX('Revisão_ChatGPT'!$H$7:$H$456,MATCH($A300,'Revisão_ChatGPT'!$A$7:$A$456,0))&amp;"","")</f>
        <v>Excluir</v>
      </c>
      <c r="I300" s="2" t="str">
        <f t="shared" si="1"/>
        <v>2/3</v>
      </c>
      <c r="J300" s="21" t="s">
        <v>694</v>
      </c>
      <c r="K300" s="21"/>
      <c r="L300" s="21"/>
      <c r="M300" s="22" t="b">
        <f t="shared" si="2"/>
        <v>0</v>
      </c>
      <c r="N300" s="21" t="s">
        <v>3331</v>
      </c>
      <c r="O300" s="2" t="str">
        <f t="shared" si="3"/>
        <v>Fora do recorte anual + Apoio</v>
      </c>
      <c r="P300" s="2" t="str">
        <f t="array" ref="P300">IF(O300&lt;&gt;"Incluir","",IF(K300&lt;&gt;"",K300,IF(IFERROR(INDEX(Triagem!$J$2:$J$451,MATCH($A300,Triagem!$A$2:$A$451,0))&amp;"","")&lt;&gt;"",IFERROR(INDEX(Triagem!$J$2:$J$451,MATCH($A300,Triagem!$A$2:$A$451,0))&amp;"",""),IF(IFERROR(INDEX('Revisão_Gemini'!$I$7:$I$456,MATCH($A300,'Revisão_Gemini'!$A$7:$A$456,0))&amp;"","")&lt;&gt;"",IFERROR(INDEX('Revisão_Gemini'!$I$7:$I$456,MATCH($A300,'Revisão_Gemini'!$A$7:$A$456,0))&amp;"",""),IFERROR(INDEX('Revisão_ChatGPT'!$I$7:$I$456,MATCH($A300,'Revisão_ChatGPT'!$A$7:$A$456,0))&amp;"","")))))</f>
        <v/>
      </c>
      <c r="Q300" s="2" t="str">
        <f t="array" ref="Q300">IF(O300&lt;&gt;"Excluir","",IF(L300&lt;&gt;"",L300,IF(F300="Excluir",IFERROR(INDEX(Triagem!$K$2:$K$451,MATCH($A300,Triagem!$A$2:$A$451,0))&amp;"",""),IF(G300="Excluir",IFERROR(INDEX('Revisão_Gemini'!$J$7:$J$456,MATCH($A300,'Revisão_Gemini'!$A$7:$A$456,0))&amp;"",""),IFERROR(INDEX('Revisão_ChatGPT'!$J$7:$J$456,MATCH($A300,'Revisão_ChatGPT'!$A$7:$A$456,0))&amp;"","")))))</f>
        <v/>
      </c>
    </row>
    <row r="301" ht="15.75" customHeight="1">
      <c r="A301" s="2" t="s">
        <v>1220</v>
      </c>
      <c r="B301" s="19" t="str">
        <f t="array" ref="B301">INDEX(Triagem!$N$2:$N451 , MATCH(A301,Triagem!$A$2:$A451,0))</f>
        <v>abrir</v>
      </c>
      <c r="C301" s="20">
        <f t="array" ref="C301">INDEX(Triagem!$B$2:$B451 , MATCH(A301,Triagem!$A$2:$A451,0))</f>
        <v>2021</v>
      </c>
      <c r="D301" s="2" t="s">
        <v>1222</v>
      </c>
      <c r="E301" s="2" t="s">
        <v>1223</v>
      </c>
      <c r="F301" s="2" t="str">
        <f t="array" ref="F301">IFERROR(INDEX(Triagem!$I$2:$I$451,MATCH($A301,Triagem!$A$2:$A$451,0))&amp;"","")</f>
        <v>Excluir</v>
      </c>
      <c r="G301" s="2" t="str">
        <f t="array" ref="G301">IFERROR(INDEX('Revisão_Gemini'!$H$7:$H$456,MATCH($A301,'Revisão_Gemini'!$A$7:$A$456,0))&amp;"","")</f>
        <v>Excluir</v>
      </c>
      <c r="H301" s="2" t="str">
        <f t="array" ref="H301">IFERROR(INDEX('Revisão_ChatGPT'!$H$7:$H$456,MATCH($A301,'Revisão_ChatGPT'!$A$7:$A$456,0))&amp;"","")</f>
        <v>Excluir</v>
      </c>
      <c r="I301" s="2" t="str">
        <f t="shared" si="1"/>
        <v>3/3</v>
      </c>
      <c r="J301" s="21"/>
      <c r="K301" s="21"/>
      <c r="L301" s="21"/>
      <c r="M301" s="22" t="b">
        <f t="shared" si="2"/>
        <v>0</v>
      </c>
      <c r="N301" s="21" t="s">
        <v>3332</v>
      </c>
      <c r="O301" s="2" t="str">
        <f t="shared" si="3"/>
        <v>Fora do recorte anual + Excluir</v>
      </c>
      <c r="P301" s="2" t="str">
        <f t="array" ref="P301">IF(O301&lt;&gt;"Incluir","",IF(K301&lt;&gt;"",K301,IF(IFERROR(INDEX(Triagem!$J$2:$J$451,MATCH($A301,Triagem!$A$2:$A$451,0))&amp;"","")&lt;&gt;"",IFERROR(INDEX(Triagem!$J$2:$J$451,MATCH($A301,Triagem!$A$2:$A$451,0))&amp;"",""),IF(IFERROR(INDEX('Revisão_Gemini'!$I$7:$I$456,MATCH($A301,'Revisão_Gemini'!$A$7:$A$456,0))&amp;"","")&lt;&gt;"",IFERROR(INDEX('Revisão_Gemini'!$I$7:$I$456,MATCH($A301,'Revisão_Gemini'!$A$7:$A$456,0))&amp;"",""),IFERROR(INDEX('Revisão_ChatGPT'!$I$7:$I$456,MATCH($A301,'Revisão_ChatGPT'!$A$7:$A$456,0))&amp;"","")))))</f>
        <v/>
      </c>
      <c r="Q301" s="2" t="str">
        <f t="array" ref="Q301">IF(O301&lt;&gt;"Excluir","",IF(L301&lt;&gt;"",L301,IF(F301="Excluir",IFERROR(INDEX(Triagem!$K$2:$K$451,MATCH($A301,Triagem!$A$2:$A$451,0))&amp;"",""),IF(G301="Excluir",IFERROR(INDEX('Revisão_Gemini'!$J$7:$J$456,MATCH($A301,'Revisão_Gemini'!$A$7:$A$456,0))&amp;"",""),IFERROR(INDEX('Revisão_ChatGPT'!$J$7:$J$456,MATCH($A301,'Revisão_ChatGPT'!$A$7:$A$456,0))&amp;"","")))))</f>
        <v/>
      </c>
    </row>
    <row r="302" ht="15.75" customHeight="1">
      <c r="A302" s="2" t="s">
        <v>337</v>
      </c>
      <c r="B302" s="19" t="str">
        <f t="array" ref="B302">INDEX(Triagem!$N$2:$N451 , MATCH(A302,Triagem!$A$2:$A451,0))</f>
        <v>abrir</v>
      </c>
      <c r="C302" s="20">
        <f t="array" ref="C302">INDEX(Triagem!$B$2:$B451 , MATCH(A302,Triagem!$A$2:$A451,0))</f>
        <v>2021</v>
      </c>
      <c r="D302" s="2" t="s">
        <v>339</v>
      </c>
      <c r="E302" s="2" t="s">
        <v>340</v>
      </c>
      <c r="F302" s="2" t="str">
        <f t="array" ref="F302">IFERROR(INDEX(Triagem!$I$2:$I$451,MATCH($A302,Triagem!$A$2:$A$451,0))&amp;"","")</f>
        <v>Incluir</v>
      </c>
      <c r="G302" s="2" t="str">
        <f t="array" ref="G302">IFERROR(INDEX('Revisão_Gemini'!$H$7:$H$456,MATCH($A302,'Revisão_Gemini'!$A$7:$A$456,0))&amp;"","")</f>
        <v>Incluir</v>
      </c>
      <c r="H302" s="2" t="str">
        <f t="array" ref="H302">IFERROR(INDEX('Revisão_ChatGPT'!$H$7:$H$456,MATCH($A302,'Revisão_ChatGPT'!$A$7:$A$456,0))&amp;"","")</f>
        <v>Incluir</v>
      </c>
      <c r="I302" s="2" t="str">
        <f t="shared" si="1"/>
        <v>3/3</v>
      </c>
      <c r="J302" s="21"/>
      <c r="K302" s="21"/>
      <c r="L302" s="21"/>
      <c r="M302" s="22" t="b">
        <f t="shared" si="2"/>
        <v>0</v>
      </c>
      <c r="N302" s="21"/>
      <c r="O302" s="2" t="str">
        <f t="shared" si="3"/>
        <v>Fora do recorte anual + Incluir</v>
      </c>
      <c r="P302" s="2" t="str">
        <f t="array" ref="P302">IF(O302&lt;&gt;"Incluir","",IF(K302&lt;&gt;"",K302,IF(IFERROR(INDEX(Triagem!$J$2:$J$451,MATCH($A302,Triagem!$A$2:$A$451,0))&amp;"","")&lt;&gt;"",IFERROR(INDEX(Triagem!$J$2:$J$451,MATCH($A302,Triagem!$A$2:$A$451,0))&amp;"",""),IF(IFERROR(INDEX('Revisão_Gemini'!$I$7:$I$456,MATCH($A302,'Revisão_Gemini'!$A$7:$A$456,0))&amp;"","")&lt;&gt;"",IFERROR(INDEX('Revisão_Gemini'!$I$7:$I$456,MATCH($A302,'Revisão_Gemini'!$A$7:$A$456,0))&amp;"",""),IFERROR(INDEX('Revisão_ChatGPT'!$I$7:$I$456,MATCH($A302,'Revisão_ChatGPT'!$A$7:$A$456,0))&amp;"","")))))</f>
        <v/>
      </c>
      <c r="Q302" s="2" t="str">
        <f t="array" ref="Q302">IF(O302&lt;&gt;"Excluir","",IF(L302&lt;&gt;"",L302,IF(F302="Excluir",IFERROR(INDEX(Triagem!$K$2:$K$451,MATCH($A302,Triagem!$A$2:$A$451,0))&amp;"",""),IF(G302="Excluir",IFERROR(INDEX('Revisão_Gemini'!$J$7:$J$456,MATCH($A302,'Revisão_Gemini'!$A$7:$A$456,0))&amp;"",""),IFERROR(INDEX('Revisão_ChatGPT'!$J$7:$J$456,MATCH($A302,'Revisão_ChatGPT'!$A$7:$A$456,0))&amp;"","")))))</f>
        <v/>
      </c>
    </row>
    <row r="303" ht="15.75" customHeight="1">
      <c r="A303" s="2" t="s">
        <v>343</v>
      </c>
      <c r="B303" s="19" t="str">
        <f t="array" ref="B303">INDEX(Triagem!$N$2:$N451 , MATCH(A303,Triagem!$A$2:$A451,0))</f>
        <v>abrir</v>
      </c>
      <c r="C303" s="20">
        <f t="array" ref="C303">INDEX(Triagem!$B$2:$B451 , MATCH(A303,Triagem!$A$2:$A451,0))</f>
        <v>2021</v>
      </c>
      <c r="D303" s="2" t="s">
        <v>345</v>
      </c>
      <c r="E303" s="23" t="s">
        <v>346</v>
      </c>
      <c r="F303" s="2" t="str">
        <f t="array" ref="F303">IFERROR(INDEX(Triagem!$I$2:$I$451,MATCH($A303,Triagem!$A$2:$A$451,0))&amp;"","")</f>
        <v>Incluir</v>
      </c>
      <c r="G303" s="2" t="str">
        <f t="array" ref="G303">IFERROR(INDEX('Revisão_Gemini'!$H$7:$H$456,MATCH($A303,'Revisão_Gemini'!$A$7:$A$456,0))&amp;"","")</f>
        <v>Incluir</v>
      </c>
      <c r="H303" s="2" t="str">
        <f t="array" ref="H303">IFERROR(INDEX('Revisão_ChatGPT'!$H$7:$H$456,MATCH($A303,'Revisão_ChatGPT'!$A$7:$A$456,0))&amp;"","")</f>
        <v>Incluir</v>
      </c>
      <c r="I303" s="2" t="str">
        <f t="shared" si="1"/>
        <v>3/3</v>
      </c>
      <c r="J303" s="21"/>
      <c r="K303" s="21"/>
      <c r="L303" s="21"/>
      <c r="M303" s="22" t="b">
        <f t="shared" si="2"/>
        <v>0</v>
      </c>
      <c r="N303" s="21" t="s">
        <v>3333</v>
      </c>
      <c r="O303" s="2" t="str">
        <f t="shared" si="3"/>
        <v>Fora do recorte anual + Incluir</v>
      </c>
      <c r="P303" s="2" t="str">
        <f t="array" ref="P303">IF(O303&lt;&gt;"Incluir","",IF(K303&lt;&gt;"",K303,IF(IFERROR(INDEX(Triagem!$J$2:$J$451,MATCH($A303,Triagem!$A$2:$A$451,0))&amp;"","")&lt;&gt;"",IFERROR(INDEX(Triagem!$J$2:$J$451,MATCH($A303,Triagem!$A$2:$A$451,0))&amp;"",""),IF(IFERROR(INDEX('Revisão_Gemini'!$I$7:$I$456,MATCH($A303,'Revisão_Gemini'!$A$7:$A$456,0))&amp;"","")&lt;&gt;"",IFERROR(INDEX('Revisão_Gemini'!$I$7:$I$456,MATCH($A303,'Revisão_Gemini'!$A$7:$A$456,0))&amp;"",""),IFERROR(INDEX('Revisão_ChatGPT'!$I$7:$I$456,MATCH($A303,'Revisão_ChatGPT'!$A$7:$A$456,0))&amp;"","")))))</f>
        <v/>
      </c>
      <c r="Q303" s="2" t="str">
        <f t="array" ref="Q303">IF(O303&lt;&gt;"Excluir","",IF(L303&lt;&gt;"",L303,IF(F303="Excluir",IFERROR(INDEX(Triagem!$K$2:$K$451,MATCH($A303,Triagem!$A$2:$A$451,0))&amp;"",""),IF(G303="Excluir",IFERROR(INDEX('Revisão_Gemini'!$J$7:$J$456,MATCH($A303,'Revisão_Gemini'!$A$7:$A$456,0))&amp;"",""),IFERROR(INDEX('Revisão_ChatGPT'!$J$7:$J$456,MATCH($A303,'Revisão_ChatGPT'!$A$7:$A$456,0))&amp;"","")))))</f>
        <v/>
      </c>
    </row>
    <row r="304" ht="15.75" customHeight="1">
      <c r="A304" s="2" t="s">
        <v>348</v>
      </c>
      <c r="B304" s="19" t="str">
        <f t="array" ref="B304">INDEX(Triagem!$N$2:$N451 , MATCH(A304,Triagem!$A$2:$A451,0))</f>
        <v>abrir</v>
      </c>
      <c r="C304" s="20">
        <f t="array" ref="C304">INDEX(Triagem!$B$2:$B451 , MATCH(A304,Triagem!$A$2:$A451,0))</f>
        <v>2021</v>
      </c>
      <c r="D304" s="2" t="s">
        <v>350</v>
      </c>
      <c r="E304" s="2" t="s">
        <v>351</v>
      </c>
      <c r="F304" s="2" t="str">
        <f t="array" ref="F304">IFERROR(INDEX(Triagem!$I$2:$I$451,MATCH($A304,Triagem!$A$2:$A$451,0))&amp;"","")</f>
        <v>Incluir</v>
      </c>
      <c r="G304" s="2" t="str">
        <f t="array" ref="G304">IFERROR(INDEX('Revisão_Gemini'!$H$7:$H$456,MATCH($A304,'Revisão_Gemini'!$A$7:$A$456,0))&amp;"","")</f>
        <v>Incluir</v>
      </c>
      <c r="H304" s="2" t="str">
        <f t="array" ref="H304">IFERROR(INDEX('Revisão_ChatGPT'!$H$7:$H$456,MATCH($A304,'Revisão_ChatGPT'!$A$7:$A$456,0))&amp;"","")</f>
        <v>Incluir</v>
      </c>
      <c r="I304" s="2" t="str">
        <f t="shared" si="1"/>
        <v>3/3</v>
      </c>
      <c r="J304" s="21"/>
      <c r="K304" s="21"/>
      <c r="L304" s="21"/>
      <c r="M304" s="22" t="b">
        <f t="shared" si="2"/>
        <v>0</v>
      </c>
      <c r="N304" s="21" t="s">
        <v>3334</v>
      </c>
      <c r="O304" s="2" t="str">
        <f t="shared" si="3"/>
        <v>Fora do recorte anual + Incluir</v>
      </c>
      <c r="P304" s="2" t="str">
        <f t="array" ref="P304">IF(O304&lt;&gt;"Incluir","",IF(K304&lt;&gt;"",K304,IF(IFERROR(INDEX(Triagem!$J$2:$J$451,MATCH($A304,Triagem!$A$2:$A$451,0))&amp;"","")&lt;&gt;"",IFERROR(INDEX(Triagem!$J$2:$J$451,MATCH($A304,Triagem!$A$2:$A$451,0))&amp;"",""),IF(IFERROR(INDEX('Revisão_Gemini'!$I$7:$I$456,MATCH($A304,'Revisão_Gemini'!$A$7:$A$456,0))&amp;"","")&lt;&gt;"",IFERROR(INDEX('Revisão_Gemini'!$I$7:$I$456,MATCH($A304,'Revisão_Gemini'!$A$7:$A$456,0))&amp;"",""),IFERROR(INDEX('Revisão_ChatGPT'!$I$7:$I$456,MATCH($A304,'Revisão_ChatGPT'!$A$7:$A$456,0))&amp;"","")))))</f>
        <v/>
      </c>
      <c r="Q304" s="2" t="str">
        <f t="array" ref="Q304">IF(O304&lt;&gt;"Excluir","",IF(L304&lt;&gt;"",L304,IF(F304="Excluir",IFERROR(INDEX(Triagem!$K$2:$K$451,MATCH($A304,Triagem!$A$2:$A$451,0))&amp;"",""),IF(G304="Excluir",IFERROR(INDEX('Revisão_Gemini'!$J$7:$J$456,MATCH($A304,'Revisão_Gemini'!$A$7:$A$456,0))&amp;"",""),IFERROR(INDEX('Revisão_ChatGPT'!$J$7:$J$456,MATCH($A304,'Revisão_ChatGPT'!$A$7:$A$456,0))&amp;"","")))))</f>
        <v/>
      </c>
    </row>
    <row r="305" ht="15.75" customHeight="1">
      <c r="A305" s="2" t="s">
        <v>1135</v>
      </c>
      <c r="B305" s="19" t="str">
        <f t="array" ref="B305">INDEX(Triagem!$N$2:$N451 , MATCH(A305,Triagem!$A$2:$A451,0))</f>
        <v>abrir</v>
      </c>
      <c r="C305" s="20">
        <f t="array" ref="C305">INDEX(Triagem!$B$2:$B451 , MATCH(A305,Triagem!$A$2:$A451,0))</f>
        <v>2022</v>
      </c>
      <c r="D305" s="2" t="s">
        <v>1137</v>
      </c>
      <c r="E305" s="2" t="s">
        <v>1138</v>
      </c>
      <c r="F305" s="2" t="str">
        <f t="array" ref="F305">IFERROR(INDEX(Triagem!$I$2:$I$451,MATCH($A305,Triagem!$A$2:$A$451,0))&amp;"","")</f>
        <v>Excluir</v>
      </c>
      <c r="G305" s="2" t="str">
        <f t="array" ref="G305">IFERROR(INDEX('Revisão_Gemini'!$H$7:$H$456,MATCH($A305,'Revisão_Gemini'!$A$7:$A$456,0))&amp;"","")</f>
        <v>Excluir</v>
      </c>
      <c r="H305" s="2" t="str">
        <f t="array" ref="H305">IFERROR(INDEX('Revisão_ChatGPT'!$H$7:$H$456,MATCH($A305,'Revisão_ChatGPT'!$A$7:$A$456,0))&amp;"","")</f>
        <v>Excluir</v>
      </c>
      <c r="I305" s="2" t="str">
        <f t="shared" si="1"/>
        <v>3/3</v>
      </c>
      <c r="J305" s="21"/>
      <c r="K305" s="21"/>
      <c r="L305" s="21"/>
      <c r="M305" s="22" t="b">
        <f t="shared" si="2"/>
        <v>0</v>
      </c>
      <c r="N305" s="21" t="s">
        <v>3335</v>
      </c>
      <c r="O305" s="2" t="str">
        <f t="shared" si="3"/>
        <v>Fora do recorte anual + Excluir</v>
      </c>
      <c r="P305" s="2" t="str">
        <f t="array" ref="P305">IF(O305&lt;&gt;"Incluir","",IF(K305&lt;&gt;"",K305,IF(IFERROR(INDEX(Triagem!$J$2:$J$451,MATCH($A305,Triagem!$A$2:$A$451,0))&amp;"","")&lt;&gt;"",IFERROR(INDEX(Triagem!$J$2:$J$451,MATCH($A305,Triagem!$A$2:$A$451,0))&amp;"",""),IF(IFERROR(INDEX('Revisão_Gemini'!$I$7:$I$456,MATCH($A305,'Revisão_Gemini'!$A$7:$A$456,0))&amp;"","")&lt;&gt;"",IFERROR(INDEX('Revisão_Gemini'!$I$7:$I$456,MATCH($A305,'Revisão_Gemini'!$A$7:$A$456,0))&amp;"",""),IFERROR(INDEX('Revisão_ChatGPT'!$I$7:$I$456,MATCH($A305,'Revisão_ChatGPT'!$A$7:$A$456,0))&amp;"","")))))</f>
        <v/>
      </c>
      <c r="Q305" s="2" t="str">
        <f t="array" ref="Q305">IF(O305&lt;&gt;"Excluir","",IF(L305&lt;&gt;"",L305,IF(F305="Excluir",IFERROR(INDEX(Triagem!$K$2:$K$451,MATCH($A305,Triagem!$A$2:$A$451,0))&amp;"",""),IF(G305="Excluir",IFERROR(INDEX('Revisão_Gemini'!$J$7:$J$456,MATCH($A305,'Revisão_Gemini'!$A$7:$A$456,0))&amp;"",""),IFERROR(INDEX('Revisão_ChatGPT'!$J$7:$J$456,MATCH($A305,'Revisão_ChatGPT'!$A$7:$A$456,0))&amp;"","")))))</f>
        <v/>
      </c>
    </row>
    <row r="306" ht="15.75" customHeight="1">
      <c r="A306" s="2" t="s">
        <v>1225</v>
      </c>
      <c r="B306" s="19" t="str">
        <f t="array" ref="B306">INDEX(Triagem!$N$2:$N451 , MATCH(A306,Triagem!$A$2:$A451,0))</f>
        <v>abrir</v>
      </c>
      <c r="C306" s="20">
        <f t="array" ref="C306">INDEX(Triagem!$B$2:$B451 , MATCH(A306,Triagem!$A$2:$A451,0))</f>
        <v>2021</v>
      </c>
      <c r="D306" s="2" t="s">
        <v>1227</v>
      </c>
      <c r="E306" s="2" t="s">
        <v>1228</v>
      </c>
      <c r="F306" s="2" t="str">
        <f t="array" ref="F306">IFERROR(INDEX(Triagem!$I$2:$I$451,MATCH($A306,Triagem!$A$2:$A$451,0))&amp;"","")</f>
        <v>Excluir</v>
      </c>
      <c r="G306" s="2" t="str">
        <f t="array" ref="G306">IFERROR(INDEX('Revisão_Gemini'!$H$7:$H$456,MATCH($A306,'Revisão_Gemini'!$A$7:$A$456,0))&amp;"","")</f>
        <v>Excluir</v>
      </c>
      <c r="H306" s="2" t="str">
        <f t="array" ref="H306">IFERROR(INDEX('Revisão_ChatGPT'!$H$7:$H$456,MATCH($A306,'Revisão_ChatGPT'!$A$7:$A$456,0))&amp;"","")</f>
        <v>Excluir</v>
      </c>
      <c r="I306" s="2" t="str">
        <f t="shared" si="1"/>
        <v>3/3</v>
      </c>
      <c r="J306" s="21"/>
      <c r="K306" s="21"/>
      <c r="L306" s="21"/>
      <c r="M306" s="22" t="b">
        <f t="shared" si="2"/>
        <v>0</v>
      </c>
      <c r="N306" s="21" t="s">
        <v>3336</v>
      </c>
      <c r="O306" s="2" t="str">
        <f t="shared" si="3"/>
        <v>Fora do recorte anual + Excluir</v>
      </c>
      <c r="P306" s="2" t="str">
        <f t="array" ref="P306">IF(O306&lt;&gt;"Incluir","",IF(K306&lt;&gt;"",K306,IF(IFERROR(INDEX(Triagem!$J$2:$J$451,MATCH($A306,Triagem!$A$2:$A$451,0))&amp;"","")&lt;&gt;"",IFERROR(INDEX(Triagem!$J$2:$J$451,MATCH($A306,Triagem!$A$2:$A$451,0))&amp;"",""),IF(IFERROR(INDEX('Revisão_Gemini'!$I$7:$I$456,MATCH($A306,'Revisão_Gemini'!$A$7:$A$456,0))&amp;"","")&lt;&gt;"",IFERROR(INDEX('Revisão_Gemini'!$I$7:$I$456,MATCH($A306,'Revisão_Gemini'!$A$7:$A$456,0))&amp;"",""),IFERROR(INDEX('Revisão_ChatGPT'!$I$7:$I$456,MATCH($A306,'Revisão_ChatGPT'!$A$7:$A$456,0))&amp;"","")))))</f>
        <v/>
      </c>
      <c r="Q306" s="2" t="str">
        <f t="array" ref="Q306">IF(O306&lt;&gt;"Excluir","",IF(L306&lt;&gt;"",L306,IF(F306="Excluir",IFERROR(INDEX(Triagem!$K$2:$K$451,MATCH($A306,Triagem!$A$2:$A$451,0))&amp;"",""),IF(G306="Excluir",IFERROR(INDEX('Revisão_Gemini'!$J$7:$J$456,MATCH($A306,'Revisão_Gemini'!$A$7:$A$456,0))&amp;"",""),IFERROR(INDEX('Revisão_ChatGPT'!$J$7:$J$456,MATCH($A306,'Revisão_ChatGPT'!$A$7:$A$456,0))&amp;"","")))))</f>
        <v/>
      </c>
    </row>
    <row r="307" ht="15.75" customHeight="1">
      <c r="A307" s="2" t="s">
        <v>272</v>
      </c>
      <c r="B307" s="19" t="str">
        <f t="array" ref="B307">INDEX(Triagem!$N$2:$N451 , MATCH(A307,Triagem!$A$2:$A451,0))</f>
        <v>abrir</v>
      </c>
      <c r="C307" s="20">
        <f t="array" ref="C307">INDEX(Triagem!$B$2:$B451 , MATCH(A307,Triagem!$A$2:$A451,0))</f>
        <v>2022</v>
      </c>
      <c r="D307" s="2" t="s">
        <v>273</v>
      </c>
      <c r="E307" s="2" t="s">
        <v>274</v>
      </c>
      <c r="F307" s="2" t="str">
        <f t="array" ref="F307">IFERROR(INDEX(Triagem!$I$2:$I$451,MATCH($A307,Triagem!$A$2:$A$451,0))&amp;"","")</f>
        <v>Incluir</v>
      </c>
      <c r="G307" s="2" t="str">
        <f t="array" ref="G307">IFERROR(INDEX('Revisão_Gemini'!$H$7:$H$456,MATCH($A307,'Revisão_Gemini'!$A$7:$A$456,0))&amp;"","")</f>
        <v>Incluir</v>
      </c>
      <c r="H307" s="2" t="str">
        <f t="array" ref="H307">IFERROR(INDEX('Revisão_ChatGPT'!$H$7:$H$456,MATCH($A307,'Revisão_ChatGPT'!$A$7:$A$456,0))&amp;"","")</f>
        <v>Incluir</v>
      </c>
      <c r="I307" s="2" t="str">
        <f t="shared" si="1"/>
        <v>3/3</v>
      </c>
      <c r="J307" s="21"/>
      <c r="K307" s="21"/>
      <c r="L307" s="21"/>
      <c r="M307" s="22" t="b">
        <f t="shared" si="2"/>
        <v>0</v>
      </c>
      <c r="N307" s="21"/>
      <c r="O307" s="2" t="str">
        <f t="shared" si="3"/>
        <v>Fora do recorte anual + Incluir</v>
      </c>
      <c r="P307" s="2" t="str">
        <f t="array" ref="P307">IF(O307&lt;&gt;"Incluir","",IF(K307&lt;&gt;"",K307,IF(IFERROR(INDEX(Triagem!$J$2:$J$451,MATCH($A307,Triagem!$A$2:$A$451,0))&amp;"","")&lt;&gt;"",IFERROR(INDEX(Triagem!$J$2:$J$451,MATCH($A307,Triagem!$A$2:$A$451,0))&amp;"",""),IF(IFERROR(INDEX('Revisão_Gemini'!$I$7:$I$456,MATCH($A307,'Revisão_Gemini'!$A$7:$A$456,0))&amp;"","")&lt;&gt;"",IFERROR(INDEX('Revisão_Gemini'!$I$7:$I$456,MATCH($A307,'Revisão_Gemini'!$A$7:$A$456,0))&amp;"",""),IFERROR(INDEX('Revisão_ChatGPT'!$I$7:$I$456,MATCH($A307,'Revisão_ChatGPT'!$A$7:$A$456,0))&amp;"","")))))</f>
        <v/>
      </c>
      <c r="Q307" s="2" t="str">
        <f t="array" ref="Q307">IF(O307&lt;&gt;"Excluir","",IF(L307&lt;&gt;"",L307,IF(F307="Excluir",IFERROR(INDEX(Triagem!$K$2:$K$451,MATCH($A307,Triagem!$A$2:$A$451,0))&amp;"",""),IF(G307="Excluir",IFERROR(INDEX('Revisão_Gemini'!$J$7:$J$456,MATCH($A307,'Revisão_Gemini'!$A$7:$A$456,0))&amp;"",""),IFERROR(INDEX('Revisão_ChatGPT'!$J$7:$J$456,MATCH($A307,'Revisão_ChatGPT'!$A$7:$A$456,0))&amp;"","")))))</f>
        <v/>
      </c>
    </row>
    <row r="308" ht="15.75" customHeight="1">
      <c r="A308" s="2" t="s">
        <v>743</v>
      </c>
      <c r="B308" s="19" t="str">
        <f t="array" ref="B308">INDEX(Triagem!$N$2:$N451 , MATCH(A308,Triagem!$A$2:$A451,0))</f>
        <v>abrir</v>
      </c>
      <c r="C308" s="20">
        <f t="array" ref="C308">INDEX(Triagem!$B$2:$B451 , MATCH(A308,Triagem!$A$2:$A451,0))</f>
        <v>2022</v>
      </c>
      <c r="D308" s="2" t="s">
        <v>745</v>
      </c>
      <c r="E308" s="2" t="s">
        <v>746</v>
      </c>
      <c r="F308" s="2" t="str">
        <f t="array" ref="F308">IFERROR(INDEX(Triagem!$I$2:$I$451,MATCH($A308,Triagem!$A$2:$A$451,0))&amp;"","")</f>
        <v>Apoio</v>
      </c>
      <c r="G308" s="2" t="str">
        <f t="array" ref="G308">IFERROR(INDEX('Revisão_Gemini'!$H$7:$H$456,MATCH($A308,'Revisão_Gemini'!$A$7:$A$456,0))&amp;"","")</f>
        <v>Apoio</v>
      </c>
      <c r="H308" s="2" t="str">
        <f t="array" ref="H308">IFERROR(INDEX('Revisão_ChatGPT'!$H$7:$H$456,MATCH($A308,'Revisão_ChatGPT'!$A$7:$A$456,0))&amp;"","")</f>
        <v>Apoio</v>
      </c>
      <c r="I308" s="2" t="str">
        <f t="shared" si="1"/>
        <v>3/3</v>
      </c>
      <c r="J308" s="21"/>
      <c r="K308" s="21"/>
      <c r="L308" s="21"/>
      <c r="M308" s="22" t="b">
        <f t="shared" si="2"/>
        <v>0</v>
      </c>
      <c r="N308" s="21"/>
      <c r="O308" s="2" t="str">
        <f t="shared" si="3"/>
        <v>Fora do recorte anual + Apoio</v>
      </c>
      <c r="P308" s="2" t="str">
        <f t="array" ref="P308">IF(O308&lt;&gt;"Incluir","",IF(K308&lt;&gt;"",K308,IF(IFERROR(INDEX(Triagem!$J$2:$J$451,MATCH($A308,Triagem!$A$2:$A$451,0))&amp;"","")&lt;&gt;"",IFERROR(INDEX(Triagem!$J$2:$J$451,MATCH($A308,Triagem!$A$2:$A$451,0))&amp;"",""),IF(IFERROR(INDEX('Revisão_Gemini'!$I$7:$I$456,MATCH($A308,'Revisão_Gemini'!$A$7:$A$456,0))&amp;"","")&lt;&gt;"",IFERROR(INDEX('Revisão_Gemini'!$I$7:$I$456,MATCH($A308,'Revisão_Gemini'!$A$7:$A$456,0))&amp;"",""),IFERROR(INDEX('Revisão_ChatGPT'!$I$7:$I$456,MATCH($A308,'Revisão_ChatGPT'!$A$7:$A$456,0))&amp;"","")))))</f>
        <v/>
      </c>
      <c r="Q308" s="2" t="str">
        <f t="array" ref="Q308">IF(O308&lt;&gt;"Excluir","",IF(L308&lt;&gt;"",L308,IF(F308="Excluir",IFERROR(INDEX(Triagem!$K$2:$K$451,MATCH($A308,Triagem!$A$2:$A$451,0))&amp;"",""),IF(G308="Excluir",IFERROR(INDEX('Revisão_Gemini'!$J$7:$J$456,MATCH($A308,'Revisão_Gemini'!$A$7:$A$456,0))&amp;"",""),IFERROR(INDEX('Revisão_ChatGPT'!$J$7:$J$456,MATCH($A308,'Revisão_ChatGPT'!$A$7:$A$456,0))&amp;"","")))))</f>
        <v/>
      </c>
    </row>
    <row r="309" ht="15.75" customHeight="1">
      <c r="A309" s="2" t="s">
        <v>1140</v>
      </c>
      <c r="B309" s="19" t="str">
        <f t="array" ref="B309">INDEX(Triagem!$N$2:$N451 , MATCH(A309,Triagem!$A$2:$A451,0))</f>
        <v>abrir</v>
      </c>
      <c r="C309" s="20">
        <f t="array" ref="C309">INDEX(Triagem!$B$2:$B451 , MATCH(A309,Triagem!$A$2:$A451,0))</f>
        <v>2022</v>
      </c>
      <c r="D309" s="2" t="s">
        <v>1142</v>
      </c>
      <c r="E309" s="2" t="s">
        <v>1143</v>
      </c>
      <c r="F309" s="2" t="str">
        <f t="array" ref="F309">IFERROR(INDEX(Triagem!$I$2:$I$451,MATCH($A309,Triagem!$A$2:$A$451,0))&amp;"","")</f>
        <v>Excluir</v>
      </c>
      <c r="G309" s="2" t="str">
        <f t="array" ref="G309">IFERROR(INDEX('Revisão_Gemini'!$H$7:$H$456,MATCH($A309,'Revisão_Gemini'!$A$7:$A$456,0))&amp;"","")</f>
        <v>Excluir</v>
      </c>
      <c r="H309" s="2" t="str">
        <f t="array" ref="H309">IFERROR(INDEX('Revisão_ChatGPT'!$H$7:$H$456,MATCH($A309,'Revisão_ChatGPT'!$A$7:$A$456,0))&amp;"","")</f>
        <v>Excluir</v>
      </c>
      <c r="I309" s="2" t="str">
        <f t="shared" si="1"/>
        <v>3/3</v>
      </c>
      <c r="J309" s="21"/>
      <c r="K309" s="21"/>
      <c r="L309" s="21"/>
      <c r="M309" s="22" t="b">
        <f t="shared" si="2"/>
        <v>0</v>
      </c>
      <c r="N309" s="21" t="s">
        <v>3337</v>
      </c>
      <c r="O309" s="2" t="str">
        <f t="shared" si="3"/>
        <v>Fora do recorte anual + Excluir</v>
      </c>
      <c r="P309" s="2" t="str">
        <f t="array" ref="P309">IF(O309&lt;&gt;"Incluir","",IF(K309&lt;&gt;"",K309,IF(IFERROR(INDEX(Triagem!$J$2:$J$451,MATCH($A309,Triagem!$A$2:$A$451,0))&amp;"","")&lt;&gt;"",IFERROR(INDEX(Triagem!$J$2:$J$451,MATCH($A309,Triagem!$A$2:$A$451,0))&amp;"",""),IF(IFERROR(INDEX('Revisão_Gemini'!$I$7:$I$456,MATCH($A309,'Revisão_Gemini'!$A$7:$A$456,0))&amp;"","")&lt;&gt;"",IFERROR(INDEX('Revisão_Gemini'!$I$7:$I$456,MATCH($A309,'Revisão_Gemini'!$A$7:$A$456,0))&amp;"",""),IFERROR(INDEX('Revisão_ChatGPT'!$I$7:$I$456,MATCH($A309,'Revisão_ChatGPT'!$A$7:$A$456,0))&amp;"","")))))</f>
        <v/>
      </c>
      <c r="Q309" s="2" t="str">
        <f t="array" ref="Q309">IF(O309&lt;&gt;"Excluir","",IF(L309&lt;&gt;"",L309,IF(F309="Excluir",IFERROR(INDEX(Triagem!$K$2:$K$451,MATCH($A309,Triagem!$A$2:$A$451,0))&amp;"",""),IF(G309="Excluir",IFERROR(INDEX('Revisão_Gemini'!$J$7:$J$456,MATCH($A309,'Revisão_Gemini'!$A$7:$A$456,0))&amp;"",""),IFERROR(INDEX('Revisão_ChatGPT'!$J$7:$J$456,MATCH($A309,'Revisão_ChatGPT'!$A$7:$A$456,0))&amp;"","")))))</f>
        <v/>
      </c>
    </row>
    <row r="310" ht="15.75" customHeight="1">
      <c r="A310" s="2" t="s">
        <v>275</v>
      </c>
      <c r="B310" s="19" t="str">
        <f t="array" ref="B310">INDEX(Triagem!$N$2:$N451 , MATCH(A310,Triagem!$A$2:$A451,0))</f>
        <v>abrir</v>
      </c>
      <c r="C310" s="20">
        <f t="array" ref="C310">INDEX(Triagem!$B$2:$B451 , MATCH(A310,Triagem!$A$2:$A451,0))</f>
        <v>2022</v>
      </c>
      <c r="D310" s="2" t="s">
        <v>277</v>
      </c>
      <c r="E310" s="2" t="s">
        <v>278</v>
      </c>
      <c r="F310" s="2" t="str">
        <f t="array" ref="F310">IFERROR(INDEX(Triagem!$I$2:$I$451,MATCH($A310,Triagem!$A$2:$A$451,0))&amp;"","")</f>
        <v>Incluir</v>
      </c>
      <c r="G310" s="2" t="str">
        <f t="array" ref="G310">IFERROR(INDEX('Revisão_Gemini'!$H$7:$H$456,MATCH($A310,'Revisão_Gemini'!$A$7:$A$456,0))&amp;"","")</f>
        <v>Incluir</v>
      </c>
      <c r="H310" s="2" t="str">
        <f t="array" ref="H310">IFERROR(INDEX('Revisão_ChatGPT'!$H$7:$H$456,MATCH($A310,'Revisão_ChatGPT'!$A$7:$A$456,0))&amp;"","")</f>
        <v>Incluir</v>
      </c>
      <c r="I310" s="2" t="str">
        <f t="shared" si="1"/>
        <v>3/3</v>
      </c>
      <c r="J310" s="21"/>
      <c r="K310" s="21"/>
      <c r="L310" s="21"/>
      <c r="M310" s="22" t="b">
        <f t="shared" si="2"/>
        <v>0</v>
      </c>
      <c r="N310" s="21" t="s">
        <v>3338</v>
      </c>
      <c r="O310" s="2" t="str">
        <f t="shared" si="3"/>
        <v>Fora do recorte anual + Incluir</v>
      </c>
      <c r="P310" s="2" t="str">
        <f t="array" ref="P310">IF(O310&lt;&gt;"Incluir","",IF(K310&lt;&gt;"",K310,IF(IFERROR(INDEX(Triagem!$J$2:$J$451,MATCH($A310,Triagem!$A$2:$A$451,0))&amp;"","")&lt;&gt;"",IFERROR(INDEX(Triagem!$J$2:$J$451,MATCH($A310,Triagem!$A$2:$A$451,0))&amp;"",""),IF(IFERROR(INDEX('Revisão_Gemini'!$I$7:$I$456,MATCH($A310,'Revisão_Gemini'!$A$7:$A$456,0))&amp;"","")&lt;&gt;"",IFERROR(INDEX('Revisão_Gemini'!$I$7:$I$456,MATCH($A310,'Revisão_Gemini'!$A$7:$A$456,0))&amp;"",""),IFERROR(INDEX('Revisão_ChatGPT'!$I$7:$I$456,MATCH($A310,'Revisão_ChatGPT'!$A$7:$A$456,0))&amp;"","")))))</f>
        <v/>
      </c>
      <c r="Q310" s="2" t="str">
        <f t="array" ref="Q310">IF(O310&lt;&gt;"Excluir","",IF(L310&lt;&gt;"",L310,IF(F310="Excluir",IFERROR(INDEX(Triagem!$K$2:$K$451,MATCH($A310,Triagem!$A$2:$A$451,0))&amp;"",""),IF(G310="Excluir",IFERROR(INDEX('Revisão_Gemini'!$J$7:$J$456,MATCH($A310,'Revisão_Gemini'!$A$7:$A$456,0))&amp;"",""),IFERROR(INDEX('Revisão_ChatGPT'!$J$7:$J$456,MATCH($A310,'Revisão_ChatGPT'!$A$7:$A$456,0))&amp;"","")))))</f>
        <v/>
      </c>
    </row>
    <row r="311" ht="15.75" customHeight="1">
      <c r="A311" s="2" t="s">
        <v>1146</v>
      </c>
      <c r="B311" s="19" t="str">
        <f t="array" ref="B311">INDEX(Triagem!$N$2:$N451 , MATCH(A311,Triagem!$A$2:$A451,0))</f>
        <v>abrir</v>
      </c>
      <c r="C311" s="20">
        <f t="array" ref="C311">INDEX(Triagem!$B$2:$B451 , MATCH(A311,Triagem!$A$2:$A451,0))</f>
        <v>2022</v>
      </c>
      <c r="D311" s="2" t="s">
        <v>1148</v>
      </c>
      <c r="E311" s="2" t="s">
        <v>1149</v>
      </c>
      <c r="F311" s="2" t="str">
        <f t="array" ref="F311">IFERROR(INDEX(Triagem!$I$2:$I$451,MATCH($A311,Triagem!$A$2:$A$451,0))&amp;"","")</f>
        <v>Excluir</v>
      </c>
      <c r="G311" s="2" t="str">
        <f t="array" ref="G311">IFERROR(INDEX('Revisão_Gemini'!$H$7:$H$456,MATCH($A311,'Revisão_Gemini'!$A$7:$A$456,0))&amp;"","")</f>
        <v>Excluir</v>
      </c>
      <c r="H311" s="2" t="str">
        <f t="array" ref="H311">IFERROR(INDEX('Revisão_ChatGPT'!$H$7:$H$456,MATCH($A311,'Revisão_ChatGPT'!$A$7:$A$456,0))&amp;"","")</f>
        <v>Excluir</v>
      </c>
      <c r="I311" s="2" t="str">
        <f t="shared" si="1"/>
        <v>3/3</v>
      </c>
      <c r="J311" s="21"/>
      <c r="K311" s="21"/>
      <c r="L311" s="21"/>
      <c r="M311" s="22" t="b">
        <f t="shared" si="2"/>
        <v>0</v>
      </c>
      <c r="N311" s="21"/>
      <c r="O311" s="2" t="str">
        <f t="shared" si="3"/>
        <v>Fora do recorte anual + Excluir</v>
      </c>
      <c r="P311" s="2" t="str">
        <f t="array" ref="P311">IF(O311&lt;&gt;"Incluir","",IF(K311&lt;&gt;"",K311,IF(IFERROR(INDEX(Triagem!$J$2:$J$451,MATCH($A311,Triagem!$A$2:$A$451,0))&amp;"","")&lt;&gt;"",IFERROR(INDEX(Triagem!$J$2:$J$451,MATCH($A311,Triagem!$A$2:$A$451,0))&amp;"",""),IF(IFERROR(INDEX('Revisão_Gemini'!$I$7:$I$456,MATCH($A311,'Revisão_Gemini'!$A$7:$A$456,0))&amp;"","")&lt;&gt;"",IFERROR(INDEX('Revisão_Gemini'!$I$7:$I$456,MATCH($A311,'Revisão_Gemini'!$A$7:$A$456,0))&amp;"",""),IFERROR(INDEX('Revisão_ChatGPT'!$I$7:$I$456,MATCH($A311,'Revisão_ChatGPT'!$A$7:$A$456,0))&amp;"","")))))</f>
        <v/>
      </c>
      <c r="Q311" s="2" t="str">
        <f t="array" ref="Q311">IF(O311&lt;&gt;"Excluir","",IF(L311&lt;&gt;"",L311,IF(F311="Excluir",IFERROR(INDEX(Triagem!$K$2:$K$451,MATCH($A311,Triagem!$A$2:$A$451,0))&amp;"",""),IF(G311="Excluir",IFERROR(INDEX('Revisão_Gemini'!$J$7:$J$456,MATCH($A311,'Revisão_Gemini'!$A$7:$A$456,0))&amp;"",""),IFERROR(INDEX('Revisão_ChatGPT'!$J$7:$J$456,MATCH($A311,'Revisão_ChatGPT'!$A$7:$A$456,0))&amp;"","")))))</f>
        <v/>
      </c>
    </row>
    <row r="312" ht="15.75" customHeight="1">
      <c r="A312" s="2" t="s">
        <v>1151</v>
      </c>
      <c r="B312" s="19" t="str">
        <f t="array" ref="B312">INDEX(Triagem!$N$2:$N451 , MATCH(A312,Triagem!$A$2:$A451,0))</f>
        <v>abrir</v>
      </c>
      <c r="C312" s="20">
        <f t="array" ref="C312">INDEX(Triagem!$B$2:$B451 , MATCH(A312,Triagem!$A$2:$A451,0))</f>
        <v>2022</v>
      </c>
      <c r="D312" s="2" t="s">
        <v>1153</v>
      </c>
      <c r="E312" s="2" t="s">
        <v>1154</v>
      </c>
      <c r="F312" s="2" t="str">
        <f t="array" ref="F312">IFERROR(INDEX(Triagem!$I$2:$I$451,MATCH($A312,Triagem!$A$2:$A$451,0))&amp;"","")</f>
        <v>Excluir</v>
      </c>
      <c r="G312" s="2" t="str">
        <f t="array" ref="G312">IFERROR(INDEX('Revisão_Gemini'!$H$7:$H$456,MATCH($A312,'Revisão_Gemini'!$A$7:$A$456,0))&amp;"","")</f>
        <v>Excluir</v>
      </c>
      <c r="H312" s="2" t="str">
        <f t="array" ref="H312">IFERROR(INDEX('Revisão_ChatGPT'!$H$7:$H$456,MATCH($A312,'Revisão_ChatGPT'!$A$7:$A$456,0))&amp;"","")</f>
        <v>Excluir</v>
      </c>
      <c r="I312" s="2" t="str">
        <f t="shared" si="1"/>
        <v>3/3</v>
      </c>
      <c r="J312" s="21"/>
      <c r="K312" s="21"/>
      <c r="L312" s="21"/>
      <c r="M312" s="22" t="b">
        <f t="shared" si="2"/>
        <v>0</v>
      </c>
      <c r="N312" s="21" t="s">
        <v>3339</v>
      </c>
      <c r="O312" s="2" t="str">
        <f t="shared" si="3"/>
        <v>Fora do recorte anual + Excluir</v>
      </c>
      <c r="P312" s="2" t="str">
        <f t="array" ref="P312">IF(O312&lt;&gt;"Incluir","",IF(K312&lt;&gt;"",K312,IF(IFERROR(INDEX(Triagem!$J$2:$J$451,MATCH($A312,Triagem!$A$2:$A$451,0))&amp;"","")&lt;&gt;"",IFERROR(INDEX(Triagem!$J$2:$J$451,MATCH($A312,Triagem!$A$2:$A$451,0))&amp;"",""),IF(IFERROR(INDEX('Revisão_Gemini'!$I$7:$I$456,MATCH($A312,'Revisão_Gemini'!$A$7:$A$456,0))&amp;"","")&lt;&gt;"",IFERROR(INDEX('Revisão_Gemini'!$I$7:$I$456,MATCH($A312,'Revisão_Gemini'!$A$7:$A$456,0))&amp;"",""),IFERROR(INDEX('Revisão_ChatGPT'!$I$7:$I$456,MATCH($A312,'Revisão_ChatGPT'!$A$7:$A$456,0))&amp;"","")))))</f>
        <v/>
      </c>
      <c r="Q312" s="2" t="str">
        <f t="array" ref="Q312">IF(O312&lt;&gt;"Excluir","",IF(L312&lt;&gt;"",L312,IF(F312="Excluir",IFERROR(INDEX(Triagem!$K$2:$K$451,MATCH($A312,Triagem!$A$2:$A$451,0))&amp;"",""),IF(G312="Excluir",IFERROR(INDEX('Revisão_Gemini'!$J$7:$J$456,MATCH($A312,'Revisão_Gemini'!$A$7:$A$456,0))&amp;"",""),IFERROR(INDEX('Revisão_ChatGPT'!$J$7:$J$456,MATCH($A312,'Revisão_ChatGPT'!$A$7:$A$456,0))&amp;"","")))))</f>
        <v/>
      </c>
    </row>
    <row r="313" ht="15.75" customHeight="1">
      <c r="A313" s="2" t="s">
        <v>1670</v>
      </c>
      <c r="B313" s="19" t="str">
        <f t="array" ref="B313">INDEX(Triagem!$N$2:$N451 , MATCH(A313,Triagem!$A$2:$A451,0))</f>
        <v>abrir</v>
      </c>
      <c r="C313" s="20">
        <f t="array" ref="C313">INDEX(Triagem!$B$2:$B451 , MATCH(A313,Triagem!$A$2:$A451,0))</f>
        <v>2022</v>
      </c>
      <c r="D313" s="2" t="s">
        <v>1672</v>
      </c>
      <c r="E313" s="2" t="s">
        <v>1673</v>
      </c>
      <c r="F313" s="2" t="str">
        <f t="array" ref="F313">IFERROR(INDEX(Triagem!$I$2:$I$451,MATCH($A313,Triagem!$A$2:$A$451,0))&amp;"","")</f>
        <v>Excluir</v>
      </c>
      <c r="G313" s="2" t="str">
        <f t="array" ref="G313">IFERROR(INDEX('Revisão_Gemini'!$H$7:$H$456,MATCH($A313,'Revisão_Gemini'!$A$7:$A$456,0))&amp;"","")</f>
        <v>Excluir</v>
      </c>
      <c r="H313" s="2" t="str">
        <f t="array" ref="H313">IFERROR(INDEX('Revisão_ChatGPT'!$H$7:$H$456,MATCH($A313,'Revisão_ChatGPT'!$A$7:$A$456,0))&amp;"","")</f>
        <v>Excluir</v>
      </c>
      <c r="I313" s="2" t="str">
        <f t="shared" si="1"/>
        <v>3/3</v>
      </c>
      <c r="J313" s="21"/>
      <c r="K313" s="21"/>
      <c r="L313" s="21"/>
      <c r="M313" s="22" t="b">
        <f t="shared" si="2"/>
        <v>0</v>
      </c>
      <c r="N313" s="21" t="s">
        <v>3340</v>
      </c>
      <c r="O313" s="2" t="str">
        <f t="shared" si="3"/>
        <v>Fora do recorte anual + Excluir</v>
      </c>
      <c r="P313" s="2" t="str">
        <f t="array" ref="P313">IF(O313&lt;&gt;"Incluir","",IF(K313&lt;&gt;"",K313,IF(IFERROR(INDEX(Triagem!$J$2:$J$451,MATCH($A313,Triagem!$A$2:$A$451,0))&amp;"","")&lt;&gt;"",IFERROR(INDEX(Triagem!$J$2:$J$451,MATCH($A313,Triagem!$A$2:$A$451,0))&amp;"",""),IF(IFERROR(INDEX('Revisão_Gemini'!$I$7:$I$456,MATCH($A313,'Revisão_Gemini'!$A$7:$A$456,0))&amp;"","")&lt;&gt;"",IFERROR(INDEX('Revisão_Gemini'!$I$7:$I$456,MATCH($A313,'Revisão_Gemini'!$A$7:$A$456,0))&amp;"",""),IFERROR(INDEX('Revisão_ChatGPT'!$I$7:$I$456,MATCH($A313,'Revisão_ChatGPT'!$A$7:$A$456,0))&amp;"","")))))</f>
        <v/>
      </c>
      <c r="Q313" s="2" t="str">
        <f t="array" ref="Q313">IF(O313&lt;&gt;"Excluir","",IF(L313&lt;&gt;"",L313,IF(F313="Excluir",IFERROR(INDEX(Triagem!$K$2:$K$451,MATCH($A313,Triagem!$A$2:$A$451,0))&amp;"",""),IF(G313="Excluir",IFERROR(INDEX('Revisão_Gemini'!$J$7:$J$456,MATCH($A313,'Revisão_Gemini'!$A$7:$A$456,0))&amp;"",""),IFERROR(INDEX('Revisão_ChatGPT'!$J$7:$J$456,MATCH($A313,'Revisão_ChatGPT'!$A$7:$A$456,0))&amp;"","")))))</f>
        <v/>
      </c>
    </row>
    <row r="314" ht="15.75" customHeight="1">
      <c r="A314" s="2" t="s">
        <v>280</v>
      </c>
      <c r="B314" s="19" t="str">
        <f t="array" ref="B314">INDEX(Triagem!$N$2:$N451 , MATCH(A314,Triagem!$A$2:$A451,0))</f>
        <v>abrir</v>
      </c>
      <c r="C314" s="20">
        <f t="array" ref="C314">INDEX(Triagem!$B$2:$B451 , MATCH(A314,Triagem!$A$2:$A451,0))</f>
        <v>2022</v>
      </c>
      <c r="D314" s="2" t="s">
        <v>282</v>
      </c>
      <c r="E314" s="2" t="s">
        <v>283</v>
      </c>
      <c r="F314" s="2" t="str">
        <f t="array" ref="F314">IFERROR(INDEX(Triagem!$I$2:$I$451,MATCH($A314,Triagem!$A$2:$A$451,0))&amp;"","")</f>
        <v>Incluir</v>
      </c>
      <c r="G314" s="2" t="str">
        <f t="array" ref="G314">IFERROR(INDEX('Revisão_Gemini'!$H$7:$H$456,MATCH($A314,'Revisão_Gemini'!$A$7:$A$456,0))&amp;"","")</f>
        <v>Incluir</v>
      </c>
      <c r="H314" s="2" t="str">
        <f t="array" ref="H314">IFERROR(INDEX('Revisão_ChatGPT'!$H$7:$H$456,MATCH($A314,'Revisão_ChatGPT'!$A$7:$A$456,0))&amp;"","")</f>
        <v>Incluir</v>
      </c>
      <c r="I314" s="2" t="str">
        <f t="shared" si="1"/>
        <v>3/3</v>
      </c>
      <c r="J314" s="21"/>
      <c r="K314" s="21"/>
      <c r="L314" s="21"/>
      <c r="M314" s="22" t="b">
        <f t="shared" si="2"/>
        <v>0</v>
      </c>
      <c r="N314" s="21" t="s">
        <v>3341</v>
      </c>
      <c r="O314" s="2" t="str">
        <f t="shared" si="3"/>
        <v>Fora do recorte anual + Incluir</v>
      </c>
      <c r="P314" s="2" t="str">
        <f t="array" ref="P314">IF(O314&lt;&gt;"Incluir","",IF(K314&lt;&gt;"",K314,IF(IFERROR(INDEX(Triagem!$J$2:$J$451,MATCH($A314,Triagem!$A$2:$A$451,0))&amp;"","")&lt;&gt;"",IFERROR(INDEX(Triagem!$J$2:$J$451,MATCH($A314,Triagem!$A$2:$A$451,0))&amp;"",""),IF(IFERROR(INDEX('Revisão_Gemini'!$I$7:$I$456,MATCH($A314,'Revisão_Gemini'!$A$7:$A$456,0))&amp;"","")&lt;&gt;"",IFERROR(INDEX('Revisão_Gemini'!$I$7:$I$456,MATCH($A314,'Revisão_Gemini'!$A$7:$A$456,0))&amp;"",""),IFERROR(INDEX('Revisão_ChatGPT'!$I$7:$I$456,MATCH($A314,'Revisão_ChatGPT'!$A$7:$A$456,0))&amp;"","")))))</f>
        <v/>
      </c>
      <c r="Q314" s="2" t="str">
        <f t="array" ref="Q314">IF(O314&lt;&gt;"Excluir","",IF(L314&lt;&gt;"",L314,IF(F314="Excluir",IFERROR(INDEX(Triagem!$K$2:$K$451,MATCH($A314,Triagem!$A$2:$A$451,0))&amp;"",""),IF(G314="Excluir",IFERROR(INDEX('Revisão_Gemini'!$J$7:$J$456,MATCH($A314,'Revisão_Gemini'!$A$7:$A$456,0))&amp;"",""),IFERROR(INDEX('Revisão_ChatGPT'!$J$7:$J$456,MATCH($A314,'Revisão_ChatGPT'!$A$7:$A$456,0))&amp;"","")))))</f>
        <v/>
      </c>
    </row>
    <row r="315" ht="15.75" customHeight="1">
      <c r="A315" s="2" t="s">
        <v>1915</v>
      </c>
      <c r="B315" s="19" t="str">
        <f t="array" ref="B315">INDEX(Triagem!$N$2:$N451 , MATCH(A315,Triagem!$A$2:$A451,0))</f>
        <v>abrir</v>
      </c>
      <c r="C315" s="20">
        <f t="array" ref="C315">INDEX(Triagem!$B$2:$B451 , MATCH(A315,Triagem!$A$2:$A451,0))</f>
        <v>2022</v>
      </c>
      <c r="D315" s="2" t="s">
        <v>1917</v>
      </c>
      <c r="E315" s="2" t="s">
        <v>1918</v>
      </c>
      <c r="F315" s="2" t="str">
        <f t="array" ref="F315">IFERROR(INDEX(Triagem!$I$2:$I$451,MATCH($A315,Triagem!$A$2:$A$451,0))&amp;"","")</f>
        <v>Excluir</v>
      </c>
      <c r="G315" s="2" t="str">
        <f t="array" ref="G315">IFERROR(INDEX('Revisão_Gemini'!$H$7:$H$456,MATCH($A315,'Revisão_Gemini'!$A$7:$A$456,0))&amp;"","")</f>
        <v>Excluir</v>
      </c>
      <c r="H315" s="2" t="str">
        <f t="array" ref="H315">IFERROR(INDEX('Revisão_ChatGPT'!$H$7:$H$456,MATCH($A315,'Revisão_ChatGPT'!$A$7:$A$456,0))&amp;"","")</f>
        <v>Excluir</v>
      </c>
      <c r="I315" s="2" t="str">
        <f t="shared" si="1"/>
        <v>3/3</v>
      </c>
      <c r="J315" s="21"/>
      <c r="K315" s="21"/>
      <c r="L315" s="21"/>
      <c r="M315" s="22" t="b">
        <f t="shared" si="2"/>
        <v>0</v>
      </c>
      <c r="N315" s="21"/>
      <c r="O315" s="2" t="str">
        <f t="shared" si="3"/>
        <v>Fora do recorte anual + Excluir</v>
      </c>
      <c r="P315" s="2" t="str">
        <f t="array" ref="P315">IF(O315&lt;&gt;"Incluir","",IF(K315&lt;&gt;"",K315,IF(IFERROR(INDEX(Triagem!$J$2:$J$451,MATCH($A315,Triagem!$A$2:$A$451,0))&amp;"","")&lt;&gt;"",IFERROR(INDEX(Triagem!$J$2:$J$451,MATCH($A315,Triagem!$A$2:$A$451,0))&amp;"",""),IF(IFERROR(INDEX('Revisão_Gemini'!$I$7:$I$456,MATCH($A315,'Revisão_Gemini'!$A$7:$A$456,0))&amp;"","")&lt;&gt;"",IFERROR(INDEX('Revisão_Gemini'!$I$7:$I$456,MATCH($A315,'Revisão_Gemini'!$A$7:$A$456,0))&amp;"",""),IFERROR(INDEX('Revisão_ChatGPT'!$I$7:$I$456,MATCH($A315,'Revisão_ChatGPT'!$A$7:$A$456,0))&amp;"","")))))</f>
        <v/>
      </c>
      <c r="Q315" s="2" t="str">
        <f t="array" ref="Q315">IF(O315&lt;&gt;"Excluir","",IF(L315&lt;&gt;"",L315,IF(F315="Excluir",IFERROR(INDEX(Triagem!$K$2:$K$451,MATCH($A315,Triagem!$A$2:$A$451,0))&amp;"",""),IF(G315="Excluir",IFERROR(INDEX('Revisão_Gemini'!$J$7:$J$456,MATCH($A315,'Revisão_Gemini'!$A$7:$A$456,0))&amp;"",""),IFERROR(INDEX('Revisão_ChatGPT'!$J$7:$J$456,MATCH($A315,'Revisão_ChatGPT'!$A$7:$A$456,0))&amp;"","")))))</f>
        <v/>
      </c>
    </row>
    <row r="316" ht="15.75" customHeight="1">
      <c r="A316" s="2" t="s">
        <v>284</v>
      </c>
      <c r="B316" s="19" t="str">
        <f t="array" ref="B316">INDEX(Triagem!$N$2:$N451 , MATCH(A316,Triagem!$A$2:$A451,0))</f>
        <v>abrir</v>
      </c>
      <c r="C316" s="20">
        <f t="array" ref="C316">INDEX(Triagem!$B$2:$B451 , MATCH(A316,Triagem!$A$2:$A451,0))</f>
        <v>2022</v>
      </c>
      <c r="D316" s="2" t="s">
        <v>286</v>
      </c>
      <c r="E316" s="23" t="s">
        <v>287</v>
      </c>
      <c r="F316" s="2" t="str">
        <f t="array" ref="F316">IFERROR(INDEX(Triagem!$I$2:$I$451,MATCH($A316,Triagem!$A$2:$A$451,0))&amp;"","")</f>
        <v>Incluir</v>
      </c>
      <c r="G316" s="2" t="str">
        <f t="array" ref="G316">IFERROR(INDEX('Revisão_Gemini'!$H$7:$H$456,MATCH($A316,'Revisão_Gemini'!$A$7:$A$456,0))&amp;"","")</f>
        <v>Incluir</v>
      </c>
      <c r="H316" s="2" t="str">
        <f t="array" ref="H316">IFERROR(INDEX('Revisão_ChatGPT'!$H$7:$H$456,MATCH($A316,'Revisão_ChatGPT'!$A$7:$A$456,0))&amp;"","")</f>
        <v>Incluir</v>
      </c>
      <c r="I316" s="2" t="str">
        <f t="shared" si="1"/>
        <v>3/3</v>
      </c>
      <c r="J316" s="21"/>
      <c r="K316" s="21"/>
      <c r="L316" s="21"/>
      <c r="M316" s="22" t="b">
        <f t="shared" si="2"/>
        <v>0</v>
      </c>
      <c r="N316" s="21" t="s">
        <v>3342</v>
      </c>
      <c r="O316" s="2" t="str">
        <f t="shared" si="3"/>
        <v>Fora do recorte anual + Incluir</v>
      </c>
      <c r="P316" s="2" t="str">
        <f t="array" ref="P316">IF(O316&lt;&gt;"Incluir","",IF(K316&lt;&gt;"",K316,IF(IFERROR(INDEX(Triagem!$J$2:$J$451,MATCH($A316,Triagem!$A$2:$A$451,0))&amp;"","")&lt;&gt;"",IFERROR(INDEX(Triagem!$J$2:$J$451,MATCH($A316,Triagem!$A$2:$A$451,0))&amp;"",""),IF(IFERROR(INDEX('Revisão_Gemini'!$I$7:$I$456,MATCH($A316,'Revisão_Gemini'!$A$7:$A$456,0))&amp;"","")&lt;&gt;"",IFERROR(INDEX('Revisão_Gemini'!$I$7:$I$456,MATCH($A316,'Revisão_Gemini'!$A$7:$A$456,0))&amp;"",""),IFERROR(INDEX('Revisão_ChatGPT'!$I$7:$I$456,MATCH($A316,'Revisão_ChatGPT'!$A$7:$A$456,0))&amp;"","")))))</f>
        <v/>
      </c>
      <c r="Q316" s="2" t="str">
        <f t="array" ref="Q316">IF(O316&lt;&gt;"Excluir","",IF(L316&lt;&gt;"",L316,IF(F316="Excluir",IFERROR(INDEX(Triagem!$K$2:$K$451,MATCH($A316,Triagem!$A$2:$A$451,0))&amp;"",""),IF(G316="Excluir",IFERROR(INDEX('Revisão_Gemini'!$J$7:$J$456,MATCH($A316,'Revisão_Gemini'!$A$7:$A$456,0))&amp;"",""),IFERROR(INDEX('Revisão_ChatGPT'!$J$7:$J$456,MATCH($A316,'Revisão_ChatGPT'!$A$7:$A$456,0))&amp;"","")))))</f>
        <v/>
      </c>
    </row>
    <row r="317" ht="15.75" customHeight="1">
      <c r="A317" s="2" t="s">
        <v>1155</v>
      </c>
      <c r="B317" s="19" t="str">
        <f t="array" ref="B317">INDEX(Triagem!$N$2:$N451 , MATCH(A317,Triagem!$A$2:$A451,0))</f>
        <v>abrir</v>
      </c>
      <c r="C317" s="20">
        <f t="array" ref="C317">INDEX(Triagem!$B$2:$B451 , MATCH(A317,Triagem!$A$2:$A451,0))</f>
        <v>2022</v>
      </c>
      <c r="D317" s="2" t="s">
        <v>1157</v>
      </c>
      <c r="E317" s="2" t="s">
        <v>1158</v>
      </c>
      <c r="F317" s="2" t="str">
        <f t="array" ref="F317">IFERROR(INDEX(Triagem!$I$2:$I$451,MATCH($A317,Triagem!$A$2:$A$451,0))&amp;"","")</f>
        <v>Excluir</v>
      </c>
      <c r="G317" s="2" t="str">
        <f t="array" ref="G317">IFERROR(INDEX('Revisão_Gemini'!$H$7:$H$456,MATCH($A317,'Revisão_Gemini'!$A$7:$A$456,0))&amp;"","")</f>
        <v>Excluir</v>
      </c>
      <c r="H317" s="2" t="str">
        <f t="array" ref="H317">IFERROR(INDEX('Revisão_ChatGPT'!$H$7:$H$456,MATCH($A317,'Revisão_ChatGPT'!$A$7:$A$456,0))&amp;"","")</f>
        <v>Excluir</v>
      </c>
      <c r="I317" s="2" t="str">
        <f t="shared" si="1"/>
        <v>3/3</v>
      </c>
      <c r="J317" s="21"/>
      <c r="K317" s="21"/>
      <c r="L317" s="21"/>
      <c r="M317" s="22" t="b">
        <f t="shared" si="2"/>
        <v>0</v>
      </c>
      <c r="N317" s="21" t="s">
        <v>3343</v>
      </c>
      <c r="O317" s="2" t="str">
        <f t="shared" si="3"/>
        <v>Fora do recorte anual + Excluir</v>
      </c>
      <c r="P317" s="2" t="str">
        <f t="array" ref="P317">IF(O317&lt;&gt;"Incluir","",IF(K317&lt;&gt;"",K317,IF(IFERROR(INDEX(Triagem!$J$2:$J$451,MATCH($A317,Triagem!$A$2:$A$451,0))&amp;"","")&lt;&gt;"",IFERROR(INDEX(Triagem!$J$2:$J$451,MATCH($A317,Triagem!$A$2:$A$451,0))&amp;"",""),IF(IFERROR(INDEX('Revisão_Gemini'!$I$7:$I$456,MATCH($A317,'Revisão_Gemini'!$A$7:$A$456,0))&amp;"","")&lt;&gt;"",IFERROR(INDEX('Revisão_Gemini'!$I$7:$I$456,MATCH($A317,'Revisão_Gemini'!$A$7:$A$456,0))&amp;"",""),IFERROR(INDEX('Revisão_ChatGPT'!$I$7:$I$456,MATCH($A317,'Revisão_ChatGPT'!$A$7:$A$456,0))&amp;"","")))))</f>
        <v/>
      </c>
      <c r="Q317" s="2" t="str">
        <f t="array" ref="Q317">IF(O317&lt;&gt;"Excluir","",IF(L317&lt;&gt;"",L317,IF(F317="Excluir",IFERROR(INDEX(Triagem!$K$2:$K$451,MATCH($A317,Triagem!$A$2:$A$451,0))&amp;"",""),IF(G317="Excluir",IFERROR(INDEX('Revisão_Gemini'!$J$7:$J$456,MATCH($A317,'Revisão_Gemini'!$A$7:$A$456,0))&amp;"",""),IFERROR(INDEX('Revisão_ChatGPT'!$J$7:$J$456,MATCH($A317,'Revisão_ChatGPT'!$A$7:$A$456,0))&amp;"","")))))</f>
        <v/>
      </c>
    </row>
    <row r="318" ht="15.75" customHeight="1">
      <c r="A318" s="2" t="s">
        <v>2117</v>
      </c>
      <c r="B318" s="19" t="str">
        <f t="array" ref="B318">INDEX(Triagem!$N$2:$N451 , MATCH(A318,Triagem!$A$2:$A451,0))</f>
        <v>abrir</v>
      </c>
      <c r="C318" s="20">
        <f t="array" ref="C318">INDEX(Triagem!$B$2:$B451 , MATCH(A318,Triagem!$A$2:$A451,0))</f>
        <v>2022</v>
      </c>
      <c r="D318" s="2" t="s">
        <v>2119</v>
      </c>
      <c r="E318" s="2" t="s">
        <v>2120</v>
      </c>
      <c r="F318" s="2" t="str">
        <f t="array" ref="F318">IFERROR(INDEX(Triagem!$I$2:$I$451,MATCH($A318,Triagem!$A$2:$A$451,0))&amp;"","")</f>
        <v>Excluir</v>
      </c>
      <c r="G318" s="2" t="str">
        <f t="array" ref="G318">IFERROR(INDEX('Revisão_Gemini'!$H$7:$H$456,MATCH($A318,'Revisão_Gemini'!$A$7:$A$456,0))&amp;"","")</f>
        <v>Excluir</v>
      </c>
      <c r="H318" s="2" t="str">
        <f t="array" ref="H318">IFERROR(INDEX('Revisão_ChatGPT'!$H$7:$H$456,MATCH($A318,'Revisão_ChatGPT'!$A$7:$A$456,0))&amp;"","")</f>
        <v>Excluir</v>
      </c>
      <c r="I318" s="2" t="str">
        <f t="shared" si="1"/>
        <v>3/3</v>
      </c>
      <c r="J318" s="21"/>
      <c r="K318" s="21"/>
      <c r="L318" s="21"/>
      <c r="M318" s="22" t="b">
        <f t="shared" si="2"/>
        <v>0</v>
      </c>
      <c r="N318" s="21" t="s">
        <v>3344</v>
      </c>
      <c r="O318" s="2" t="str">
        <f t="shared" si="3"/>
        <v>Fora do recorte anual + Excluir</v>
      </c>
      <c r="P318" s="2" t="str">
        <f t="array" ref="P318">IF(O318&lt;&gt;"Incluir","",IF(K318&lt;&gt;"",K318,IF(IFERROR(INDEX(Triagem!$J$2:$J$451,MATCH($A318,Triagem!$A$2:$A$451,0))&amp;"","")&lt;&gt;"",IFERROR(INDEX(Triagem!$J$2:$J$451,MATCH($A318,Triagem!$A$2:$A$451,0))&amp;"",""),IF(IFERROR(INDEX('Revisão_Gemini'!$I$7:$I$456,MATCH($A318,'Revisão_Gemini'!$A$7:$A$456,0))&amp;"","")&lt;&gt;"",IFERROR(INDEX('Revisão_Gemini'!$I$7:$I$456,MATCH($A318,'Revisão_Gemini'!$A$7:$A$456,0))&amp;"",""),IFERROR(INDEX('Revisão_ChatGPT'!$I$7:$I$456,MATCH($A318,'Revisão_ChatGPT'!$A$7:$A$456,0))&amp;"","")))))</f>
        <v/>
      </c>
      <c r="Q318" s="2" t="str">
        <f t="array" ref="Q318">IF(O318&lt;&gt;"Excluir","",IF(L318&lt;&gt;"",L318,IF(F318="Excluir",IFERROR(INDEX(Triagem!$K$2:$K$451,MATCH($A318,Triagem!$A$2:$A$451,0))&amp;"",""),IF(G318="Excluir",IFERROR(INDEX('Revisão_Gemini'!$J$7:$J$456,MATCH($A318,'Revisão_Gemini'!$A$7:$A$456,0))&amp;"",""),IFERROR(INDEX('Revisão_ChatGPT'!$J$7:$J$456,MATCH($A318,'Revisão_ChatGPT'!$A$7:$A$456,0))&amp;"","")))))</f>
        <v/>
      </c>
    </row>
    <row r="319" ht="15.75" customHeight="1">
      <c r="A319" s="2" t="s">
        <v>289</v>
      </c>
      <c r="B319" s="19" t="str">
        <f t="array" ref="B319">INDEX(Triagem!$N$2:$N451 , MATCH(A319,Triagem!$A$2:$A451,0))</f>
        <v>abrir</v>
      </c>
      <c r="C319" s="20">
        <f t="array" ref="C319">INDEX(Triagem!$B$2:$B451 , MATCH(A319,Triagem!$A$2:$A451,0))</f>
        <v>2022</v>
      </c>
      <c r="D319" s="2" t="s">
        <v>291</v>
      </c>
      <c r="E319" s="2" t="s">
        <v>292</v>
      </c>
      <c r="F319" s="2" t="str">
        <f t="array" ref="F319">IFERROR(INDEX(Triagem!$I$2:$I$451,MATCH($A319,Triagem!$A$2:$A$451,0))&amp;"","")</f>
        <v>Incluir</v>
      </c>
      <c r="G319" s="2" t="str">
        <f t="array" ref="G319">IFERROR(INDEX('Revisão_Gemini'!$H$7:$H$456,MATCH($A319,'Revisão_Gemini'!$A$7:$A$456,0))&amp;"","")</f>
        <v>Incluir</v>
      </c>
      <c r="H319" s="2" t="str">
        <f t="array" ref="H319">IFERROR(INDEX('Revisão_ChatGPT'!$H$7:$H$456,MATCH($A319,'Revisão_ChatGPT'!$A$7:$A$456,0))&amp;"","")</f>
        <v>Excluir</v>
      </c>
      <c r="I319" s="2" t="str">
        <f t="shared" si="1"/>
        <v>2/3</v>
      </c>
      <c r="J319" s="21" t="s">
        <v>906</v>
      </c>
      <c r="K319" s="21"/>
      <c r="L319" s="21"/>
      <c r="M319" s="22" t="b">
        <f t="shared" si="2"/>
        <v>0</v>
      </c>
      <c r="N319" s="21"/>
      <c r="O319" s="2" t="str">
        <f t="shared" si="3"/>
        <v>Fora do recorte anual + Excluir</v>
      </c>
      <c r="P319" s="2" t="str">
        <f t="array" ref="P319">IF(O319&lt;&gt;"Incluir","",IF(K319&lt;&gt;"",K319,IF(IFERROR(INDEX(Triagem!$J$2:$J$451,MATCH($A319,Triagem!$A$2:$A$451,0))&amp;"","")&lt;&gt;"",IFERROR(INDEX(Triagem!$J$2:$J$451,MATCH($A319,Triagem!$A$2:$A$451,0))&amp;"",""),IF(IFERROR(INDEX('Revisão_Gemini'!$I$7:$I$456,MATCH($A319,'Revisão_Gemini'!$A$7:$A$456,0))&amp;"","")&lt;&gt;"",IFERROR(INDEX('Revisão_Gemini'!$I$7:$I$456,MATCH($A319,'Revisão_Gemini'!$A$7:$A$456,0))&amp;"",""),IFERROR(INDEX('Revisão_ChatGPT'!$I$7:$I$456,MATCH($A319,'Revisão_ChatGPT'!$A$7:$A$456,0))&amp;"","")))))</f>
        <v/>
      </c>
      <c r="Q319" s="2" t="str">
        <f t="array" ref="Q319">IF(O319&lt;&gt;"Excluir","",IF(L319&lt;&gt;"",L319,IF(F319="Excluir",IFERROR(INDEX(Triagem!$K$2:$K$451,MATCH($A319,Triagem!$A$2:$A$451,0))&amp;"",""),IF(G319="Excluir",IFERROR(INDEX('Revisão_Gemini'!$J$7:$J$456,MATCH($A319,'Revisão_Gemini'!$A$7:$A$456,0))&amp;"",""),IFERROR(INDEX('Revisão_ChatGPT'!$J$7:$J$456,MATCH($A319,'Revisão_ChatGPT'!$A$7:$A$456,0))&amp;"","")))))</f>
        <v/>
      </c>
    </row>
    <row r="320" ht="15.75" customHeight="1">
      <c r="A320" s="2" t="s">
        <v>1161</v>
      </c>
      <c r="B320" s="19" t="str">
        <f t="array" ref="B320">INDEX(Triagem!$N$2:$N451 , MATCH(A320,Triagem!$A$2:$A451,0))</f>
        <v>abrir</v>
      </c>
      <c r="C320" s="20">
        <f t="array" ref="C320">INDEX(Triagem!$B$2:$B451 , MATCH(A320,Triagem!$A$2:$A451,0))</f>
        <v>2022</v>
      </c>
      <c r="D320" s="2" t="s">
        <v>1163</v>
      </c>
      <c r="E320" s="2" t="s">
        <v>1164</v>
      </c>
      <c r="F320" s="2" t="str">
        <f t="array" ref="F320">IFERROR(INDEX(Triagem!$I$2:$I$451,MATCH($A320,Triagem!$A$2:$A$451,0))&amp;"","")</f>
        <v>Excluir</v>
      </c>
      <c r="G320" s="2" t="str">
        <f t="array" ref="G320">IFERROR(INDEX('Revisão_Gemini'!$H$7:$H$456,MATCH($A320,'Revisão_Gemini'!$A$7:$A$456,0))&amp;"","")</f>
        <v>Excluir</v>
      </c>
      <c r="H320" s="2" t="str">
        <f t="array" ref="H320">IFERROR(INDEX('Revisão_ChatGPT'!$H$7:$H$456,MATCH($A320,'Revisão_ChatGPT'!$A$7:$A$456,0))&amp;"","")</f>
        <v>Excluir</v>
      </c>
      <c r="I320" s="2" t="str">
        <f t="shared" si="1"/>
        <v>3/3</v>
      </c>
      <c r="J320" s="21"/>
      <c r="K320" s="21"/>
      <c r="L320" s="21"/>
      <c r="M320" s="22" t="b">
        <f t="shared" si="2"/>
        <v>0</v>
      </c>
      <c r="N320" s="21" t="s">
        <v>3345</v>
      </c>
      <c r="O320" s="2" t="str">
        <f t="shared" si="3"/>
        <v>Fora do recorte anual + Excluir</v>
      </c>
      <c r="P320" s="2" t="str">
        <f t="array" ref="P320">IF(O320&lt;&gt;"Incluir","",IF(K320&lt;&gt;"",K320,IF(IFERROR(INDEX(Triagem!$J$2:$J$451,MATCH($A320,Triagem!$A$2:$A$451,0))&amp;"","")&lt;&gt;"",IFERROR(INDEX(Triagem!$J$2:$J$451,MATCH($A320,Triagem!$A$2:$A$451,0))&amp;"",""),IF(IFERROR(INDEX('Revisão_Gemini'!$I$7:$I$456,MATCH($A320,'Revisão_Gemini'!$A$7:$A$456,0))&amp;"","")&lt;&gt;"",IFERROR(INDEX('Revisão_Gemini'!$I$7:$I$456,MATCH($A320,'Revisão_Gemini'!$A$7:$A$456,0))&amp;"",""),IFERROR(INDEX('Revisão_ChatGPT'!$I$7:$I$456,MATCH($A320,'Revisão_ChatGPT'!$A$7:$A$456,0))&amp;"","")))))</f>
        <v/>
      </c>
      <c r="Q320" s="2" t="str">
        <f t="array" ref="Q320">IF(O320&lt;&gt;"Excluir","",IF(L320&lt;&gt;"",L320,IF(F320="Excluir",IFERROR(INDEX(Triagem!$K$2:$K$451,MATCH($A320,Triagem!$A$2:$A$451,0))&amp;"",""),IF(G320="Excluir",IFERROR(INDEX('Revisão_Gemini'!$J$7:$J$456,MATCH($A320,'Revisão_Gemini'!$A$7:$A$456,0))&amp;"",""),IFERROR(INDEX('Revisão_ChatGPT'!$J$7:$J$456,MATCH($A320,'Revisão_ChatGPT'!$A$7:$A$456,0))&amp;"","")))))</f>
        <v/>
      </c>
    </row>
    <row r="321" ht="15.75" customHeight="1">
      <c r="A321" s="2" t="s">
        <v>1919</v>
      </c>
      <c r="B321" s="19" t="str">
        <f t="array" ref="B321">INDEX(Triagem!$N$2:$N451 , MATCH(A321,Triagem!$A$2:$A451,0))</f>
        <v>abrir</v>
      </c>
      <c r="C321" s="20">
        <f t="array" ref="C321">INDEX(Triagem!$B$2:$B451 , MATCH(A321,Triagem!$A$2:$A451,0))</f>
        <v>2022</v>
      </c>
      <c r="D321" s="2" t="s">
        <v>1920</v>
      </c>
      <c r="E321" s="2" t="s">
        <v>1921</v>
      </c>
      <c r="F321" s="2" t="str">
        <f t="array" ref="F321">IFERROR(INDEX(Triagem!$I$2:$I$451,MATCH($A321,Triagem!$A$2:$A$451,0))&amp;"","")</f>
        <v>Excluir</v>
      </c>
      <c r="G321" s="2" t="str">
        <f t="array" ref="G321">IFERROR(INDEX('Revisão_Gemini'!$H$7:$H$456,MATCH($A321,'Revisão_Gemini'!$A$7:$A$456,0))&amp;"","")</f>
        <v>Excluir</v>
      </c>
      <c r="H321" s="2" t="str">
        <f t="array" ref="H321">IFERROR(INDEX('Revisão_ChatGPT'!$H$7:$H$456,MATCH($A321,'Revisão_ChatGPT'!$A$7:$A$456,0))&amp;"","")</f>
        <v>Excluir</v>
      </c>
      <c r="I321" s="2" t="str">
        <f t="shared" si="1"/>
        <v>3/3</v>
      </c>
      <c r="J321" s="21"/>
      <c r="K321" s="21"/>
      <c r="L321" s="21"/>
      <c r="M321" s="22" t="b">
        <f t="shared" si="2"/>
        <v>0</v>
      </c>
      <c r="N321" s="21"/>
      <c r="O321" s="2" t="str">
        <f t="shared" si="3"/>
        <v>Fora do recorte anual + Excluir</v>
      </c>
      <c r="P321" s="2" t="str">
        <f t="array" ref="P321">IF(O321&lt;&gt;"Incluir","",IF(K321&lt;&gt;"",K321,IF(IFERROR(INDEX(Triagem!$J$2:$J$451,MATCH($A321,Triagem!$A$2:$A$451,0))&amp;"","")&lt;&gt;"",IFERROR(INDEX(Triagem!$J$2:$J$451,MATCH($A321,Triagem!$A$2:$A$451,0))&amp;"",""),IF(IFERROR(INDEX('Revisão_Gemini'!$I$7:$I$456,MATCH($A321,'Revisão_Gemini'!$A$7:$A$456,0))&amp;"","")&lt;&gt;"",IFERROR(INDEX('Revisão_Gemini'!$I$7:$I$456,MATCH($A321,'Revisão_Gemini'!$A$7:$A$456,0))&amp;"",""),IFERROR(INDEX('Revisão_ChatGPT'!$I$7:$I$456,MATCH($A321,'Revisão_ChatGPT'!$A$7:$A$456,0))&amp;"","")))))</f>
        <v/>
      </c>
      <c r="Q321" s="2" t="str">
        <f t="array" ref="Q321">IF(O321&lt;&gt;"Excluir","",IF(L321&lt;&gt;"",L321,IF(F321="Excluir",IFERROR(INDEX(Triagem!$K$2:$K$451,MATCH($A321,Triagem!$A$2:$A$451,0))&amp;"",""),IF(G321="Excluir",IFERROR(INDEX('Revisão_Gemini'!$J$7:$J$456,MATCH($A321,'Revisão_Gemini'!$A$7:$A$456,0))&amp;"",""),IFERROR(INDEX('Revisão_ChatGPT'!$J$7:$J$456,MATCH($A321,'Revisão_ChatGPT'!$A$7:$A$456,0))&amp;"","")))))</f>
        <v/>
      </c>
    </row>
    <row r="322" ht="15.75" customHeight="1">
      <c r="A322" s="2" t="s">
        <v>1640</v>
      </c>
      <c r="B322" s="19" t="str">
        <f t="array" ref="B322">INDEX(Triagem!$N$2:$N451 , MATCH(A322,Triagem!$A$2:$A451,0))</f>
        <v>abrir</v>
      </c>
      <c r="C322" s="20">
        <f t="array" ref="C322">INDEX(Triagem!$B$2:$B451 , MATCH(A322,Triagem!$A$2:$A451,0))</f>
        <v>2023</v>
      </c>
      <c r="D322" s="2" t="s">
        <v>1642</v>
      </c>
      <c r="E322" s="2" t="s">
        <v>1643</v>
      </c>
      <c r="F322" s="2" t="str">
        <f t="array" ref="F322">IFERROR(INDEX(Triagem!$I$2:$I$451,MATCH($A322,Triagem!$A$2:$A$451,0))&amp;"","")</f>
        <v>Excluir</v>
      </c>
      <c r="G322" s="2" t="str">
        <f t="array" ref="G322">IFERROR(INDEX('Revisão_Gemini'!$H$7:$H$456,MATCH($A322,'Revisão_Gemini'!$A$7:$A$456,0))&amp;"","")</f>
        <v>Excluir</v>
      </c>
      <c r="H322" s="2" t="str">
        <f t="array" ref="H322">IFERROR(INDEX('Revisão_ChatGPT'!$H$7:$H$456,MATCH($A322,'Revisão_ChatGPT'!$A$7:$A$456,0))&amp;"","")</f>
        <v>Excluir</v>
      </c>
      <c r="I322" s="2" t="str">
        <f t="shared" si="1"/>
        <v>3/3</v>
      </c>
      <c r="J322" s="21"/>
      <c r="K322" s="21"/>
      <c r="L322" s="21"/>
      <c r="M322" s="22" t="b">
        <f t="shared" si="2"/>
        <v>0</v>
      </c>
      <c r="N322" s="21" t="s">
        <v>3346</v>
      </c>
      <c r="O322" s="2" t="str">
        <f t="shared" si="3"/>
        <v>Fora do recorte anual + Excluir</v>
      </c>
      <c r="P322" s="2" t="str">
        <f t="array" ref="P322">IF(O322&lt;&gt;"Incluir","",IF(K322&lt;&gt;"",K322,IF(IFERROR(INDEX(Triagem!$J$2:$J$451,MATCH($A322,Triagem!$A$2:$A$451,0))&amp;"","")&lt;&gt;"",IFERROR(INDEX(Triagem!$J$2:$J$451,MATCH($A322,Triagem!$A$2:$A$451,0))&amp;"",""),IF(IFERROR(INDEX('Revisão_Gemini'!$I$7:$I$456,MATCH($A322,'Revisão_Gemini'!$A$7:$A$456,0))&amp;"","")&lt;&gt;"",IFERROR(INDEX('Revisão_Gemini'!$I$7:$I$456,MATCH($A322,'Revisão_Gemini'!$A$7:$A$456,0))&amp;"",""),IFERROR(INDEX('Revisão_ChatGPT'!$I$7:$I$456,MATCH($A322,'Revisão_ChatGPT'!$A$7:$A$456,0))&amp;"","")))))</f>
        <v/>
      </c>
      <c r="Q322" s="2" t="str">
        <f t="array" ref="Q322">IF(O322&lt;&gt;"Excluir","",IF(L322&lt;&gt;"",L322,IF(F322="Excluir",IFERROR(INDEX(Triagem!$K$2:$K$451,MATCH($A322,Triagem!$A$2:$A$451,0))&amp;"",""),IF(G322="Excluir",IFERROR(INDEX('Revisão_Gemini'!$J$7:$J$456,MATCH($A322,'Revisão_Gemini'!$A$7:$A$456,0))&amp;"",""),IFERROR(INDEX('Revisão_ChatGPT'!$J$7:$J$456,MATCH($A322,'Revisão_ChatGPT'!$A$7:$A$456,0))&amp;"","")))))</f>
        <v/>
      </c>
    </row>
    <row r="323" ht="15.75" customHeight="1">
      <c r="A323" s="2" t="s">
        <v>1166</v>
      </c>
      <c r="B323" s="19" t="str">
        <f t="array" ref="B323">INDEX(Triagem!$N$2:$N451 , MATCH(A323,Triagem!$A$2:$A451,0))</f>
        <v>abrir</v>
      </c>
      <c r="C323" s="20">
        <f t="array" ref="C323">INDEX(Triagem!$B$2:$B451 , MATCH(A323,Triagem!$A$2:$A451,0))</f>
        <v>2022</v>
      </c>
      <c r="D323" s="2" t="s">
        <v>1168</v>
      </c>
      <c r="E323" s="2" t="s">
        <v>1169</v>
      </c>
      <c r="F323" s="2" t="str">
        <f t="array" ref="F323">IFERROR(INDEX(Triagem!$I$2:$I$451,MATCH($A323,Triagem!$A$2:$A$451,0))&amp;"","")</f>
        <v>Excluir</v>
      </c>
      <c r="G323" s="2" t="str">
        <f t="array" ref="G323">IFERROR(INDEX('Revisão_Gemini'!$H$7:$H$456,MATCH($A323,'Revisão_Gemini'!$A$7:$A$456,0))&amp;"","")</f>
        <v>Excluir</v>
      </c>
      <c r="H323" s="2" t="str">
        <f t="array" ref="H323">IFERROR(INDEX('Revisão_ChatGPT'!$H$7:$H$456,MATCH($A323,'Revisão_ChatGPT'!$A$7:$A$456,0))&amp;"","")</f>
        <v>Excluir</v>
      </c>
      <c r="I323" s="2" t="str">
        <f t="shared" si="1"/>
        <v>3/3</v>
      </c>
      <c r="J323" s="21"/>
      <c r="K323" s="21"/>
      <c r="L323" s="21"/>
      <c r="M323" s="22" t="b">
        <f t="shared" si="2"/>
        <v>0</v>
      </c>
      <c r="N323" s="21" t="s">
        <v>3347</v>
      </c>
      <c r="O323" s="2" t="str">
        <f t="shared" si="3"/>
        <v>Fora do recorte anual + Excluir</v>
      </c>
      <c r="P323" s="2" t="str">
        <f t="array" ref="P323">IF(O323&lt;&gt;"Incluir","",IF(K323&lt;&gt;"",K323,IF(IFERROR(INDEX(Triagem!$J$2:$J$451,MATCH($A323,Triagem!$A$2:$A$451,0))&amp;"","")&lt;&gt;"",IFERROR(INDEX(Triagem!$J$2:$J$451,MATCH($A323,Triagem!$A$2:$A$451,0))&amp;"",""),IF(IFERROR(INDEX('Revisão_Gemini'!$I$7:$I$456,MATCH($A323,'Revisão_Gemini'!$A$7:$A$456,0))&amp;"","")&lt;&gt;"",IFERROR(INDEX('Revisão_Gemini'!$I$7:$I$456,MATCH($A323,'Revisão_Gemini'!$A$7:$A$456,0))&amp;"",""),IFERROR(INDEX('Revisão_ChatGPT'!$I$7:$I$456,MATCH($A323,'Revisão_ChatGPT'!$A$7:$A$456,0))&amp;"","")))))</f>
        <v/>
      </c>
      <c r="Q323" s="2" t="str">
        <f t="array" ref="Q323">IF(O323&lt;&gt;"Excluir","",IF(L323&lt;&gt;"",L323,IF(F323="Excluir",IFERROR(INDEX(Triagem!$K$2:$K$451,MATCH($A323,Triagem!$A$2:$A$451,0))&amp;"",""),IF(G323="Excluir",IFERROR(INDEX('Revisão_Gemini'!$J$7:$J$456,MATCH($A323,'Revisão_Gemini'!$A$7:$A$456,0))&amp;"",""),IFERROR(INDEX('Revisão_ChatGPT'!$J$7:$J$456,MATCH($A323,'Revisão_ChatGPT'!$A$7:$A$456,0))&amp;"","")))))</f>
        <v/>
      </c>
    </row>
    <row r="324" ht="15.75" customHeight="1">
      <c r="A324" s="2" t="s">
        <v>1171</v>
      </c>
      <c r="B324" s="19" t="str">
        <f t="array" ref="B324">INDEX(Triagem!$N$2:$N451 , MATCH(A324,Triagem!$A$2:$A451,0))</f>
        <v>abrir</v>
      </c>
      <c r="C324" s="20">
        <f t="array" ref="C324">INDEX(Triagem!$B$2:$B451 , MATCH(A324,Triagem!$A$2:$A451,0))</f>
        <v>2022</v>
      </c>
      <c r="D324" s="2" t="s">
        <v>1173</v>
      </c>
      <c r="E324" s="2" t="s">
        <v>1174</v>
      </c>
      <c r="F324" s="2" t="str">
        <f t="array" ref="F324">IFERROR(INDEX(Triagem!$I$2:$I$451,MATCH($A324,Triagem!$A$2:$A$451,0))&amp;"","")</f>
        <v>Excluir</v>
      </c>
      <c r="G324" s="2" t="str">
        <f t="array" ref="G324">IFERROR(INDEX('Revisão_Gemini'!$H$7:$H$456,MATCH($A324,'Revisão_Gemini'!$A$7:$A$456,0))&amp;"","")</f>
        <v>Excluir</v>
      </c>
      <c r="H324" s="2" t="str">
        <f t="array" ref="H324">IFERROR(INDEX('Revisão_ChatGPT'!$H$7:$H$456,MATCH($A324,'Revisão_ChatGPT'!$A$7:$A$456,0))&amp;"","")</f>
        <v>Excluir</v>
      </c>
      <c r="I324" s="2" t="str">
        <f t="shared" si="1"/>
        <v>3/3</v>
      </c>
      <c r="J324" s="21"/>
      <c r="K324" s="21"/>
      <c r="L324" s="21"/>
      <c r="M324" s="22" t="b">
        <f t="shared" si="2"/>
        <v>0</v>
      </c>
      <c r="N324" s="21"/>
      <c r="O324" s="2" t="str">
        <f t="shared" si="3"/>
        <v>Fora do recorte anual + Excluir</v>
      </c>
      <c r="P324" s="2" t="str">
        <f t="array" ref="P324">IF(O324&lt;&gt;"Incluir","",IF(K324&lt;&gt;"",K324,IF(IFERROR(INDEX(Triagem!$J$2:$J$451,MATCH($A324,Triagem!$A$2:$A$451,0))&amp;"","")&lt;&gt;"",IFERROR(INDEX(Triagem!$J$2:$J$451,MATCH($A324,Triagem!$A$2:$A$451,0))&amp;"",""),IF(IFERROR(INDEX('Revisão_Gemini'!$I$7:$I$456,MATCH($A324,'Revisão_Gemini'!$A$7:$A$456,0))&amp;"","")&lt;&gt;"",IFERROR(INDEX('Revisão_Gemini'!$I$7:$I$456,MATCH($A324,'Revisão_Gemini'!$A$7:$A$456,0))&amp;"",""),IFERROR(INDEX('Revisão_ChatGPT'!$I$7:$I$456,MATCH($A324,'Revisão_ChatGPT'!$A$7:$A$456,0))&amp;"","")))))</f>
        <v/>
      </c>
      <c r="Q324" s="2" t="str">
        <f t="array" ref="Q324">IF(O324&lt;&gt;"Excluir","",IF(L324&lt;&gt;"",L324,IF(F324="Excluir",IFERROR(INDEX(Triagem!$K$2:$K$451,MATCH($A324,Triagem!$A$2:$A$451,0))&amp;"",""),IF(G324="Excluir",IFERROR(INDEX('Revisão_Gemini'!$J$7:$J$456,MATCH($A324,'Revisão_Gemini'!$A$7:$A$456,0))&amp;"",""),IFERROR(INDEX('Revisão_ChatGPT'!$J$7:$J$456,MATCH($A324,'Revisão_ChatGPT'!$A$7:$A$456,0))&amp;"","")))))</f>
        <v/>
      </c>
    </row>
    <row r="325" ht="15.75" customHeight="1">
      <c r="A325" s="2" t="s">
        <v>1998</v>
      </c>
      <c r="B325" s="19" t="str">
        <f t="array" ref="B325">INDEX(Triagem!$N$2:$N451 , MATCH(A325,Triagem!$A$2:$A451,0))</f>
        <v>abrir</v>
      </c>
      <c r="C325" s="20">
        <f t="array" ref="C325">INDEX(Triagem!$B$2:$B451 , MATCH(A325,Triagem!$A$2:$A451,0))</f>
        <v>2022</v>
      </c>
      <c r="D325" s="2" t="s">
        <v>2000</v>
      </c>
      <c r="E325" s="2" t="s">
        <v>2001</v>
      </c>
      <c r="F325" s="2" t="str">
        <f t="array" ref="F325">IFERROR(INDEX(Triagem!$I$2:$I$451,MATCH($A325,Triagem!$A$2:$A$451,0))&amp;"","")</f>
        <v>Excluir</v>
      </c>
      <c r="G325" s="2" t="str">
        <f t="array" ref="G325">IFERROR(INDEX('Revisão_Gemini'!$H$7:$H$456,MATCH($A325,'Revisão_Gemini'!$A$7:$A$456,0))&amp;"","")</f>
        <v>Excluir</v>
      </c>
      <c r="H325" s="2" t="str">
        <f t="array" ref="H325">IFERROR(INDEX('Revisão_ChatGPT'!$H$7:$H$456,MATCH($A325,'Revisão_ChatGPT'!$A$7:$A$456,0))&amp;"","")</f>
        <v>Excluir</v>
      </c>
      <c r="I325" s="2" t="str">
        <f t="shared" si="1"/>
        <v>3/3</v>
      </c>
      <c r="J325" s="21"/>
      <c r="K325" s="21"/>
      <c r="L325" s="21"/>
      <c r="M325" s="22" t="b">
        <f t="shared" si="2"/>
        <v>0</v>
      </c>
      <c r="N325" s="21" t="s">
        <v>3348</v>
      </c>
      <c r="O325" s="2" t="str">
        <f t="shared" si="3"/>
        <v>Fora do recorte anual + Excluir</v>
      </c>
      <c r="P325" s="2" t="str">
        <f t="array" ref="P325">IF(O325&lt;&gt;"Incluir","",IF(K325&lt;&gt;"",K325,IF(IFERROR(INDEX(Triagem!$J$2:$J$451,MATCH($A325,Triagem!$A$2:$A$451,0))&amp;"","")&lt;&gt;"",IFERROR(INDEX(Triagem!$J$2:$J$451,MATCH($A325,Triagem!$A$2:$A$451,0))&amp;"",""),IF(IFERROR(INDEX('Revisão_Gemini'!$I$7:$I$456,MATCH($A325,'Revisão_Gemini'!$A$7:$A$456,0))&amp;"","")&lt;&gt;"",IFERROR(INDEX('Revisão_Gemini'!$I$7:$I$456,MATCH($A325,'Revisão_Gemini'!$A$7:$A$456,0))&amp;"",""),IFERROR(INDEX('Revisão_ChatGPT'!$I$7:$I$456,MATCH($A325,'Revisão_ChatGPT'!$A$7:$A$456,0))&amp;"","")))))</f>
        <v/>
      </c>
      <c r="Q325" s="2" t="str">
        <f t="array" ref="Q325">IF(O325&lt;&gt;"Excluir","",IF(L325&lt;&gt;"",L325,IF(F325="Excluir",IFERROR(INDEX(Triagem!$K$2:$K$451,MATCH($A325,Triagem!$A$2:$A$451,0))&amp;"",""),IF(G325="Excluir",IFERROR(INDEX('Revisão_Gemini'!$J$7:$J$456,MATCH($A325,'Revisão_Gemini'!$A$7:$A$456,0))&amp;"",""),IFERROR(INDEX('Revisão_ChatGPT'!$J$7:$J$456,MATCH($A325,'Revisão_ChatGPT'!$A$7:$A$456,0))&amp;"","")))))</f>
        <v/>
      </c>
    </row>
    <row r="326" ht="15.75" customHeight="1">
      <c r="A326" s="2" t="s">
        <v>220</v>
      </c>
      <c r="B326" s="19" t="str">
        <f t="array" ref="B326">INDEX(Triagem!$N$2:$N451 , MATCH(A326,Triagem!$A$2:$A451,0))</f>
        <v>abrir</v>
      </c>
      <c r="C326" s="20">
        <f t="array" ref="C326">INDEX(Triagem!$B$2:$B451 , MATCH(A326,Triagem!$A$2:$A451,0))</f>
        <v>2023</v>
      </c>
      <c r="D326" s="2" t="s">
        <v>222</v>
      </c>
      <c r="E326" s="2" t="s">
        <v>223</v>
      </c>
      <c r="F326" s="2" t="str">
        <f t="array" ref="F326">IFERROR(INDEX(Triagem!$I$2:$I$451,MATCH($A326,Triagem!$A$2:$A$451,0))&amp;"","")</f>
        <v>Incluir</v>
      </c>
      <c r="G326" s="2" t="str">
        <f t="array" ref="G326">IFERROR(INDEX('Revisão_Gemini'!$H$7:$H$456,MATCH($A326,'Revisão_Gemini'!$A$7:$A$456,0))&amp;"","")</f>
        <v>Incluir</v>
      </c>
      <c r="H326" s="2" t="str">
        <f t="array" ref="H326">IFERROR(INDEX('Revisão_ChatGPT'!$H$7:$H$456,MATCH($A326,'Revisão_ChatGPT'!$A$7:$A$456,0))&amp;"","")</f>
        <v>Excluir</v>
      </c>
      <c r="I326" s="2" t="str">
        <f t="shared" si="1"/>
        <v>2/3</v>
      </c>
      <c r="J326" s="21" t="s">
        <v>98</v>
      </c>
      <c r="K326" s="21"/>
      <c r="L326" s="21"/>
      <c r="M326" s="22" t="b">
        <f t="shared" si="2"/>
        <v>0</v>
      </c>
      <c r="N326" s="21" t="s">
        <v>3349</v>
      </c>
      <c r="O326" s="2" t="str">
        <f t="shared" si="3"/>
        <v>Fora do recorte anual + Incluir</v>
      </c>
      <c r="P326" s="2" t="str">
        <f t="array" ref="P326">IF(O326&lt;&gt;"Incluir","",IF(K326&lt;&gt;"",K326,IF(IFERROR(INDEX(Triagem!$J$2:$J$451,MATCH($A326,Triagem!$A$2:$A$451,0))&amp;"","")&lt;&gt;"",IFERROR(INDEX(Triagem!$J$2:$J$451,MATCH($A326,Triagem!$A$2:$A$451,0))&amp;"",""),IF(IFERROR(INDEX('Revisão_Gemini'!$I$7:$I$456,MATCH($A326,'Revisão_Gemini'!$A$7:$A$456,0))&amp;"","")&lt;&gt;"",IFERROR(INDEX('Revisão_Gemini'!$I$7:$I$456,MATCH($A326,'Revisão_Gemini'!$A$7:$A$456,0))&amp;"",""),IFERROR(INDEX('Revisão_ChatGPT'!$I$7:$I$456,MATCH($A326,'Revisão_ChatGPT'!$A$7:$A$456,0))&amp;"","")))))</f>
        <v/>
      </c>
      <c r="Q326" s="2" t="str">
        <f t="array" ref="Q326">IF(O326&lt;&gt;"Excluir","",IF(L326&lt;&gt;"",L326,IF(F326="Excluir",IFERROR(INDEX(Triagem!$K$2:$K$451,MATCH($A326,Triagem!$A$2:$A$451,0))&amp;"",""),IF(G326="Excluir",IFERROR(INDEX('Revisão_Gemini'!$J$7:$J$456,MATCH($A326,'Revisão_Gemini'!$A$7:$A$456,0))&amp;"",""),IFERROR(INDEX('Revisão_ChatGPT'!$J$7:$J$456,MATCH($A326,'Revisão_ChatGPT'!$A$7:$A$456,0))&amp;"","")))))</f>
        <v/>
      </c>
    </row>
    <row r="327" ht="15.75" customHeight="1">
      <c r="A327" s="2" t="s">
        <v>294</v>
      </c>
      <c r="B327" s="19" t="str">
        <f t="array" ref="B327">INDEX(Triagem!$N$2:$N451 , MATCH(A327,Triagem!$A$2:$A451,0))</f>
        <v>abrir</v>
      </c>
      <c r="C327" s="20">
        <f t="array" ref="C327">INDEX(Triagem!$B$2:$B451 , MATCH(A327,Triagem!$A$2:$A451,0))</f>
        <v>2022</v>
      </c>
      <c r="D327" s="2" t="s">
        <v>296</v>
      </c>
      <c r="E327" s="2" t="s">
        <v>297</v>
      </c>
      <c r="F327" s="2" t="str">
        <f t="array" ref="F327">IFERROR(INDEX(Triagem!$I$2:$I$451,MATCH($A327,Triagem!$A$2:$A$451,0))&amp;"","")</f>
        <v>Incluir</v>
      </c>
      <c r="G327" s="2" t="str">
        <f t="array" ref="G327">IFERROR(INDEX('Revisão_Gemini'!$H$7:$H$456,MATCH($A327,'Revisão_Gemini'!$A$7:$A$456,0))&amp;"","")</f>
        <v>Incluir</v>
      </c>
      <c r="H327" s="2" t="str">
        <f t="array" ref="H327">IFERROR(INDEX('Revisão_ChatGPT'!$H$7:$H$456,MATCH($A327,'Revisão_ChatGPT'!$A$7:$A$456,0))&amp;"","")</f>
        <v>Incluir</v>
      </c>
      <c r="I327" s="2" t="str">
        <f t="shared" si="1"/>
        <v>3/3</v>
      </c>
      <c r="J327" s="21"/>
      <c r="K327" s="21"/>
      <c r="L327" s="21"/>
      <c r="M327" s="22" t="b">
        <f t="shared" si="2"/>
        <v>0</v>
      </c>
      <c r="N327" s="21" t="s">
        <v>3350</v>
      </c>
      <c r="O327" s="2" t="str">
        <f t="shared" si="3"/>
        <v>Fora do recorte anual + Incluir</v>
      </c>
      <c r="P327" s="2" t="str">
        <f t="array" ref="P327">IF(O327&lt;&gt;"Incluir","",IF(K327&lt;&gt;"",K327,IF(IFERROR(INDEX(Triagem!$J$2:$J$451,MATCH($A327,Triagem!$A$2:$A$451,0))&amp;"","")&lt;&gt;"",IFERROR(INDEX(Triagem!$J$2:$J$451,MATCH($A327,Triagem!$A$2:$A$451,0))&amp;"",""),IF(IFERROR(INDEX('Revisão_Gemini'!$I$7:$I$456,MATCH($A327,'Revisão_Gemini'!$A$7:$A$456,0))&amp;"","")&lt;&gt;"",IFERROR(INDEX('Revisão_Gemini'!$I$7:$I$456,MATCH($A327,'Revisão_Gemini'!$A$7:$A$456,0))&amp;"",""),IFERROR(INDEX('Revisão_ChatGPT'!$I$7:$I$456,MATCH($A327,'Revisão_ChatGPT'!$A$7:$A$456,0))&amp;"","")))))</f>
        <v/>
      </c>
      <c r="Q327" s="2" t="str">
        <f t="array" ref="Q327">IF(O327&lt;&gt;"Excluir","",IF(L327&lt;&gt;"",L327,IF(F327="Excluir",IFERROR(INDEX(Triagem!$K$2:$K$451,MATCH($A327,Triagem!$A$2:$A$451,0))&amp;"",""),IF(G327="Excluir",IFERROR(INDEX('Revisão_Gemini'!$J$7:$J$456,MATCH($A327,'Revisão_Gemini'!$A$7:$A$456,0))&amp;"",""),IFERROR(INDEX('Revisão_ChatGPT'!$J$7:$J$456,MATCH($A327,'Revisão_ChatGPT'!$A$7:$A$456,0))&amp;"","")))))</f>
        <v/>
      </c>
    </row>
    <row r="328" ht="15.75" customHeight="1">
      <c r="A328" s="2" t="s">
        <v>1644</v>
      </c>
      <c r="B328" s="19" t="str">
        <f t="array" ref="B328">INDEX(Triagem!$N$2:$N451 , MATCH(A328,Triagem!$A$2:$A451,0))</f>
        <v>abrir</v>
      </c>
      <c r="C328" s="20">
        <f t="array" ref="C328">INDEX(Triagem!$B$2:$B451 , MATCH(A328,Triagem!$A$2:$A451,0))</f>
        <v>2023</v>
      </c>
      <c r="D328" s="2" t="s">
        <v>1646</v>
      </c>
      <c r="E328" s="2" t="s">
        <v>1647</v>
      </c>
      <c r="F328" s="2" t="str">
        <f t="array" ref="F328">IFERROR(INDEX(Triagem!$I$2:$I$451,MATCH($A328,Triagem!$A$2:$A$451,0))&amp;"","")</f>
        <v>Excluir</v>
      </c>
      <c r="G328" s="2" t="str">
        <f t="array" ref="G328">IFERROR(INDEX('Revisão_Gemini'!$H$7:$H$456,MATCH($A328,'Revisão_Gemini'!$A$7:$A$456,0))&amp;"","")</f>
        <v>Excluir</v>
      </c>
      <c r="H328" s="2" t="str">
        <f t="array" ref="H328">IFERROR(INDEX('Revisão_ChatGPT'!$H$7:$H$456,MATCH($A328,'Revisão_ChatGPT'!$A$7:$A$456,0))&amp;"","")</f>
        <v>Excluir</v>
      </c>
      <c r="I328" s="2" t="str">
        <f t="shared" si="1"/>
        <v>3/3</v>
      </c>
      <c r="J328" s="21"/>
      <c r="K328" s="21"/>
      <c r="L328" s="21"/>
      <c r="M328" s="22" t="b">
        <f t="shared" si="2"/>
        <v>0</v>
      </c>
      <c r="N328" s="21" t="s">
        <v>3351</v>
      </c>
      <c r="O328" s="2" t="str">
        <f t="shared" si="3"/>
        <v>Fora do recorte anual + Excluir</v>
      </c>
      <c r="P328" s="2" t="str">
        <f t="array" ref="P328">IF(O328&lt;&gt;"Incluir","",IF(K328&lt;&gt;"",K328,IF(IFERROR(INDEX(Triagem!$J$2:$J$451,MATCH($A328,Triagem!$A$2:$A$451,0))&amp;"","")&lt;&gt;"",IFERROR(INDEX(Triagem!$J$2:$J$451,MATCH($A328,Triagem!$A$2:$A$451,0))&amp;"",""),IF(IFERROR(INDEX('Revisão_Gemini'!$I$7:$I$456,MATCH($A328,'Revisão_Gemini'!$A$7:$A$456,0))&amp;"","")&lt;&gt;"",IFERROR(INDEX('Revisão_Gemini'!$I$7:$I$456,MATCH($A328,'Revisão_Gemini'!$A$7:$A$456,0))&amp;"",""),IFERROR(INDEX('Revisão_ChatGPT'!$I$7:$I$456,MATCH($A328,'Revisão_ChatGPT'!$A$7:$A$456,0))&amp;"","")))))</f>
        <v/>
      </c>
      <c r="Q328" s="2" t="str">
        <f t="array" ref="Q328">IF(O328&lt;&gt;"Excluir","",IF(L328&lt;&gt;"",L328,IF(F328="Excluir",IFERROR(INDEX(Triagem!$K$2:$K$451,MATCH($A328,Triagem!$A$2:$A$451,0))&amp;"",""),IF(G328="Excluir",IFERROR(INDEX('Revisão_Gemini'!$J$7:$J$456,MATCH($A328,'Revisão_Gemini'!$A$7:$A$456,0))&amp;"",""),IFERROR(INDEX('Revisão_ChatGPT'!$J$7:$J$456,MATCH($A328,'Revisão_ChatGPT'!$A$7:$A$456,0))&amp;"","")))))</f>
        <v/>
      </c>
    </row>
    <row r="329" ht="15.75" customHeight="1">
      <c r="A329" s="2" t="s">
        <v>300</v>
      </c>
      <c r="B329" s="19" t="str">
        <f t="array" ref="B329">INDEX(Triagem!$N$2:$N451 , MATCH(A329,Triagem!$A$2:$A451,0))</f>
        <v>abrir</v>
      </c>
      <c r="C329" s="20">
        <f t="array" ref="C329">INDEX(Triagem!$B$2:$B451 , MATCH(A329,Triagem!$A$2:$A451,0))</f>
        <v>2022</v>
      </c>
      <c r="D329" s="2" t="s">
        <v>302</v>
      </c>
      <c r="E329" s="2" t="s">
        <v>303</v>
      </c>
      <c r="F329" s="2" t="str">
        <f t="array" ref="F329">IFERROR(INDEX(Triagem!$I$2:$I$451,MATCH($A329,Triagem!$A$2:$A$451,0))&amp;"","")</f>
        <v>Incluir</v>
      </c>
      <c r="G329" s="2" t="str">
        <f t="array" ref="G329">IFERROR(INDEX('Revisão_Gemini'!$H$7:$H$456,MATCH($A329,'Revisão_Gemini'!$A$7:$A$456,0))&amp;"","")</f>
        <v>Incluir</v>
      </c>
      <c r="H329" s="2" t="str">
        <f t="array" ref="H329">IFERROR(INDEX('Revisão_ChatGPT'!$H$7:$H$456,MATCH($A329,'Revisão_ChatGPT'!$A$7:$A$456,0))&amp;"","")</f>
        <v>Incluir</v>
      </c>
      <c r="I329" s="2" t="str">
        <f t="shared" si="1"/>
        <v>3/3</v>
      </c>
      <c r="J329" s="21"/>
      <c r="K329" s="21"/>
      <c r="L329" s="21"/>
      <c r="M329" s="22" t="b">
        <f t="shared" si="2"/>
        <v>0</v>
      </c>
      <c r="N329" s="21" t="s">
        <v>3352</v>
      </c>
      <c r="O329" s="2" t="str">
        <f t="shared" si="3"/>
        <v>Fora do recorte anual + Incluir</v>
      </c>
      <c r="P329" s="2" t="str">
        <f t="array" ref="P329">IF(O329&lt;&gt;"Incluir","",IF(K329&lt;&gt;"",K329,IF(IFERROR(INDEX(Triagem!$J$2:$J$451,MATCH($A329,Triagem!$A$2:$A$451,0))&amp;"","")&lt;&gt;"",IFERROR(INDEX(Triagem!$J$2:$J$451,MATCH($A329,Triagem!$A$2:$A$451,0))&amp;"",""),IF(IFERROR(INDEX('Revisão_Gemini'!$I$7:$I$456,MATCH($A329,'Revisão_Gemini'!$A$7:$A$456,0))&amp;"","")&lt;&gt;"",IFERROR(INDEX('Revisão_Gemini'!$I$7:$I$456,MATCH($A329,'Revisão_Gemini'!$A$7:$A$456,0))&amp;"",""),IFERROR(INDEX('Revisão_ChatGPT'!$I$7:$I$456,MATCH($A329,'Revisão_ChatGPT'!$A$7:$A$456,0))&amp;"","")))))</f>
        <v/>
      </c>
      <c r="Q329" s="2" t="str">
        <f t="array" ref="Q329">IF(O329&lt;&gt;"Excluir","",IF(L329&lt;&gt;"",L329,IF(F329="Excluir",IFERROR(INDEX(Triagem!$K$2:$K$451,MATCH($A329,Triagem!$A$2:$A$451,0))&amp;"",""),IF(G329="Excluir",IFERROR(INDEX('Revisão_Gemini'!$J$7:$J$456,MATCH($A329,'Revisão_Gemini'!$A$7:$A$456,0))&amp;"",""),IFERROR(INDEX('Revisão_ChatGPT'!$J$7:$J$456,MATCH($A329,'Revisão_ChatGPT'!$A$7:$A$456,0))&amp;"","")))))</f>
        <v/>
      </c>
    </row>
    <row r="330" ht="15.75" customHeight="1">
      <c r="A330" s="2" t="s">
        <v>224</v>
      </c>
      <c r="B330" s="19" t="str">
        <f t="array" ref="B330">INDEX(Triagem!$N$2:$N451 , MATCH(A330,Triagem!$A$2:$A451,0))</f>
        <v>abrir</v>
      </c>
      <c r="C330" s="20">
        <f t="array" ref="C330">INDEX(Triagem!$B$2:$B451 , MATCH(A330,Triagem!$A$2:$A451,0))</f>
        <v>2023</v>
      </c>
      <c r="D330" s="2" t="s">
        <v>226</v>
      </c>
      <c r="E330" s="2" t="s">
        <v>227</v>
      </c>
      <c r="F330" s="2" t="str">
        <f t="array" ref="F330">IFERROR(INDEX(Triagem!$I$2:$I$451,MATCH($A330,Triagem!$A$2:$A$451,0))&amp;"","")</f>
        <v>Incluir</v>
      </c>
      <c r="G330" s="2" t="str">
        <f t="array" ref="G330">IFERROR(INDEX('Revisão_Gemini'!$H$7:$H$456,MATCH($A330,'Revisão_Gemini'!$A$7:$A$456,0))&amp;"","")</f>
        <v>Incluir</v>
      </c>
      <c r="H330" s="2" t="str">
        <f t="array" ref="H330">IFERROR(INDEX('Revisão_ChatGPT'!$H$7:$H$456,MATCH($A330,'Revisão_ChatGPT'!$A$7:$A$456,0))&amp;"","")</f>
        <v>Incluir</v>
      </c>
      <c r="I330" s="2" t="str">
        <f t="shared" si="1"/>
        <v>3/3</v>
      </c>
      <c r="J330" s="21"/>
      <c r="K330" s="21"/>
      <c r="L330" s="21"/>
      <c r="M330" s="22" t="b">
        <f t="shared" si="2"/>
        <v>0</v>
      </c>
      <c r="N330" s="21" t="s">
        <v>3353</v>
      </c>
      <c r="O330" s="2" t="str">
        <f t="shared" si="3"/>
        <v>Fora do recorte anual + Incluir</v>
      </c>
      <c r="P330" s="2" t="str">
        <f t="array" ref="P330">IF(O330&lt;&gt;"Incluir","",IF(K330&lt;&gt;"",K330,IF(IFERROR(INDEX(Triagem!$J$2:$J$451,MATCH($A330,Triagem!$A$2:$A$451,0))&amp;"","")&lt;&gt;"",IFERROR(INDEX(Triagem!$J$2:$J$451,MATCH($A330,Triagem!$A$2:$A$451,0))&amp;"",""),IF(IFERROR(INDEX('Revisão_Gemini'!$I$7:$I$456,MATCH($A330,'Revisão_Gemini'!$A$7:$A$456,0))&amp;"","")&lt;&gt;"",IFERROR(INDEX('Revisão_Gemini'!$I$7:$I$456,MATCH($A330,'Revisão_Gemini'!$A$7:$A$456,0))&amp;"",""),IFERROR(INDEX('Revisão_ChatGPT'!$I$7:$I$456,MATCH($A330,'Revisão_ChatGPT'!$A$7:$A$456,0))&amp;"","")))))</f>
        <v/>
      </c>
      <c r="Q330" s="2" t="str">
        <f t="array" ref="Q330">IF(O330&lt;&gt;"Excluir","",IF(L330&lt;&gt;"",L330,IF(F330="Excluir",IFERROR(INDEX(Triagem!$K$2:$K$451,MATCH($A330,Triagem!$A$2:$A$451,0))&amp;"",""),IF(G330="Excluir",IFERROR(INDEX('Revisão_Gemini'!$J$7:$J$456,MATCH($A330,'Revisão_Gemini'!$A$7:$A$456,0))&amp;"",""),IFERROR(INDEX('Revisão_ChatGPT'!$J$7:$J$456,MATCH($A330,'Revisão_ChatGPT'!$A$7:$A$456,0))&amp;"","")))))</f>
        <v/>
      </c>
    </row>
    <row r="331" ht="15.75" customHeight="1">
      <c r="A331" s="2" t="s">
        <v>229</v>
      </c>
      <c r="B331" s="19" t="str">
        <f t="array" ref="B331">INDEX(Triagem!$N$2:$N451 , MATCH(A331,Triagem!$A$2:$A451,0))</f>
        <v>abrir</v>
      </c>
      <c r="C331" s="20">
        <f t="array" ref="C331">INDEX(Triagem!$B$2:$B451 , MATCH(A331,Triagem!$A$2:$A451,0))</f>
        <v>2023</v>
      </c>
      <c r="D331" s="2" t="s">
        <v>231</v>
      </c>
      <c r="E331" s="2" t="s">
        <v>232</v>
      </c>
      <c r="F331" s="2" t="str">
        <f t="array" ref="F331">IFERROR(INDEX(Triagem!$I$2:$I$451,MATCH($A331,Triagem!$A$2:$A$451,0))&amp;"","")</f>
        <v>Incluir</v>
      </c>
      <c r="G331" s="2" t="str">
        <f t="array" ref="G331">IFERROR(INDEX('Revisão_Gemini'!$H$7:$H$456,MATCH($A331,'Revisão_Gemini'!$A$7:$A$456,0))&amp;"","")</f>
        <v>Incluir</v>
      </c>
      <c r="H331" s="2" t="str">
        <f t="array" ref="H331">IFERROR(INDEX('Revisão_ChatGPT'!$H$7:$H$456,MATCH($A331,'Revisão_ChatGPT'!$A$7:$A$456,0))&amp;"","")</f>
        <v>Incluir</v>
      </c>
      <c r="I331" s="2" t="str">
        <f t="shared" si="1"/>
        <v>3/3</v>
      </c>
      <c r="J331" s="21"/>
      <c r="K331" s="21"/>
      <c r="L331" s="21"/>
      <c r="M331" s="22" t="b">
        <f t="shared" si="2"/>
        <v>0</v>
      </c>
      <c r="N331" s="21" t="s">
        <v>3354</v>
      </c>
      <c r="O331" s="2" t="str">
        <f t="shared" si="3"/>
        <v>Fora do recorte anual + Incluir</v>
      </c>
      <c r="P331" s="2" t="str">
        <f t="array" ref="P331">IF(O331&lt;&gt;"Incluir","",IF(K331&lt;&gt;"",K331,IF(IFERROR(INDEX(Triagem!$J$2:$J$451,MATCH($A331,Triagem!$A$2:$A$451,0))&amp;"","")&lt;&gt;"",IFERROR(INDEX(Triagem!$J$2:$J$451,MATCH($A331,Triagem!$A$2:$A$451,0))&amp;"",""),IF(IFERROR(INDEX('Revisão_Gemini'!$I$7:$I$456,MATCH($A331,'Revisão_Gemini'!$A$7:$A$456,0))&amp;"","")&lt;&gt;"",IFERROR(INDEX('Revisão_Gemini'!$I$7:$I$456,MATCH($A331,'Revisão_Gemini'!$A$7:$A$456,0))&amp;"",""),IFERROR(INDEX('Revisão_ChatGPT'!$I$7:$I$456,MATCH($A331,'Revisão_ChatGPT'!$A$7:$A$456,0))&amp;"","")))))</f>
        <v/>
      </c>
      <c r="Q331" s="2" t="str">
        <f t="array" ref="Q331">IF(O331&lt;&gt;"Excluir","",IF(L331&lt;&gt;"",L331,IF(F331="Excluir",IFERROR(INDEX(Triagem!$K$2:$K$451,MATCH($A331,Triagem!$A$2:$A$451,0))&amp;"",""),IF(G331="Excluir",IFERROR(INDEX('Revisão_Gemini'!$J$7:$J$456,MATCH($A331,'Revisão_Gemini'!$A$7:$A$456,0))&amp;"",""),IFERROR(INDEX('Revisão_ChatGPT'!$J$7:$J$456,MATCH($A331,'Revisão_ChatGPT'!$A$7:$A$456,0))&amp;"","")))))</f>
        <v/>
      </c>
    </row>
    <row r="332" ht="15.75" customHeight="1">
      <c r="A332" s="2" t="s">
        <v>234</v>
      </c>
      <c r="B332" s="19" t="str">
        <f t="array" ref="B332">INDEX(Triagem!$N$2:$N451 , MATCH(A332,Triagem!$A$2:$A451,0))</f>
        <v>abrir</v>
      </c>
      <c r="C332" s="20">
        <f t="array" ref="C332">INDEX(Triagem!$B$2:$B451 , MATCH(A332,Triagem!$A$2:$A451,0))</f>
        <v>2023</v>
      </c>
      <c r="D332" s="2" t="s">
        <v>236</v>
      </c>
      <c r="E332" s="2" t="s">
        <v>237</v>
      </c>
      <c r="F332" s="2" t="str">
        <f t="array" ref="F332">IFERROR(INDEX(Triagem!$I$2:$I$451,MATCH($A332,Triagem!$A$2:$A$451,0))&amp;"","")</f>
        <v>Incluir</v>
      </c>
      <c r="G332" s="2" t="str">
        <f t="array" ref="G332">IFERROR(INDEX('Revisão_Gemini'!$H$7:$H$456,MATCH($A332,'Revisão_Gemini'!$A$7:$A$456,0))&amp;"","")</f>
        <v>Incluir</v>
      </c>
      <c r="H332" s="2" t="str">
        <f t="array" ref="H332">IFERROR(INDEX('Revisão_ChatGPT'!$H$7:$H$456,MATCH($A332,'Revisão_ChatGPT'!$A$7:$A$456,0))&amp;"","")</f>
        <v>Incluir</v>
      </c>
      <c r="I332" s="2" t="str">
        <f t="shared" si="1"/>
        <v>3/3</v>
      </c>
      <c r="J332" s="21"/>
      <c r="K332" s="21"/>
      <c r="L332" s="21"/>
      <c r="M332" s="22" t="b">
        <f t="shared" si="2"/>
        <v>0</v>
      </c>
      <c r="N332" s="21" t="s">
        <v>3355</v>
      </c>
      <c r="O332" s="2" t="str">
        <f t="shared" si="3"/>
        <v>Fora do recorte anual + Incluir</v>
      </c>
      <c r="P332" s="2" t="str">
        <f t="array" ref="P332">IF(O332&lt;&gt;"Incluir","",IF(K332&lt;&gt;"",K332,IF(IFERROR(INDEX(Triagem!$J$2:$J$451,MATCH($A332,Triagem!$A$2:$A$451,0))&amp;"","")&lt;&gt;"",IFERROR(INDEX(Triagem!$J$2:$J$451,MATCH($A332,Triagem!$A$2:$A$451,0))&amp;"",""),IF(IFERROR(INDEX('Revisão_Gemini'!$I$7:$I$456,MATCH($A332,'Revisão_Gemini'!$A$7:$A$456,0))&amp;"","")&lt;&gt;"",IFERROR(INDEX('Revisão_Gemini'!$I$7:$I$456,MATCH($A332,'Revisão_Gemini'!$A$7:$A$456,0))&amp;"",""),IFERROR(INDEX('Revisão_ChatGPT'!$I$7:$I$456,MATCH($A332,'Revisão_ChatGPT'!$A$7:$A$456,0))&amp;"","")))))</f>
        <v/>
      </c>
      <c r="Q332" s="2" t="str">
        <f t="array" ref="Q332">IF(O332&lt;&gt;"Excluir","",IF(L332&lt;&gt;"",L332,IF(F332="Excluir",IFERROR(INDEX(Triagem!$K$2:$K$451,MATCH($A332,Triagem!$A$2:$A$451,0))&amp;"",""),IF(G332="Excluir",IFERROR(INDEX('Revisão_Gemini'!$J$7:$J$456,MATCH($A332,'Revisão_Gemini'!$A$7:$A$456,0))&amp;"",""),IFERROR(INDEX('Revisão_ChatGPT'!$J$7:$J$456,MATCH($A332,'Revisão_ChatGPT'!$A$7:$A$456,0))&amp;"","")))))</f>
        <v/>
      </c>
    </row>
    <row r="333" ht="15.75" customHeight="1">
      <c r="A333" s="2" t="s">
        <v>1102</v>
      </c>
      <c r="B333" s="19" t="str">
        <f t="array" ref="B333">INDEX(Triagem!$N$2:$N451 , MATCH(A333,Triagem!$A$2:$A451,0))</f>
        <v>abrir</v>
      </c>
      <c r="C333" s="20">
        <f t="array" ref="C333">INDEX(Triagem!$B$2:$B451 , MATCH(A333,Triagem!$A$2:$A451,0))</f>
        <v>2023</v>
      </c>
      <c r="D333" s="2" t="s">
        <v>1104</v>
      </c>
      <c r="E333" s="2" t="s">
        <v>1105</v>
      </c>
      <c r="F333" s="2" t="str">
        <f t="array" ref="F333">IFERROR(INDEX(Triagem!$I$2:$I$451,MATCH($A333,Triagem!$A$2:$A$451,0))&amp;"","")</f>
        <v>Excluir</v>
      </c>
      <c r="G333" s="2" t="str">
        <f t="array" ref="G333">IFERROR(INDEX('Revisão_Gemini'!$H$7:$H$456,MATCH($A333,'Revisão_Gemini'!$A$7:$A$456,0))&amp;"","")</f>
        <v>Excluir</v>
      </c>
      <c r="H333" s="2" t="str">
        <f t="array" ref="H333">IFERROR(INDEX('Revisão_ChatGPT'!$H$7:$H$456,MATCH($A333,'Revisão_ChatGPT'!$A$7:$A$456,0))&amp;"","")</f>
        <v>Excluir</v>
      </c>
      <c r="I333" s="2" t="str">
        <f t="shared" si="1"/>
        <v>3/3</v>
      </c>
      <c r="J333" s="21"/>
      <c r="K333" s="21"/>
      <c r="L333" s="21"/>
      <c r="M333" s="22" t="b">
        <f t="shared" si="2"/>
        <v>0</v>
      </c>
      <c r="N333" s="21" t="s">
        <v>3356</v>
      </c>
      <c r="O333" s="2" t="str">
        <f t="shared" si="3"/>
        <v>Fora do recorte anual + Excluir</v>
      </c>
      <c r="P333" s="2" t="str">
        <f t="array" ref="P333">IF(O333&lt;&gt;"Incluir","",IF(K333&lt;&gt;"",K333,IF(IFERROR(INDEX(Triagem!$J$2:$J$451,MATCH($A333,Triagem!$A$2:$A$451,0))&amp;"","")&lt;&gt;"",IFERROR(INDEX(Triagem!$J$2:$J$451,MATCH($A333,Triagem!$A$2:$A$451,0))&amp;"",""),IF(IFERROR(INDEX('Revisão_Gemini'!$I$7:$I$456,MATCH($A333,'Revisão_Gemini'!$A$7:$A$456,0))&amp;"","")&lt;&gt;"",IFERROR(INDEX('Revisão_Gemini'!$I$7:$I$456,MATCH($A333,'Revisão_Gemini'!$A$7:$A$456,0))&amp;"",""),IFERROR(INDEX('Revisão_ChatGPT'!$I$7:$I$456,MATCH($A333,'Revisão_ChatGPT'!$A$7:$A$456,0))&amp;"","")))))</f>
        <v/>
      </c>
      <c r="Q333" s="2" t="str">
        <f t="array" ref="Q333">IF(O333&lt;&gt;"Excluir","",IF(L333&lt;&gt;"",L333,IF(F333="Excluir",IFERROR(INDEX(Triagem!$K$2:$K$451,MATCH($A333,Triagem!$A$2:$A$451,0))&amp;"",""),IF(G333="Excluir",IFERROR(INDEX('Revisão_Gemini'!$J$7:$J$456,MATCH($A333,'Revisão_Gemini'!$A$7:$A$456,0))&amp;"",""),IFERROR(INDEX('Revisão_ChatGPT'!$J$7:$J$456,MATCH($A333,'Revisão_ChatGPT'!$A$7:$A$456,0))&amp;"","")))))</f>
        <v/>
      </c>
    </row>
    <row r="334" ht="15.75" customHeight="1">
      <c r="A334" s="2" t="s">
        <v>1648</v>
      </c>
      <c r="B334" s="19" t="str">
        <f t="array" ref="B334">INDEX(Triagem!$N$2:$N451 , MATCH(A334,Triagem!$A$2:$A451,0))</f>
        <v>abrir</v>
      </c>
      <c r="C334" s="20">
        <f t="array" ref="C334">INDEX(Triagem!$B$2:$B451 , MATCH(A334,Triagem!$A$2:$A451,0))</f>
        <v>2023</v>
      </c>
      <c r="D334" s="2" t="s">
        <v>1650</v>
      </c>
      <c r="E334" s="2" t="s">
        <v>1651</v>
      </c>
      <c r="F334" s="2" t="str">
        <f t="array" ref="F334">IFERROR(INDEX(Triagem!$I$2:$I$451,MATCH($A334,Triagem!$A$2:$A$451,0))&amp;"","")</f>
        <v>Excluir</v>
      </c>
      <c r="G334" s="2" t="str">
        <f t="array" ref="G334">IFERROR(INDEX('Revisão_Gemini'!$H$7:$H$456,MATCH($A334,'Revisão_Gemini'!$A$7:$A$456,0))&amp;"","")</f>
        <v>Incluir</v>
      </c>
      <c r="H334" s="2" t="str">
        <f t="array" ref="H334">IFERROR(INDEX('Revisão_ChatGPT'!$H$7:$H$456,MATCH($A334,'Revisão_ChatGPT'!$A$7:$A$456,0))&amp;"","")</f>
        <v>Excluir</v>
      </c>
      <c r="I334" s="2" t="str">
        <f t="shared" si="1"/>
        <v>2/3</v>
      </c>
      <c r="J334" s="21" t="s">
        <v>906</v>
      </c>
      <c r="K334" s="21"/>
      <c r="L334" s="21"/>
      <c r="M334" s="22" t="b">
        <f t="shared" si="2"/>
        <v>0</v>
      </c>
      <c r="N334" s="21" t="s">
        <v>3357</v>
      </c>
      <c r="O334" s="2" t="str">
        <f t="shared" si="3"/>
        <v>Fora do recorte anual + Excluir</v>
      </c>
      <c r="P334" s="2" t="str">
        <f t="array" ref="P334">IF(O334&lt;&gt;"Incluir","",IF(K334&lt;&gt;"",K334,IF(IFERROR(INDEX(Triagem!$J$2:$J$451,MATCH($A334,Triagem!$A$2:$A$451,0))&amp;"","")&lt;&gt;"",IFERROR(INDEX(Triagem!$J$2:$J$451,MATCH($A334,Triagem!$A$2:$A$451,0))&amp;"",""),IF(IFERROR(INDEX('Revisão_Gemini'!$I$7:$I$456,MATCH($A334,'Revisão_Gemini'!$A$7:$A$456,0))&amp;"","")&lt;&gt;"",IFERROR(INDEX('Revisão_Gemini'!$I$7:$I$456,MATCH($A334,'Revisão_Gemini'!$A$7:$A$456,0))&amp;"",""),IFERROR(INDEX('Revisão_ChatGPT'!$I$7:$I$456,MATCH($A334,'Revisão_ChatGPT'!$A$7:$A$456,0))&amp;"","")))))</f>
        <v/>
      </c>
      <c r="Q334" s="2" t="str">
        <f t="array" ref="Q334">IF(O334&lt;&gt;"Excluir","",IF(L334&lt;&gt;"",L334,IF(F334="Excluir",IFERROR(INDEX(Triagem!$K$2:$K$451,MATCH($A334,Triagem!$A$2:$A$451,0))&amp;"",""),IF(G334="Excluir",IFERROR(INDEX('Revisão_Gemini'!$J$7:$J$456,MATCH($A334,'Revisão_Gemini'!$A$7:$A$456,0))&amp;"",""),IFERROR(INDEX('Revisão_ChatGPT'!$J$7:$J$456,MATCH($A334,'Revisão_ChatGPT'!$A$7:$A$456,0))&amp;"","")))))</f>
        <v/>
      </c>
    </row>
    <row r="335" ht="15.75" customHeight="1">
      <c r="A335" s="2" t="s">
        <v>239</v>
      </c>
      <c r="B335" s="19" t="str">
        <f t="array" ref="B335">INDEX(Triagem!$N$2:$N451 , MATCH(A335,Triagem!$A$2:$A451,0))</f>
        <v>abrir</v>
      </c>
      <c r="C335" s="20">
        <f t="array" ref="C335">INDEX(Triagem!$B$2:$B451 , MATCH(A335,Triagem!$A$2:$A451,0))</f>
        <v>2023</v>
      </c>
      <c r="D335" s="2" t="s">
        <v>241</v>
      </c>
      <c r="E335" s="2" t="s">
        <v>242</v>
      </c>
      <c r="F335" s="2" t="str">
        <f t="array" ref="F335">IFERROR(INDEX(Triagem!$I$2:$I$451,MATCH($A335,Triagem!$A$2:$A$451,0))&amp;"","")</f>
        <v>Incluir</v>
      </c>
      <c r="G335" s="2" t="str">
        <f t="array" ref="G335">IFERROR(INDEX('Revisão_Gemini'!$H$7:$H$456,MATCH($A335,'Revisão_Gemini'!$A$7:$A$456,0))&amp;"","")</f>
        <v>Incluir</v>
      </c>
      <c r="H335" s="2" t="str">
        <f t="array" ref="H335">IFERROR(INDEX('Revisão_ChatGPT'!$H$7:$H$456,MATCH($A335,'Revisão_ChatGPT'!$A$7:$A$456,0))&amp;"","")</f>
        <v>Excluir</v>
      </c>
      <c r="I335" s="2" t="str">
        <f t="shared" si="1"/>
        <v>2/3</v>
      </c>
      <c r="J335" s="21" t="s">
        <v>694</v>
      </c>
      <c r="K335" s="21"/>
      <c r="L335" s="21"/>
      <c r="M335" s="22" t="b">
        <f t="shared" si="2"/>
        <v>0</v>
      </c>
      <c r="N335" s="21" t="s">
        <v>3358</v>
      </c>
      <c r="O335" s="2" t="str">
        <f t="shared" si="3"/>
        <v>Fora do recorte anual + Apoio</v>
      </c>
      <c r="P335" s="2" t="str">
        <f t="array" ref="P335">IF(O335&lt;&gt;"Incluir","",IF(K335&lt;&gt;"",K335,IF(IFERROR(INDEX(Triagem!$J$2:$J$451,MATCH($A335,Triagem!$A$2:$A$451,0))&amp;"","")&lt;&gt;"",IFERROR(INDEX(Triagem!$J$2:$J$451,MATCH($A335,Triagem!$A$2:$A$451,0))&amp;"",""),IF(IFERROR(INDEX('Revisão_Gemini'!$I$7:$I$456,MATCH($A335,'Revisão_Gemini'!$A$7:$A$456,0))&amp;"","")&lt;&gt;"",IFERROR(INDEX('Revisão_Gemini'!$I$7:$I$456,MATCH($A335,'Revisão_Gemini'!$A$7:$A$456,0))&amp;"",""),IFERROR(INDEX('Revisão_ChatGPT'!$I$7:$I$456,MATCH($A335,'Revisão_ChatGPT'!$A$7:$A$456,0))&amp;"","")))))</f>
        <v/>
      </c>
      <c r="Q335" s="2" t="str">
        <f t="array" ref="Q335">IF(O335&lt;&gt;"Excluir","",IF(L335&lt;&gt;"",L335,IF(F335="Excluir",IFERROR(INDEX(Triagem!$K$2:$K$451,MATCH($A335,Triagem!$A$2:$A$451,0))&amp;"",""),IF(G335="Excluir",IFERROR(INDEX('Revisão_Gemini'!$J$7:$J$456,MATCH($A335,'Revisão_Gemini'!$A$7:$A$456,0))&amp;"",""),IFERROR(INDEX('Revisão_ChatGPT'!$J$7:$J$456,MATCH($A335,'Revisão_ChatGPT'!$A$7:$A$456,0))&amp;"","")))))</f>
        <v/>
      </c>
    </row>
    <row r="336" ht="15.75" customHeight="1">
      <c r="A336" s="2" t="s">
        <v>1988</v>
      </c>
      <c r="B336" s="19" t="str">
        <f t="array" ref="B336">INDEX(Triagem!$N$2:$N451 , MATCH(A336,Triagem!$A$2:$A451,0))</f>
        <v>abrir</v>
      </c>
      <c r="C336" s="20">
        <f t="array" ref="C336">INDEX(Triagem!$B$2:$B451 , MATCH(A336,Triagem!$A$2:$A451,0))</f>
        <v>2023</v>
      </c>
      <c r="D336" s="2" t="s">
        <v>1990</v>
      </c>
      <c r="E336" s="2" t="s">
        <v>1991</v>
      </c>
      <c r="F336" s="2" t="str">
        <f t="array" ref="F336">IFERROR(INDEX(Triagem!$I$2:$I$451,MATCH($A336,Triagem!$A$2:$A$451,0))&amp;"","")</f>
        <v>Excluir</v>
      </c>
      <c r="G336" s="2" t="str">
        <f t="array" ref="G336">IFERROR(INDEX('Revisão_Gemini'!$H$7:$H$456,MATCH($A336,'Revisão_Gemini'!$A$7:$A$456,0))&amp;"","")</f>
        <v>Apoio</v>
      </c>
      <c r="H336" s="2" t="str">
        <f t="array" ref="H336">IFERROR(INDEX('Revisão_ChatGPT'!$H$7:$H$456,MATCH($A336,'Revisão_ChatGPT'!$A$7:$A$456,0))&amp;"","")</f>
        <v>Excluir</v>
      </c>
      <c r="I336" s="2" t="str">
        <f t="shared" si="1"/>
        <v>2/3</v>
      </c>
      <c r="J336" s="21" t="s">
        <v>694</v>
      </c>
      <c r="K336" s="21"/>
      <c r="L336" s="21"/>
      <c r="M336" s="22" t="b">
        <f t="shared" si="2"/>
        <v>0</v>
      </c>
      <c r="N336" s="21" t="s">
        <v>3359</v>
      </c>
      <c r="O336" s="2" t="str">
        <f t="shared" si="3"/>
        <v>Fora do recorte anual + Apoio</v>
      </c>
      <c r="P336" s="2" t="str">
        <f t="array" ref="P336">IF(O336&lt;&gt;"Incluir","",IF(K336&lt;&gt;"",K336,IF(IFERROR(INDEX(Triagem!$J$2:$J$451,MATCH($A336,Triagem!$A$2:$A$451,0))&amp;"","")&lt;&gt;"",IFERROR(INDEX(Triagem!$J$2:$J$451,MATCH($A336,Triagem!$A$2:$A$451,0))&amp;"",""),IF(IFERROR(INDEX('Revisão_Gemini'!$I$7:$I$456,MATCH($A336,'Revisão_Gemini'!$A$7:$A$456,0))&amp;"","")&lt;&gt;"",IFERROR(INDEX('Revisão_Gemini'!$I$7:$I$456,MATCH($A336,'Revisão_Gemini'!$A$7:$A$456,0))&amp;"",""),IFERROR(INDEX('Revisão_ChatGPT'!$I$7:$I$456,MATCH($A336,'Revisão_ChatGPT'!$A$7:$A$456,0))&amp;"","")))))</f>
        <v/>
      </c>
      <c r="Q336" s="2" t="str">
        <f t="array" ref="Q336">IF(O336&lt;&gt;"Excluir","",IF(L336&lt;&gt;"",L336,IF(F336="Excluir",IFERROR(INDEX(Triagem!$K$2:$K$451,MATCH($A336,Triagem!$A$2:$A$451,0))&amp;"",""),IF(G336="Excluir",IFERROR(INDEX('Revisão_Gemini'!$J$7:$J$456,MATCH($A336,'Revisão_Gemini'!$A$7:$A$456,0))&amp;"",""),IFERROR(INDEX('Revisão_ChatGPT'!$J$7:$J$456,MATCH($A336,'Revisão_ChatGPT'!$A$7:$A$456,0))&amp;"","")))))</f>
        <v/>
      </c>
    </row>
    <row r="337" ht="15.75" customHeight="1">
      <c r="A337" s="2" t="s">
        <v>244</v>
      </c>
      <c r="B337" s="19" t="str">
        <f t="array" ref="B337">INDEX(Triagem!$N$2:$N451 , MATCH(A337,Triagem!$A$2:$A451,0))</f>
        <v>abrir</v>
      </c>
      <c r="C337" s="20">
        <f t="array" ref="C337">INDEX(Triagem!$B$2:$B451 , MATCH(A337,Triagem!$A$2:$A451,0))</f>
        <v>2023</v>
      </c>
      <c r="D337" s="2" t="s">
        <v>246</v>
      </c>
      <c r="E337" s="2" t="s">
        <v>247</v>
      </c>
      <c r="F337" s="2" t="str">
        <f t="array" ref="F337">IFERROR(INDEX(Triagem!$I$2:$I$451,MATCH($A337,Triagem!$A$2:$A$451,0))&amp;"","")</f>
        <v>Incluir</v>
      </c>
      <c r="G337" s="2" t="str">
        <f t="array" ref="G337">IFERROR(INDEX('Revisão_Gemini'!$H$7:$H$456,MATCH($A337,'Revisão_Gemini'!$A$7:$A$456,0))&amp;"","")</f>
        <v>Incluir</v>
      </c>
      <c r="H337" s="2" t="str">
        <f t="array" ref="H337">IFERROR(INDEX('Revisão_ChatGPT'!$H$7:$H$456,MATCH($A337,'Revisão_ChatGPT'!$A$7:$A$456,0))&amp;"","")</f>
        <v>Incluir</v>
      </c>
      <c r="I337" s="2" t="str">
        <f t="shared" si="1"/>
        <v>3/3</v>
      </c>
      <c r="J337" s="21"/>
      <c r="K337" s="21"/>
      <c r="L337" s="21"/>
      <c r="M337" s="22" t="b">
        <f t="shared" si="2"/>
        <v>0</v>
      </c>
      <c r="N337" s="21" t="s">
        <v>3360</v>
      </c>
      <c r="O337" s="2" t="str">
        <f t="shared" si="3"/>
        <v>Fora do recorte anual + Incluir</v>
      </c>
      <c r="P337" s="2" t="str">
        <f t="array" ref="P337">IF(O337&lt;&gt;"Incluir","",IF(K337&lt;&gt;"",K337,IF(IFERROR(INDEX(Triagem!$J$2:$J$451,MATCH($A337,Triagem!$A$2:$A$451,0))&amp;"","")&lt;&gt;"",IFERROR(INDEX(Triagem!$J$2:$J$451,MATCH($A337,Triagem!$A$2:$A$451,0))&amp;"",""),IF(IFERROR(INDEX('Revisão_Gemini'!$I$7:$I$456,MATCH($A337,'Revisão_Gemini'!$A$7:$A$456,0))&amp;"","")&lt;&gt;"",IFERROR(INDEX('Revisão_Gemini'!$I$7:$I$456,MATCH($A337,'Revisão_Gemini'!$A$7:$A$456,0))&amp;"",""),IFERROR(INDEX('Revisão_ChatGPT'!$I$7:$I$456,MATCH($A337,'Revisão_ChatGPT'!$A$7:$A$456,0))&amp;"","")))))</f>
        <v/>
      </c>
      <c r="Q337" s="2" t="str">
        <f t="array" ref="Q337">IF(O337&lt;&gt;"Excluir","",IF(L337&lt;&gt;"",L337,IF(F337="Excluir",IFERROR(INDEX(Triagem!$K$2:$K$451,MATCH($A337,Triagem!$A$2:$A$451,0))&amp;"",""),IF(G337="Excluir",IFERROR(INDEX('Revisão_Gemini'!$J$7:$J$456,MATCH($A337,'Revisão_Gemini'!$A$7:$A$456,0))&amp;"",""),IFERROR(INDEX('Revisão_ChatGPT'!$J$7:$J$456,MATCH($A337,'Revisão_ChatGPT'!$A$7:$A$456,0))&amp;"","")))))</f>
        <v/>
      </c>
    </row>
    <row r="338" ht="15.75" customHeight="1">
      <c r="A338" s="2" t="s">
        <v>1107</v>
      </c>
      <c r="B338" s="19" t="str">
        <f t="array" ref="B338">INDEX(Triagem!$N$2:$N451 , MATCH(A338,Triagem!$A$2:$A451,0))</f>
        <v>abrir</v>
      </c>
      <c r="C338" s="20">
        <f t="array" ref="C338">INDEX(Triagem!$B$2:$B451 , MATCH(A338,Triagem!$A$2:$A451,0))</f>
        <v>2023</v>
      </c>
      <c r="D338" s="2" t="s">
        <v>1109</v>
      </c>
      <c r="E338" s="2" t="s">
        <v>1110</v>
      </c>
      <c r="F338" s="2" t="str">
        <f t="array" ref="F338">IFERROR(INDEX(Triagem!$I$2:$I$451,MATCH($A338,Triagem!$A$2:$A$451,0))&amp;"","")</f>
        <v>Excluir</v>
      </c>
      <c r="G338" s="2" t="str">
        <f t="array" ref="G338">IFERROR(INDEX('Revisão_Gemini'!$H$7:$H$456,MATCH($A338,'Revisão_Gemini'!$A$7:$A$456,0))&amp;"","")</f>
        <v>Excluir</v>
      </c>
      <c r="H338" s="2" t="str">
        <f t="array" ref="H338">IFERROR(INDEX('Revisão_ChatGPT'!$H$7:$H$456,MATCH($A338,'Revisão_ChatGPT'!$A$7:$A$456,0))&amp;"","")</f>
        <v>Excluir</v>
      </c>
      <c r="I338" s="2" t="str">
        <f t="shared" si="1"/>
        <v>3/3</v>
      </c>
      <c r="J338" s="21"/>
      <c r="K338" s="21"/>
      <c r="L338" s="21"/>
      <c r="M338" s="22" t="b">
        <f t="shared" si="2"/>
        <v>0</v>
      </c>
      <c r="N338" s="21"/>
      <c r="O338" s="2" t="str">
        <f t="shared" si="3"/>
        <v>Fora do recorte anual + Excluir</v>
      </c>
      <c r="P338" s="2" t="str">
        <f t="array" ref="P338">IF(O338&lt;&gt;"Incluir","",IF(K338&lt;&gt;"",K338,IF(IFERROR(INDEX(Triagem!$J$2:$J$451,MATCH($A338,Triagem!$A$2:$A$451,0))&amp;"","")&lt;&gt;"",IFERROR(INDEX(Triagem!$J$2:$J$451,MATCH($A338,Triagem!$A$2:$A$451,0))&amp;"",""),IF(IFERROR(INDEX('Revisão_Gemini'!$I$7:$I$456,MATCH($A338,'Revisão_Gemini'!$A$7:$A$456,0))&amp;"","")&lt;&gt;"",IFERROR(INDEX('Revisão_Gemini'!$I$7:$I$456,MATCH($A338,'Revisão_Gemini'!$A$7:$A$456,0))&amp;"",""),IFERROR(INDEX('Revisão_ChatGPT'!$I$7:$I$456,MATCH($A338,'Revisão_ChatGPT'!$A$7:$A$456,0))&amp;"","")))))</f>
        <v/>
      </c>
      <c r="Q338" s="2" t="str">
        <f t="array" ref="Q338">IF(O338&lt;&gt;"Excluir","",IF(L338&lt;&gt;"",L338,IF(F338="Excluir",IFERROR(INDEX(Triagem!$K$2:$K$451,MATCH($A338,Triagem!$A$2:$A$451,0))&amp;"",""),IF(G338="Excluir",IFERROR(INDEX('Revisão_Gemini'!$J$7:$J$456,MATCH($A338,'Revisão_Gemini'!$A$7:$A$456,0))&amp;"",""),IFERROR(INDEX('Revisão_ChatGPT'!$J$7:$J$456,MATCH($A338,'Revisão_ChatGPT'!$A$7:$A$456,0))&amp;"","")))))</f>
        <v/>
      </c>
    </row>
    <row r="339" ht="15.75" customHeight="1">
      <c r="A339" s="2" t="s">
        <v>1653</v>
      </c>
      <c r="B339" s="19" t="str">
        <f t="array" ref="B339">INDEX(Triagem!$N$2:$N451 , MATCH(A339,Triagem!$A$2:$A451,0))</f>
        <v>abrir</v>
      </c>
      <c r="C339" s="20">
        <f t="array" ref="C339">INDEX(Triagem!$B$2:$B451 , MATCH(A339,Triagem!$A$2:$A451,0))</f>
        <v>2023</v>
      </c>
      <c r="D339" s="2" t="s">
        <v>1655</v>
      </c>
      <c r="E339" s="2" t="s">
        <v>1656</v>
      </c>
      <c r="F339" s="2" t="str">
        <f t="array" ref="F339">IFERROR(INDEX(Triagem!$I$2:$I$451,MATCH($A339,Triagem!$A$2:$A$451,0))&amp;"","")</f>
        <v>Excluir</v>
      </c>
      <c r="G339" s="2" t="str">
        <f t="array" ref="G339">IFERROR(INDEX('Revisão_Gemini'!$H$7:$H$456,MATCH($A339,'Revisão_Gemini'!$A$7:$A$456,0))&amp;"","")</f>
        <v>Excluir</v>
      </c>
      <c r="H339" s="2" t="str">
        <f t="array" ref="H339">IFERROR(INDEX('Revisão_ChatGPT'!$H$7:$H$456,MATCH($A339,'Revisão_ChatGPT'!$A$7:$A$456,0))&amp;"","")</f>
        <v>Excluir</v>
      </c>
      <c r="I339" s="2" t="str">
        <f t="shared" si="1"/>
        <v>3/3</v>
      </c>
      <c r="J339" s="21"/>
      <c r="K339" s="21"/>
      <c r="L339" s="21"/>
      <c r="M339" s="22" t="b">
        <f t="shared" si="2"/>
        <v>0</v>
      </c>
      <c r="N339" s="21" t="s">
        <v>3361</v>
      </c>
      <c r="O339" s="2" t="str">
        <f t="shared" si="3"/>
        <v>Fora do recorte anual + Excluir</v>
      </c>
      <c r="P339" s="2" t="str">
        <f t="array" ref="P339">IF(O339&lt;&gt;"Incluir","",IF(K339&lt;&gt;"",K339,IF(IFERROR(INDEX(Triagem!$J$2:$J$451,MATCH($A339,Triagem!$A$2:$A$451,0))&amp;"","")&lt;&gt;"",IFERROR(INDEX(Triagem!$J$2:$J$451,MATCH($A339,Triagem!$A$2:$A$451,0))&amp;"",""),IF(IFERROR(INDEX('Revisão_Gemini'!$I$7:$I$456,MATCH($A339,'Revisão_Gemini'!$A$7:$A$456,0))&amp;"","")&lt;&gt;"",IFERROR(INDEX('Revisão_Gemini'!$I$7:$I$456,MATCH($A339,'Revisão_Gemini'!$A$7:$A$456,0))&amp;"",""),IFERROR(INDEX('Revisão_ChatGPT'!$I$7:$I$456,MATCH($A339,'Revisão_ChatGPT'!$A$7:$A$456,0))&amp;"","")))))</f>
        <v/>
      </c>
      <c r="Q339" s="2" t="str">
        <f t="array" ref="Q339">IF(O339&lt;&gt;"Excluir","",IF(L339&lt;&gt;"",L339,IF(F339="Excluir",IFERROR(INDEX(Triagem!$K$2:$K$451,MATCH($A339,Triagem!$A$2:$A$451,0))&amp;"",""),IF(G339="Excluir",IFERROR(INDEX('Revisão_Gemini'!$J$7:$J$456,MATCH($A339,'Revisão_Gemini'!$A$7:$A$456,0))&amp;"",""),IFERROR(INDEX('Revisão_ChatGPT'!$J$7:$J$456,MATCH($A339,'Revisão_ChatGPT'!$A$7:$A$456,0))&amp;"","")))))</f>
        <v/>
      </c>
    </row>
    <row r="340" ht="15.75" customHeight="1">
      <c r="A340" s="2" t="s">
        <v>1994</v>
      </c>
      <c r="B340" s="19" t="str">
        <f t="array" ref="B340">INDEX(Triagem!$N$2:$N451 , MATCH(A340,Triagem!$A$2:$A451,0))</f>
        <v>abrir</v>
      </c>
      <c r="C340" s="20">
        <f t="array" ref="C340">INDEX(Triagem!$B$2:$B451 , MATCH(A340,Triagem!$A$2:$A451,0))</f>
        <v>2023</v>
      </c>
      <c r="D340" s="2" t="s">
        <v>1996</v>
      </c>
      <c r="E340" s="2" t="s">
        <v>1997</v>
      </c>
      <c r="F340" s="2" t="str">
        <f t="array" ref="F340">IFERROR(INDEX(Triagem!$I$2:$I$451,MATCH($A340,Triagem!$A$2:$A$451,0))&amp;"","")</f>
        <v>Excluir</v>
      </c>
      <c r="G340" s="2" t="str">
        <f t="array" ref="G340">IFERROR(INDEX('Revisão_Gemini'!$H$7:$H$456,MATCH($A340,'Revisão_Gemini'!$A$7:$A$456,0))&amp;"","")</f>
        <v>Incluir</v>
      </c>
      <c r="H340" s="2" t="str">
        <f t="array" ref="H340">IFERROR(INDEX('Revisão_ChatGPT'!$H$7:$H$456,MATCH($A340,'Revisão_ChatGPT'!$A$7:$A$456,0))&amp;"","")</f>
        <v>Incluir</v>
      </c>
      <c r="I340" s="2" t="str">
        <f t="shared" si="1"/>
        <v>2/3</v>
      </c>
      <c r="J340" s="21" t="s">
        <v>906</v>
      </c>
      <c r="K340" s="21"/>
      <c r="L340" s="21"/>
      <c r="M340" s="22" t="b">
        <f t="shared" si="2"/>
        <v>0</v>
      </c>
      <c r="N340" s="21"/>
      <c r="O340" s="2" t="str">
        <f t="shared" si="3"/>
        <v>Fora do recorte anual + Excluir</v>
      </c>
      <c r="P340" s="2" t="str">
        <f t="array" ref="P340">IF(O340&lt;&gt;"Incluir","",IF(K340&lt;&gt;"",K340,IF(IFERROR(INDEX(Triagem!$J$2:$J$451,MATCH($A340,Triagem!$A$2:$A$451,0))&amp;"","")&lt;&gt;"",IFERROR(INDEX(Triagem!$J$2:$J$451,MATCH($A340,Triagem!$A$2:$A$451,0))&amp;"",""),IF(IFERROR(INDEX('Revisão_Gemini'!$I$7:$I$456,MATCH($A340,'Revisão_Gemini'!$A$7:$A$456,0))&amp;"","")&lt;&gt;"",IFERROR(INDEX('Revisão_Gemini'!$I$7:$I$456,MATCH($A340,'Revisão_Gemini'!$A$7:$A$456,0))&amp;"",""),IFERROR(INDEX('Revisão_ChatGPT'!$I$7:$I$456,MATCH($A340,'Revisão_ChatGPT'!$A$7:$A$456,0))&amp;"","")))))</f>
        <v/>
      </c>
      <c r="Q340" s="2" t="str">
        <f t="array" ref="Q340">IF(O340&lt;&gt;"Excluir","",IF(L340&lt;&gt;"",L340,IF(F340="Excluir",IFERROR(INDEX(Triagem!$K$2:$K$451,MATCH($A340,Triagem!$A$2:$A$451,0))&amp;"",""),IF(G340="Excluir",IFERROR(INDEX('Revisão_Gemini'!$J$7:$J$456,MATCH($A340,'Revisão_Gemini'!$A$7:$A$456,0))&amp;"",""),IFERROR(INDEX('Revisão_ChatGPT'!$J$7:$J$456,MATCH($A340,'Revisão_ChatGPT'!$A$7:$A$456,0))&amp;"","")))))</f>
        <v/>
      </c>
    </row>
    <row r="341" ht="15.75" customHeight="1">
      <c r="A341" s="2" t="s">
        <v>1608</v>
      </c>
      <c r="B341" s="19" t="str">
        <f t="array" ref="B341">INDEX(Triagem!$N$2:$N451 , MATCH(A341,Triagem!$A$2:$A451,0))</f>
        <v>abrir</v>
      </c>
      <c r="C341" s="20">
        <f t="array" ref="C341">INDEX(Triagem!$B$2:$B451 , MATCH(A341,Triagem!$A$2:$A451,0))</f>
        <v>2024</v>
      </c>
      <c r="D341" s="2" t="s">
        <v>1610</v>
      </c>
      <c r="E341" s="2" t="s">
        <v>1611</v>
      </c>
      <c r="F341" s="2" t="str">
        <f t="array" ref="F341">IFERROR(INDEX(Triagem!$I$2:$I$451,MATCH($A341,Triagem!$A$2:$A$451,0))&amp;"","")</f>
        <v>Excluir</v>
      </c>
      <c r="G341" s="2" t="str">
        <f t="array" ref="G341">IFERROR(INDEX('Revisão_Gemini'!$H$7:$H$456,MATCH($A341,'Revisão_Gemini'!$A$7:$A$456,0))&amp;"","")</f>
        <v>Excluir</v>
      </c>
      <c r="H341" s="2" t="str">
        <f t="array" ref="H341">IFERROR(INDEX('Revisão_ChatGPT'!$H$7:$H$456,MATCH($A341,'Revisão_ChatGPT'!$A$7:$A$456,0))&amp;"","")</f>
        <v>Excluir</v>
      </c>
      <c r="I341" s="2" t="str">
        <f t="shared" si="1"/>
        <v>3/3</v>
      </c>
      <c r="J341" s="21"/>
      <c r="K341" s="21"/>
      <c r="L341" s="21"/>
      <c r="M341" s="22" t="b">
        <f t="shared" si="2"/>
        <v>1</v>
      </c>
      <c r="N341" s="21" t="s">
        <v>3362</v>
      </c>
      <c r="O341" s="2" t="str">
        <f t="shared" si="3"/>
        <v>Excluir</v>
      </c>
      <c r="P341" s="2" t="str">
        <f t="array" ref="P341">IF(O341&lt;&gt;"Incluir","",IF(K341&lt;&gt;"",K341,IF(IFERROR(INDEX(Triagem!$J$2:$J$451,MATCH($A341,Triagem!$A$2:$A$451,0))&amp;"","")&lt;&gt;"",IFERROR(INDEX(Triagem!$J$2:$J$451,MATCH($A341,Triagem!$A$2:$A$451,0))&amp;"",""),IF(IFERROR(INDEX('Revisão_Gemini'!$I$7:$I$456,MATCH($A341,'Revisão_Gemini'!$A$7:$A$456,0))&amp;"","")&lt;&gt;"",IFERROR(INDEX('Revisão_Gemini'!$I$7:$I$456,MATCH($A341,'Revisão_Gemini'!$A$7:$A$456,0))&amp;"",""),IFERROR(INDEX('Revisão_ChatGPT'!$I$7:$I$456,MATCH($A341,'Revisão_ChatGPT'!$A$7:$A$456,0))&amp;"","")))))</f>
        <v/>
      </c>
      <c r="Q341" s="2" t="str">
        <f t="array" ref="Q341">IF(O341&lt;&gt;"Excluir","",IF(L341&lt;&gt;"",L341,IF(F341="Excluir",IFERROR(INDEX(Triagem!$K$2:$K$451,MATCH($A341,Triagem!$A$2:$A$451,0))&amp;"",""),IF(G341="Excluir",IFERROR(INDEX('Revisão_Gemini'!$J$7:$J$456,MATCH($A341,'Revisão_Gemini'!$A$7:$A$456,0))&amp;"",""),IFERROR(INDEX('Revisão_ChatGPT'!$J$7:$J$456,MATCH($A341,'Revisão_ChatGPT'!$A$7:$A$456,0))&amp;"","")))))</f>
        <v>E3</v>
      </c>
    </row>
    <row r="342" ht="15.75" customHeight="1">
      <c r="A342" s="2" t="s">
        <v>1657</v>
      </c>
      <c r="B342" s="19" t="str">
        <f t="array" ref="B342">INDEX(Triagem!$N$2:$N451 , MATCH(A342,Triagem!$A$2:$A451,0))</f>
        <v>abrir</v>
      </c>
      <c r="C342" s="20">
        <f t="array" ref="C342">INDEX(Triagem!$B$2:$B451 , MATCH(A342,Triagem!$A$2:$A451,0))</f>
        <v>2023</v>
      </c>
      <c r="D342" s="2" t="s">
        <v>1659</v>
      </c>
      <c r="E342" s="2" t="s">
        <v>1660</v>
      </c>
      <c r="F342" s="2" t="str">
        <f t="array" ref="F342">IFERROR(INDEX(Triagem!$I$2:$I$451,MATCH($A342,Triagem!$A$2:$A$451,0))&amp;"","")</f>
        <v>Excluir</v>
      </c>
      <c r="G342" s="2" t="str">
        <f t="array" ref="G342">IFERROR(INDEX('Revisão_Gemini'!$H$7:$H$456,MATCH($A342,'Revisão_Gemini'!$A$7:$A$456,0))&amp;"","")</f>
        <v>Excluir</v>
      </c>
      <c r="H342" s="2" t="str">
        <f t="array" ref="H342">IFERROR(INDEX('Revisão_ChatGPT'!$H$7:$H$456,MATCH($A342,'Revisão_ChatGPT'!$A$7:$A$456,0))&amp;"","")</f>
        <v>Excluir</v>
      </c>
      <c r="I342" s="2" t="str">
        <f t="shared" si="1"/>
        <v>3/3</v>
      </c>
      <c r="J342" s="21"/>
      <c r="K342" s="21"/>
      <c r="L342" s="21"/>
      <c r="M342" s="22" t="b">
        <f t="shared" si="2"/>
        <v>0</v>
      </c>
      <c r="N342" s="21" t="s">
        <v>3363</v>
      </c>
      <c r="O342" s="2" t="str">
        <f t="shared" si="3"/>
        <v>Fora do recorte anual + Excluir</v>
      </c>
      <c r="P342" s="2" t="str">
        <f t="array" ref="P342">IF(O342&lt;&gt;"Incluir","",IF(K342&lt;&gt;"",K342,IF(IFERROR(INDEX(Triagem!$J$2:$J$451,MATCH($A342,Triagem!$A$2:$A$451,0))&amp;"","")&lt;&gt;"",IFERROR(INDEX(Triagem!$J$2:$J$451,MATCH($A342,Triagem!$A$2:$A$451,0))&amp;"",""),IF(IFERROR(INDEX('Revisão_Gemini'!$I$7:$I$456,MATCH($A342,'Revisão_Gemini'!$A$7:$A$456,0))&amp;"","")&lt;&gt;"",IFERROR(INDEX('Revisão_Gemini'!$I$7:$I$456,MATCH($A342,'Revisão_Gemini'!$A$7:$A$456,0))&amp;"",""),IFERROR(INDEX('Revisão_ChatGPT'!$I$7:$I$456,MATCH($A342,'Revisão_ChatGPT'!$A$7:$A$456,0))&amp;"","")))))</f>
        <v/>
      </c>
      <c r="Q342" s="2" t="str">
        <f t="array" ref="Q342">IF(O342&lt;&gt;"Excluir","",IF(L342&lt;&gt;"",L342,IF(F342="Excluir",IFERROR(INDEX(Triagem!$K$2:$K$451,MATCH($A342,Triagem!$A$2:$A$451,0))&amp;"",""),IF(G342="Excluir",IFERROR(INDEX('Revisão_Gemini'!$J$7:$J$456,MATCH($A342,'Revisão_Gemini'!$A$7:$A$456,0))&amp;"",""),IFERROR(INDEX('Revisão_ChatGPT'!$J$7:$J$456,MATCH($A342,'Revisão_ChatGPT'!$A$7:$A$456,0))&amp;"","")))))</f>
        <v/>
      </c>
    </row>
    <row r="343" ht="15.75" customHeight="1">
      <c r="A343" s="2" t="s">
        <v>1112</v>
      </c>
      <c r="B343" s="19" t="str">
        <f t="array" ref="B343">INDEX(Triagem!$N$2:$N451 , MATCH(A343,Triagem!$A$2:$A451,0))</f>
        <v>abrir</v>
      </c>
      <c r="C343" s="20">
        <f t="array" ref="C343">INDEX(Triagem!$B$2:$B451 , MATCH(A343,Triagem!$A$2:$A451,0))</f>
        <v>2023</v>
      </c>
      <c r="D343" s="2" t="s">
        <v>1114</v>
      </c>
      <c r="E343" s="2" t="s">
        <v>1115</v>
      </c>
      <c r="F343" s="2" t="str">
        <f t="array" ref="F343">IFERROR(INDEX(Triagem!$I$2:$I$451,MATCH($A343,Triagem!$A$2:$A$451,0))&amp;"","")</f>
        <v>Excluir</v>
      </c>
      <c r="G343" s="2" t="str">
        <f t="array" ref="G343">IFERROR(INDEX('Revisão_Gemini'!$H$7:$H$456,MATCH($A343,'Revisão_Gemini'!$A$7:$A$456,0))&amp;"","")</f>
        <v>Excluir</v>
      </c>
      <c r="H343" s="2" t="str">
        <f t="array" ref="H343">IFERROR(INDEX('Revisão_ChatGPT'!$H$7:$H$456,MATCH($A343,'Revisão_ChatGPT'!$A$7:$A$456,0))&amp;"","")</f>
        <v>Excluir</v>
      </c>
      <c r="I343" s="2" t="str">
        <f t="shared" si="1"/>
        <v>3/3</v>
      </c>
      <c r="J343" s="21"/>
      <c r="K343" s="21"/>
      <c r="L343" s="21"/>
      <c r="M343" s="22" t="b">
        <f t="shared" si="2"/>
        <v>0</v>
      </c>
      <c r="N343" s="21" t="s">
        <v>3364</v>
      </c>
      <c r="O343" s="2" t="str">
        <f t="shared" si="3"/>
        <v>Fora do recorte anual + Excluir</v>
      </c>
      <c r="P343" s="2" t="str">
        <f t="array" ref="P343">IF(O343&lt;&gt;"Incluir","",IF(K343&lt;&gt;"",K343,IF(IFERROR(INDEX(Triagem!$J$2:$J$451,MATCH($A343,Triagem!$A$2:$A$451,0))&amp;"","")&lt;&gt;"",IFERROR(INDEX(Triagem!$J$2:$J$451,MATCH($A343,Triagem!$A$2:$A$451,0))&amp;"",""),IF(IFERROR(INDEX('Revisão_Gemini'!$I$7:$I$456,MATCH($A343,'Revisão_Gemini'!$A$7:$A$456,0))&amp;"","")&lt;&gt;"",IFERROR(INDEX('Revisão_Gemini'!$I$7:$I$456,MATCH($A343,'Revisão_Gemini'!$A$7:$A$456,0))&amp;"",""),IFERROR(INDEX('Revisão_ChatGPT'!$I$7:$I$456,MATCH($A343,'Revisão_ChatGPT'!$A$7:$A$456,0))&amp;"","")))))</f>
        <v/>
      </c>
      <c r="Q343" s="2" t="str">
        <f t="array" ref="Q343">IF(O343&lt;&gt;"Excluir","",IF(L343&lt;&gt;"",L343,IF(F343="Excluir",IFERROR(INDEX(Triagem!$K$2:$K$451,MATCH($A343,Triagem!$A$2:$A$451,0))&amp;"",""),IF(G343="Excluir",IFERROR(INDEX('Revisão_Gemini'!$J$7:$J$456,MATCH($A343,'Revisão_Gemini'!$A$7:$A$456,0))&amp;"",""),IFERROR(INDEX('Revisão_ChatGPT'!$J$7:$J$456,MATCH($A343,'Revisão_ChatGPT'!$A$7:$A$456,0))&amp;"","")))))</f>
        <v/>
      </c>
    </row>
    <row r="344" ht="15.75" customHeight="1">
      <c r="A344" s="2" t="s">
        <v>1612</v>
      </c>
      <c r="B344" s="19" t="str">
        <f t="array" ref="B344">INDEX(Triagem!$N$2:$N451 , MATCH(A344,Triagem!$A$2:$A451,0))</f>
        <v>abrir</v>
      </c>
      <c r="C344" s="20">
        <f t="array" ref="C344">INDEX(Triagem!$B$2:$B451 , MATCH(A344,Triagem!$A$2:$A451,0))</f>
        <v>2024</v>
      </c>
      <c r="D344" s="2" t="s">
        <v>1614</v>
      </c>
      <c r="E344" s="2" t="s">
        <v>1615</v>
      </c>
      <c r="F344" s="2" t="str">
        <f t="array" ref="F344">IFERROR(INDEX(Triagem!$I$2:$I$451,MATCH($A344,Triagem!$A$2:$A$451,0))&amp;"","")</f>
        <v>Excluir</v>
      </c>
      <c r="G344" s="2" t="str">
        <f t="array" ref="G344">IFERROR(INDEX('Revisão_Gemini'!$H$7:$H$456,MATCH($A344,'Revisão_Gemini'!$A$7:$A$456,0))&amp;"","")</f>
        <v>Excluir</v>
      </c>
      <c r="H344" s="2" t="str">
        <f t="array" ref="H344">IFERROR(INDEX('Revisão_ChatGPT'!$H$7:$H$456,MATCH($A344,'Revisão_ChatGPT'!$A$7:$A$456,0))&amp;"","")</f>
        <v>Excluir</v>
      </c>
      <c r="I344" s="2" t="str">
        <f t="shared" si="1"/>
        <v>3/3</v>
      </c>
      <c r="J344" s="21"/>
      <c r="K344" s="21"/>
      <c r="L344" s="21"/>
      <c r="M344" s="22" t="b">
        <f t="shared" si="2"/>
        <v>1</v>
      </c>
      <c r="N344" s="21" t="s">
        <v>3365</v>
      </c>
      <c r="O344" s="2" t="str">
        <f t="shared" si="3"/>
        <v>Excluir</v>
      </c>
      <c r="P344" s="2" t="str">
        <f t="array" ref="P344">IF(O344&lt;&gt;"Incluir","",IF(K344&lt;&gt;"",K344,IF(IFERROR(INDEX(Triagem!$J$2:$J$451,MATCH($A344,Triagem!$A$2:$A$451,0))&amp;"","")&lt;&gt;"",IFERROR(INDEX(Triagem!$J$2:$J$451,MATCH($A344,Triagem!$A$2:$A$451,0))&amp;"",""),IF(IFERROR(INDEX('Revisão_Gemini'!$I$7:$I$456,MATCH($A344,'Revisão_Gemini'!$A$7:$A$456,0))&amp;"","")&lt;&gt;"",IFERROR(INDEX('Revisão_Gemini'!$I$7:$I$456,MATCH($A344,'Revisão_Gemini'!$A$7:$A$456,0))&amp;"",""),IFERROR(INDEX('Revisão_ChatGPT'!$I$7:$I$456,MATCH($A344,'Revisão_ChatGPT'!$A$7:$A$456,0))&amp;"","")))))</f>
        <v/>
      </c>
      <c r="Q344" s="2" t="str">
        <f t="array" ref="Q344">IF(O344&lt;&gt;"Excluir","",IF(L344&lt;&gt;"",L344,IF(F344="Excluir",IFERROR(INDEX(Triagem!$K$2:$K$451,MATCH($A344,Triagem!$A$2:$A$451,0))&amp;"",""),IF(G344="Excluir",IFERROR(INDEX('Revisão_Gemini'!$J$7:$J$456,MATCH($A344,'Revisão_Gemini'!$A$7:$A$456,0))&amp;"",""),IFERROR(INDEX('Revisão_ChatGPT'!$J$7:$J$456,MATCH($A344,'Revisão_ChatGPT'!$A$7:$A$456,0))&amp;"","")))))</f>
        <v>E3</v>
      </c>
    </row>
    <row r="345" ht="15.75" customHeight="1">
      <c r="A345" s="2" t="s">
        <v>737</v>
      </c>
      <c r="B345" s="19" t="str">
        <f t="array" ref="B345">INDEX(Triagem!$N$2:$N451 , MATCH(A345,Triagem!$A$2:$A451,0))</f>
        <v>abrir</v>
      </c>
      <c r="C345" s="20">
        <f t="array" ref="C345">INDEX(Triagem!$B$2:$B451 , MATCH(A345,Triagem!$A$2:$A451,0))</f>
        <v>2023</v>
      </c>
      <c r="D345" s="2" t="s">
        <v>738</v>
      </c>
      <c r="E345" s="2" t="s">
        <v>739</v>
      </c>
      <c r="F345" s="2" t="str">
        <f t="array" ref="F345">IFERROR(INDEX(Triagem!$I$2:$I$451,MATCH($A345,Triagem!$A$2:$A$451,0))&amp;"","")</f>
        <v>Apoio</v>
      </c>
      <c r="G345" s="2" t="str">
        <f t="array" ref="G345">IFERROR(INDEX('Revisão_Gemini'!$H$7:$H$456,MATCH($A345,'Revisão_Gemini'!$A$7:$A$456,0))&amp;"","")</f>
        <v>Apoio</v>
      </c>
      <c r="H345" s="2" t="str">
        <f t="array" ref="H345">IFERROR(INDEX('Revisão_ChatGPT'!$H$7:$H$456,MATCH($A345,'Revisão_ChatGPT'!$A$7:$A$456,0))&amp;"","")</f>
        <v>Apoio</v>
      </c>
      <c r="I345" s="2" t="str">
        <f t="shared" si="1"/>
        <v>3/3</v>
      </c>
      <c r="J345" s="21"/>
      <c r="K345" s="21"/>
      <c r="L345" s="21"/>
      <c r="M345" s="22" t="b">
        <f t="shared" si="2"/>
        <v>0</v>
      </c>
      <c r="N345" s="21"/>
      <c r="O345" s="2" t="str">
        <f t="shared" si="3"/>
        <v>Fora do recorte anual + Apoio</v>
      </c>
      <c r="P345" s="2" t="str">
        <f t="array" ref="P345">IF(O345&lt;&gt;"Incluir","",IF(K345&lt;&gt;"",K345,IF(IFERROR(INDEX(Triagem!$J$2:$J$451,MATCH($A345,Triagem!$A$2:$A$451,0))&amp;"","")&lt;&gt;"",IFERROR(INDEX(Triagem!$J$2:$J$451,MATCH($A345,Triagem!$A$2:$A$451,0))&amp;"",""),IF(IFERROR(INDEX('Revisão_Gemini'!$I$7:$I$456,MATCH($A345,'Revisão_Gemini'!$A$7:$A$456,0))&amp;"","")&lt;&gt;"",IFERROR(INDEX('Revisão_Gemini'!$I$7:$I$456,MATCH($A345,'Revisão_Gemini'!$A$7:$A$456,0))&amp;"",""),IFERROR(INDEX('Revisão_ChatGPT'!$I$7:$I$456,MATCH($A345,'Revisão_ChatGPT'!$A$7:$A$456,0))&amp;"","")))))</f>
        <v/>
      </c>
      <c r="Q345" s="2" t="str">
        <f t="array" ref="Q345">IF(O345&lt;&gt;"Excluir","",IF(L345&lt;&gt;"",L345,IF(F345="Excluir",IFERROR(INDEX(Triagem!$K$2:$K$451,MATCH($A345,Triagem!$A$2:$A$451,0))&amp;"",""),IF(G345="Excluir",IFERROR(INDEX('Revisão_Gemini'!$J$7:$J$456,MATCH($A345,'Revisão_Gemini'!$A$7:$A$456,0))&amp;"",""),IFERROR(INDEX('Revisão_ChatGPT'!$J$7:$J$456,MATCH($A345,'Revisão_ChatGPT'!$A$7:$A$456,0))&amp;"","")))))</f>
        <v/>
      </c>
    </row>
    <row r="346" ht="15.75" customHeight="1">
      <c r="A346" s="2" t="s">
        <v>1117</v>
      </c>
      <c r="B346" s="19" t="str">
        <f t="array" ref="B346">INDEX(Triagem!$N$2:$N451 , MATCH(A346,Triagem!$A$2:$A451,0))</f>
        <v>abrir</v>
      </c>
      <c r="C346" s="20">
        <f t="array" ref="C346">INDEX(Triagem!$B$2:$B451 , MATCH(A346,Triagem!$A$2:$A451,0))</f>
        <v>2023</v>
      </c>
      <c r="D346" s="2" t="s">
        <v>1119</v>
      </c>
      <c r="E346" s="2" t="s">
        <v>1120</v>
      </c>
      <c r="F346" s="2" t="str">
        <f t="array" ref="F346">IFERROR(INDEX(Triagem!$I$2:$I$451,MATCH($A346,Triagem!$A$2:$A$451,0))&amp;"","")</f>
        <v>Excluir</v>
      </c>
      <c r="G346" s="2" t="str">
        <f t="array" ref="G346">IFERROR(INDEX('Revisão_Gemini'!$H$7:$H$456,MATCH($A346,'Revisão_Gemini'!$A$7:$A$456,0))&amp;"","")</f>
        <v>Excluir</v>
      </c>
      <c r="H346" s="2" t="str">
        <f t="array" ref="H346">IFERROR(INDEX('Revisão_ChatGPT'!$H$7:$H$456,MATCH($A346,'Revisão_ChatGPT'!$A$7:$A$456,0))&amp;"","")</f>
        <v>Incluir</v>
      </c>
      <c r="I346" s="2" t="str">
        <f t="shared" si="1"/>
        <v>2/3</v>
      </c>
      <c r="J346" s="21" t="s">
        <v>906</v>
      </c>
      <c r="K346" s="21"/>
      <c r="L346" s="21"/>
      <c r="M346" s="22" t="b">
        <f t="shared" si="2"/>
        <v>0</v>
      </c>
      <c r="N346" s="21" t="s">
        <v>3366</v>
      </c>
      <c r="O346" s="2" t="str">
        <f t="shared" si="3"/>
        <v>Fora do recorte anual + Excluir</v>
      </c>
      <c r="P346" s="2" t="str">
        <f t="array" ref="P346">IF(O346&lt;&gt;"Incluir","",IF(K346&lt;&gt;"",K346,IF(IFERROR(INDEX(Triagem!$J$2:$J$451,MATCH($A346,Triagem!$A$2:$A$451,0))&amp;"","")&lt;&gt;"",IFERROR(INDEX(Triagem!$J$2:$J$451,MATCH($A346,Triagem!$A$2:$A$451,0))&amp;"",""),IF(IFERROR(INDEX('Revisão_Gemini'!$I$7:$I$456,MATCH($A346,'Revisão_Gemini'!$A$7:$A$456,0))&amp;"","")&lt;&gt;"",IFERROR(INDEX('Revisão_Gemini'!$I$7:$I$456,MATCH($A346,'Revisão_Gemini'!$A$7:$A$456,0))&amp;"",""),IFERROR(INDEX('Revisão_ChatGPT'!$I$7:$I$456,MATCH($A346,'Revisão_ChatGPT'!$A$7:$A$456,0))&amp;"","")))))</f>
        <v/>
      </c>
      <c r="Q346" s="2" t="str">
        <f t="array" ref="Q346">IF(O346&lt;&gt;"Excluir","",IF(L346&lt;&gt;"",L346,IF(F346="Excluir",IFERROR(INDEX(Triagem!$K$2:$K$451,MATCH($A346,Triagem!$A$2:$A$451,0))&amp;"",""),IF(G346="Excluir",IFERROR(INDEX('Revisão_Gemini'!$J$7:$J$456,MATCH($A346,'Revisão_Gemini'!$A$7:$A$456,0))&amp;"",""),IFERROR(INDEX('Revisão_ChatGPT'!$J$7:$J$456,MATCH($A346,'Revisão_ChatGPT'!$A$7:$A$456,0))&amp;"","")))))</f>
        <v/>
      </c>
    </row>
    <row r="347" ht="15.75" customHeight="1">
      <c r="A347" s="2" t="s">
        <v>720</v>
      </c>
      <c r="B347" s="19" t="str">
        <f t="array" ref="B347">INDEX(Triagem!$N$2:$N451 , MATCH(A347,Triagem!$A$2:$A451,0))</f>
        <v>abrir</v>
      </c>
      <c r="C347" s="20">
        <f t="array" ref="C347">INDEX(Triagem!$B$2:$B451 , MATCH(A347,Triagem!$A$2:$A451,0))</f>
        <v>2024</v>
      </c>
      <c r="D347" s="2" t="s">
        <v>722</v>
      </c>
      <c r="E347" s="2" t="s">
        <v>723</v>
      </c>
      <c r="F347" s="2" t="str">
        <f t="array" ref="F347">IFERROR(INDEX(Triagem!$I$2:$I$451,MATCH($A347,Triagem!$A$2:$A$451,0))&amp;"","")</f>
        <v>Apoio</v>
      </c>
      <c r="G347" s="2" t="str">
        <f t="array" ref="G347">IFERROR(INDEX('Revisão_Gemini'!$H$7:$H$456,MATCH($A347,'Revisão_Gemini'!$A$7:$A$456,0))&amp;"","")</f>
        <v>Apoio</v>
      </c>
      <c r="H347" s="2" t="str">
        <f t="array" ref="H347">IFERROR(INDEX('Revisão_ChatGPT'!$H$7:$H$456,MATCH($A347,'Revisão_ChatGPT'!$A$7:$A$456,0))&amp;"","")</f>
        <v>Apoio</v>
      </c>
      <c r="I347" s="2" t="str">
        <f t="shared" si="1"/>
        <v>3/3</v>
      </c>
      <c r="J347" s="21"/>
      <c r="K347" s="21"/>
      <c r="L347" s="21"/>
      <c r="M347" s="22" t="b">
        <f t="shared" si="2"/>
        <v>1</v>
      </c>
      <c r="N347" s="21" t="s">
        <v>3367</v>
      </c>
      <c r="O347" s="2" t="str">
        <f t="shared" si="3"/>
        <v>Apoio</v>
      </c>
      <c r="P347" s="2" t="str">
        <f t="array" ref="P347">IF(O347&lt;&gt;"Incluir","",IF(K347&lt;&gt;"",K347,IF(IFERROR(INDEX(Triagem!$J$2:$J$451,MATCH($A347,Triagem!$A$2:$A$451,0))&amp;"","")&lt;&gt;"",IFERROR(INDEX(Triagem!$J$2:$J$451,MATCH($A347,Triagem!$A$2:$A$451,0))&amp;"",""),IF(IFERROR(INDEX('Revisão_Gemini'!$I$7:$I$456,MATCH($A347,'Revisão_Gemini'!$A$7:$A$456,0))&amp;"","")&lt;&gt;"",IFERROR(INDEX('Revisão_Gemini'!$I$7:$I$456,MATCH($A347,'Revisão_Gemini'!$A$7:$A$456,0))&amp;"",""),IFERROR(INDEX('Revisão_ChatGPT'!$I$7:$I$456,MATCH($A347,'Revisão_ChatGPT'!$A$7:$A$456,0))&amp;"","")))))</f>
        <v/>
      </c>
      <c r="Q347" s="2" t="str">
        <f t="array" ref="Q347">IF(O347&lt;&gt;"Excluir","",IF(L347&lt;&gt;"",L347,IF(F347="Excluir",IFERROR(INDEX(Triagem!$K$2:$K$451,MATCH($A347,Triagem!$A$2:$A$451,0))&amp;"",""),IF(G347="Excluir",IFERROR(INDEX('Revisão_Gemini'!$J$7:$J$456,MATCH($A347,'Revisão_Gemini'!$A$7:$A$456,0))&amp;"",""),IFERROR(INDEX('Revisão_ChatGPT'!$J$7:$J$456,MATCH($A347,'Revisão_ChatGPT'!$A$7:$A$456,0))&amp;"","")))))</f>
        <v/>
      </c>
    </row>
    <row r="348" ht="15.75" customHeight="1">
      <c r="A348" s="2" t="s">
        <v>1122</v>
      </c>
      <c r="B348" s="19" t="str">
        <f t="array" ref="B348">INDEX(Triagem!$N$2:$N451 , MATCH(A348,Triagem!$A$2:$A451,0))</f>
        <v>abrir</v>
      </c>
      <c r="C348" s="20">
        <f t="array" ref="C348">INDEX(Triagem!$B$2:$B451 , MATCH(A348,Triagem!$A$2:$A451,0))</f>
        <v>2023</v>
      </c>
      <c r="D348" s="2" t="s">
        <v>1123</v>
      </c>
      <c r="E348" s="2" t="s">
        <v>1124</v>
      </c>
      <c r="F348" s="2" t="str">
        <f t="array" ref="F348">IFERROR(INDEX(Triagem!$I$2:$I$451,MATCH($A348,Triagem!$A$2:$A$451,0))&amp;"","")</f>
        <v>Excluir</v>
      </c>
      <c r="G348" s="2" t="str">
        <f t="array" ref="G348">IFERROR(INDEX('Revisão_Gemini'!$H$7:$H$456,MATCH($A348,'Revisão_Gemini'!$A$7:$A$456,0))&amp;"","")</f>
        <v>Excluir</v>
      </c>
      <c r="H348" s="2" t="str">
        <f t="array" ref="H348">IFERROR(INDEX('Revisão_ChatGPT'!$H$7:$H$456,MATCH($A348,'Revisão_ChatGPT'!$A$7:$A$456,0))&amp;"","")</f>
        <v>Excluir</v>
      </c>
      <c r="I348" s="2" t="str">
        <f t="shared" si="1"/>
        <v>3/3</v>
      </c>
      <c r="J348" s="21"/>
      <c r="K348" s="21"/>
      <c r="L348" s="21"/>
      <c r="M348" s="22" t="b">
        <f t="shared" si="2"/>
        <v>0</v>
      </c>
      <c r="N348" s="21" t="s">
        <v>3368</v>
      </c>
      <c r="O348" s="2" t="str">
        <f t="shared" si="3"/>
        <v>Fora do recorte anual + Excluir</v>
      </c>
      <c r="P348" s="2" t="str">
        <f t="array" ref="P348">IF(O348&lt;&gt;"Incluir","",IF(K348&lt;&gt;"",K348,IF(IFERROR(INDEX(Triagem!$J$2:$J$451,MATCH($A348,Triagem!$A$2:$A$451,0))&amp;"","")&lt;&gt;"",IFERROR(INDEX(Triagem!$J$2:$J$451,MATCH($A348,Triagem!$A$2:$A$451,0))&amp;"",""),IF(IFERROR(INDEX('Revisão_Gemini'!$I$7:$I$456,MATCH($A348,'Revisão_Gemini'!$A$7:$A$456,0))&amp;"","")&lt;&gt;"",IFERROR(INDEX('Revisão_Gemini'!$I$7:$I$456,MATCH($A348,'Revisão_Gemini'!$A$7:$A$456,0))&amp;"",""),IFERROR(INDEX('Revisão_ChatGPT'!$I$7:$I$456,MATCH($A348,'Revisão_ChatGPT'!$A$7:$A$456,0))&amp;"","")))))</f>
        <v/>
      </c>
      <c r="Q348" s="2" t="str">
        <f t="array" ref="Q348">IF(O348&lt;&gt;"Excluir","",IF(L348&lt;&gt;"",L348,IF(F348="Excluir",IFERROR(INDEX(Triagem!$K$2:$K$451,MATCH($A348,Triagem!$A$2:$A$451,0))&amp;"",""),IF(G348="Excluir",IFERROR(INDEX('Revisão_Gemini'!$J$7:$J$456,MATCH($A348,'Revisão_Gemini'!$A$7:$A$456,0))&amp;"",""),IFERROR(INDEX('Revisão_ChatGPT'!$J$7:$J$456,MATCH($A348,'Revisão_ChatGPT'!$A$7:$A$456,0))&amp;"","")))))</f>
        <v/>
      </c>
    </row>
    <row r="349" ht="15.75" customHeight="1">
      <c r="A349" s="2" t="s">
        <v>249</v>
      </c>
      <c r="B349" s="19" t="str">
        <f t="array" ref="B349">INDEX(Triagem!$N$2:$N451 , MATCH(A349,Triagem!$A$2:$A451,0))</f>
        <v>abrir</v>
      </c>
      <c r="C349" s="20">
        <f t="array" ref="C349">INDEX(Triagem!$B$2:$B451 , MATCH(A349,Triagem!$A$2:$A451,0))</f>
        <v>2023</v>
      </c>
      <c r="D349" s="2" t="s">
        <v>251</v>
      </c>
      <c r="E349" s="2" t="s">
        <v>252</v>
      </c>
      <c r="F349" s="2" t="str">
        <f t="array" ref="F349">IFERROR(INDEX(Triagem!$I$2:$I$451,MATCH($A349,Triagem!$A$2:$A$451,0))&amp;"","")</f>
        <v>Incluir</v>
      </c>
      <c r="G349" s="2" t="str">
        <f t="array" ref="G349">IFERROR(INDEX('Revisão_Gemini'!$H$7:$H$456,MATCH($A349,'Revisão_Gemini'!$A$7:$A$456,0))&amp;"","")</f>
        <v>Incluir</v>
      </c>
      <c r="H349" s="2" t="str">
        <f t="array" ref="H349">IFERROR(INDEX('Revisão_ChatGPT'!$H$7:$H$456,MATCH($A349,'Revisão_ChatGPT'!$A$7:$A$456,0))&amp;"","")</f>
        <v>Incluir</v>
      </c>
      <c r="I349" s="2" t="str">
        <f t="shared" si="1"/>
        <v>3/3</v>
      </c>
      <c r="J349" s="21"/>
      <c r="K349" s="21"/>
      <c r="L349" s="21"/>
      <c r="M349" s="22" t="b">
        <f t="shared" si="2"/>
        <v>0</v>
      </c>
      <c r="N349" s="21"/>
      <c r="O349" s="2" t="str">
        <f t="shared" si="3"/>
        <v>Fora do recorte anual + Incluir</v>
      </c>
      <c r="P349" s="2" t="str">
        <f t="array" ref="P349">IF(O349&lt;&gt;"Incluir","",IF(K349&lt;&gt;"",K349,IF(IFERROR(INDEX(Triagem!$J$2:$J$451,MATCH($A349,Triagem!$A$2:$A$451,0))&amp;"","")&lt;&gt;"",IFERROR(INDEX(Triagem!$J$2:$J$451,MATCH($A349,Triagem!$A$2:$A$451,0))&amp;"",""),IF(IFERROR(INDEX('Revisão_Gemini'!$I$7:$I$456,MATCH($A349,'Revisão_Gemini'!$A$7:$A$456,0))&amp;"","")&lt;&gt;"",IFERROR(INDEX('Revisão_Gemini'!$I$7:$I$456,MATCH($A349,'Revisão_Gemini'!$A$7:$A$456,0))&amp;"",""),IFERROR(INDEX('Revisão_ChatGPT'!$I$7:$I$456,MATCH($A349,'Revisão_ChatGPT'!$A$7:$A$456,0))&amp;"","")))))</f>
        <v/>
      </c>
      <c r="Q349" s="2" t="str">
        <f t="array" ref="Q349">IF(O349&lt;&gt;"Excluir","",IF(L349&lt;&gt;"",L349,IF(F349="Excluir",IFERROR(INDEX(Triagem!$K$2:$K$451,MATCH($A349,Triagem!$A$2:$A$451,0))&amp;"",""),IF(G349="Excluir",IFERROR(INDEX('Revisão_Gemini'!$J$7:$J$456,MATCH($A349,'Revisão_Gemini'!$A$7:$A$456,0))&amp;"",""),IFERROR(INDEX('Revisão_ChatGPT'!$J$7:$J$456,MATCH($A349,'Revisão_ChatGPT'!$A$7:$A$456,0))&amp;"","")))))</f>
        <v/>
      </c>
    </row>
    <row r="350" ht="15.75" customHeight="1">
      <c r="A350" s="2" t="s">
        <v>1661</v>
      </c>
      <c r="B350" s="19" t="str">
        <f t="array" ref="B350">INDEX(Triagem!$N$2:$N451 , MATCH(A350,Triagem!$A$2:$A451,0))</f>
        <v>abrir</v>
      </c>
      <c r="C350" s="20">
        <f t="array" ref="C350">INDEX(Triagem!$B$2:$B451 , MATCH(A350,Triagem!$A$2:$A451,0))</f>
        <v>2023</v>
      </c>
      <c r="D350" s="2" t="s">
        <v>1663</v>
      </c>
      <c r="E350" s="2" t="s">
        <v>1664</v>
      </c>
      <c r="F350" s="2" t="str">
        <f t="array" ref="F350">IFERROR(INDEX(Triagem!$I$2:$I$451,MATCH($A350,Triagem!$A$2:$A$451,0))&amp;"","")</f>
        <v>Excluir</v>
      </c>
      <c r="G350" s="2" t="str">
        <f t="array" ref="G350">IFERROR(INDEX('Revisão_Gemini'!$H$7:$H$456,MATCH($A350,'Revisão_Gemini'!$A$7:$A$456,0))&amp;"","")</f>
        <v>Incluir</v>
      </c>
      <c r="H350" s="2" t="str">
        <f t="array" ref="H350">IFERROR(INDEX('Revisão_ChatGPT'!$H$7:$H$456,MATCH($A350,'Revisão_ChatGPT'!$A$7:$A$456,0))&amp;"","")</f>
        <v>Excluir</v>
      </c>
      <c r="I350" s="2" t="str">
        <f t="shared" si="1"/>
        <v>2/3</v>
      </c>
      <c r="J350" s="21" t="s">
        <v>906</v>
      </c>
      <c r="K350" s="21"/>
      <c r="L350" s="21"/>
      <c r="M350" s="22" t="b">
        <f t="shared" si="2"/>
        <v>0</v>
      </c>
      <c r="N350" s="21" t="s">
        <v>3369</v>
      </c>
      <c r="O350" s="2" t="str">
        <f t="shared" si="3"/>
        <v>Fora do recorte anual + Excluir</v>
      </c>
      <c r="P350" s="2" t="str">
        <f t="array" ref="P350">IF(O350&lt;&gt;"Incluir","",IF(K350&lt;&gt;"",K350,IF(IFERROR(INDEX(Triagem!$J$2:$J$451,MATCH($A350,Triagem!$A$2:$A$451,0))&amp;"","")&lt;&gt;"",IFERROR(INDEX(Triagem!$J$2:$J$451,MATCH($A350,Triagem!$A$2:$A$451,0))&amp;"",""),IF(IFERROR(INDEX('Revisão_Gemini'!$I$7:$I$456,MATCH($A350,'Revisão_Gemini'!$A$7:$A$456,0))&amp;"","")&lt;&gt;"",IFERROR(INDEX('Revisão_Gemini'!$I$7:$I$456,MATCH($A350,'Revisão_Gemini'!$A$7:$A$456,0))&amp;"",""),IFERROR(INDEX('Revisão_ChatGPT'!$I$7:$I$456,MATCH($A350,'Revisão_ChatGPT'!$A$7:$A$456,0))&amp;"","")))))</f>
        <v/>
      </c>
      <c r="Q350" s="2" t="str">
        <f t="array" ref="Q350">IF(O350&lt;&gt;"Excluir","",IF(L350&lt;&gt;"",L350,IF(F350="Excluir",IFERROR(INDEX(Triagem!$K$2:$K$451,MATCH($A350,Triagem!$A$2:$A$451,0))&amp;"",""),IF(G350="Excluir",IFERROR(INDEX('Revisão_Gemini'!$J$7:$J$456,MATCH($A350,'Revisão_Gemini'!$A$7:$A$456,0))&amp;"",""),IFERROR(INDEX('Revisão_ChatGPT'!$J$7:$J$456,MATCH($A350,'Revisão_ChatGPT'!$A$7:$A$456,0))&amp;"","")))))</f>
        <v/>
      </c>
    </row>
    <row r="351" ht="15.75" customHeight="1">
      <c r="A351" s="2" t="s">
        <v>1923</v>
      </c>
      <c r="B351" s="19" t="str">
        <f t="array" ref="B351">INDEX(Triagem!$N$2:$N451 , MATCH(A351,Triagem!$A$2:$A451,0))</f>
        <v>abrir</v>
      </c>
      <c r="C351" s="20">
        <f t="array" ref="C351">INDEX(Triagem!$B$2:$B451 , MATCH(A351,Triagem!$A$2:$A451,0))</f>
        <v>2021</v>
      </c>
      <c r="D351" s="2" t="s">
        <v>1925</v>
      </c>
      <c r="E351" s="2" t="s">
        <v>1926</v>
      </c>
      <c r="F351" s="2" t="str">
        <f t="array" ref="F351">IFERROR(INDEX(Triagem!$I$2:$I$451,MATCH($A351,Triagem!$A$2:$A$451,0))&amp;"","")</f>
        <v>Excluir</v>
      </c>
      <c r="G351" s="2" t="str">
        <f t="array" ref="G351">IFERROR(INDEX('Revisão_Gemini'!$H$7:$H$456,MATCH($A351,'Revisão_Gemini'!$A$7:$A$456,0))&amp;"","")</f>
        <v>Apoio</v>
      </c>
      <c r="H351" s="2" t="str">
        <f t="array" ref="H351">IFERROR(INDEX('Revisão_ChatGPT'!$H$7:$H$456,MATCH($A351,'Revisão_ChatGPT'!$A$7:$A$456,0))&amp;"","")</f>
        <v>Apoio</v>
      </c>
      <c r="I351" s="2" t="str">
        <f t="shared" si="1"/>
        <v>2/3</v>
      </c>
      <c r="J351" s="21" t="s">
        <v>906</v>
      </c>
      <c r="K351" s="21"/>
      <c r="L351" s="21"/>
      <c r="M351" s="22" t="b">
        <f t="shared" si="2"/>
        <v>0</v>
      </c>
      <c r="N351" s="21"/>
      <c r="O351" s="2" t="str">
        <f t="shared" si="3"/>
        <v>Fora do recorte anual + Excluir</v>
      </c>
      <c r="P351" s="2" t="str">
        <f t="array" ref="P351">IF(O351&lt;&gt;"Incluir","",IF(K351&lt;&gt;"",K351,IF(IFERROR(INDEX(Triagem!$J$2:$J$451,MATCH($A351,Triagem!$A$2:$A$451,0))&amp;"","")&lt;&gt;"",IFERROR(INDEX(Triagem!$J$2:$J$451,MATCH($A351,Triagem!$A$2:$A$451,0))&amp;"",""),IF(IFERROR(INDEX('Revisão_Gemini'!$I$7:$I$456,MATCH($A351,'Revisão_Gemini'!$A$7:$A$456,0))&amp;"","")&lt;&gt;"",IFERROR(INDEX('Revisão_Gemini'!$I$7:$I$456,MATCH($A351,'Revisão_Gemini'!$A$7:$A$456,0))&amp;"",""),IFERROR(INDEX('Revisão_ChatGPT'!$I$7:$I$456,MATCH($A351,'Revisão_ChatGPT'!$A$7:$A$456,0))&amp;"","")))))</f>
        <v/>
      </c>
      <c r="Q351" s="2" t="str">
        <f t="array" ref="Q351">IF(O351&lt;&gt;"Excluir","",IF(L351&lt;&gt;"",L351,IF(F351="Excluir",IFERROR(INDEX(Triagem!$K$2:$K$451,MATCH($A351,Triagem!$A$2:$A$451,0))&amp;"",""),IF(G351="Excluir",IFERROR(INDEX('Revisão_Gemini'!$J$7:$J$456,MATCH($A351,'Revisão_Gemini'!$A$7:$A$456,0))&amp;"",""),IFERROR(INDEX('Revisão_ChatGPT'!$J$7:$J$456,MATCH($A351,'Revisão_ChatGPT'!$A$7:$A$456,0))&amp;"","")))))</f>
        <v/>
      </c>
    </row>
    <row r="352" ht="15.75" customHeight="1">
      <c r="A352" s="2" t="s">
        <v>1126</v>
      </c>
      <c r="B352" s="19" t="str">
        <f t="array" ref="B352">INDEX(Triagem!$N$2:$N451 , MATCH(A352,Triagem!$A$2:$A451,0))</f>
        <v>abrir</v>
      </c>
      <c r="C352" s="20">
        <f t="array" ref="C352">INDEX(Triagem!$B$2:$B451 , MATCH(A352,Triagem!$A$2:$A451,0))</f>
        <v>2023</v>
      </c>
      <c r="D352" s="2" t="s">
        <v>1128</v>
      </c>
      <c r="E352" s="2" t="s">
        <v>1129</v>
      </c>
      <c r="F352" s="2" t="str">
        <f t="array" ref="F352">IFERROR(INDEX(Triagem!$I$2:$I$451,MATCH($A352,Triagem!$A$2:$A$451,0))&amp;"","")</f>
        <v>Excluir</v>
      </c>
      <c r="G352" s="2" t="str">
        <f t="array" ref="G352">IFERROR(INDEX('Revisão_Gemini'!$H$7:$H$456,MATCH($A352,'Revisão_Gemini'!$A$7:$A$456,0))&amp;"","")</f>
        <v>Excluir</v>
      </c>
      <c r="H352" s="2" t="str">
        <f t="array" ref="H352">IFERROR(INDEX('Revisão_ChatGPT'!$H$7:$H$456,MATCH($A352,'Revisão_ChatGPT'!$A$7:$A$456,0))&amp;"","")</f>
        <v>Excluir</v>
      </c>
      <c r="I352" s="2" t="str">
        <f t="shared" si="1"/>
        <v>3/3</v>
      </c>
      <c r="J352" s="21"/>
      <c r="K352" s="21"/>
      <c r="L352" s="21"/>
      <c r="M352" s="22" t="b">
        <f t="shared" si="2"/>
        <v>0</v>
      </c>
      <c r="N352" s="21" t="s">
        <v>3370</v>
      </c>
      <c r="O352" s="2" t="str">
        <f t="shared" si="3"/>
        <v>Fora do recorte anual + Excluir</v>
      </c>
      <c r="P352" s="2" t="str">
        <f t="array" ref="P352">IF(O352&lt;&gt;"Incluir","",IF(K352&lt;&gt;"",K352,IF(IFERROR(INDEX(Triagem!$J$2:$J$451,MATCH($A352,Triagem!$A$2:$A$451,0))&amp;"","")&lt;&gt;"",IFERROR(INDEX(Triagem!$J$2:$J$451,MATCH($A352,Triagem!$A$2:$A$451,0))&amp;"",""),IF(IFERROR(INDEX('Revisão_Gemini'!$I$7:$I$456,MATCH($A352,'Revisão_Gemini'!$A$7:$A$456,0))&amp;"","")&lt;&gt;"",IFERROR(INDEX('Revisão_Gemini'!$I$7:$I$456,MATCH($A352,'Revisão_Gemini'!$A$7:$A$456,0))&amp;"",""),IFERROR(INDEX('Revisão_ChatGPT'!$I$7:$I$456,MATCH($A352,'Revisão_ChatGPT'!$A$7:$A$456,0))&amp;"","")))))</f>
        <v/>
      </c>
      <c r="Q352" s="2" t="str">
        <f t="array" ref="Q352">IF(O352&lt;&gt;"Excluir","",IF(L352&lt;&gt;"",L352,IF(F352="Excluir",IFERROR(INDEX(Triagem!$K$2:$K$451,MATCH($A352,Triagem!$A$2:$A$451,0))&amp;"",""),IF(G352="Excluir",IFERROR(INDEX('Revisão_Gemini'!$J$7:$J$456,MATCH($A352,'Revisão_Gemini'!$A$7:$A$456,0))&amp;"",""),IFERROR(INDEX('Revisão_ChatGPT'!$J$7:$J$456,MATCH($A352,'Revisão_ChatGPT'!$A$7:$A$456,0))&amp;"","")))))</f>
        <v/>
      </c>
    </row>
    <row r="353" ht="15.75" customHeight="1">
      <c r="A353" s="2" t="s">
        <v>253</v>
      </c>
      <c r="B353" s="19" t="str">
        <f t="array" ref="B353">INDEX(Triagem!$N$2:$N451 , MATCH(A353,Triagem!$A$2:$A451,0))</f>
        <v>abrir</v>
      </c>
      <c r="C353" s="20">
        <f t="array" ref="C353">INDEX(Triagem!$B$2:$B451 , MATCH(A353,Triagem!$A$2:$A451,0))</f>
        <v>2023</v>
      </c>
      <c r="D353" s="2" t="s">
        <v>255</v>
      </c>
      <c r="E353" s="2" t="s">
        <v>256</v>
      </c>
      <c r="F353" s="2" t="str">
        <f t="array" ref="F353">IFERROR(INDEX(Triagem!$I$2:$I$451,MATCH($A353,Triagem!$A$2:$A$451,0))&amp;"","")</f>
        <v>Incluir</v>
      </c>
      <c r="G353" s="2" t="str">
        <f t="array" ref="G353">IFERROR(INDEX('Revisão_Gemini'!$H$7:$H$456,MATCH($A353,'Revisão_Gemini'!$A$7:$A$456,0))&amp;"","")</f>
        <v>Excluir</v>
      </c>
      <c r="H353" s="2" t="str">
        <f t="array" ref="H353">IFERROR(INDEX('Revisão_ChatGPT'!$H$7:$H$456,MATCH($A353,'Revisão_ChatGPT'!$A$7:$A$456,0))&amp;"","")</f>
        <v>Excluir</v>
      </c>
      <c r="I353" s="2" t="str">
        <f t="shared" si="1"/>
        <v>2/3</v>
      </c>
      <c r="J353" s="21" t="s">
        <v>694</v>
      </c>
      <c r="K353" s="21"/>
      <c r="L353" s="21"/>
      <c r="M353" s="22" t="b">
        <f t="shared" si="2"/>
        <v>0</v>
      </c>
      <c r="N353" s="21" t="s">
        <v>3371</v>
      </c>
      <c r="O353" s="2" t="str">
        <f t="shared" si="3"/>
        <v>Fora do recorte anual + Apoio</v>
      </c>
      <c r="P353" s="2" t="str">
        <f t="array" ref="P353">IF(O353&lt;&gt;"Incluir","",IF(K353&lt;&gt;"",K353,IF(IFERROR(INDEX(Triagem!$J$2:$J$451,MATCH($A353,Triagem!$A$2:$A$451,0))&amp;"","")&lt;&gt;"",IFERROR(INDEX(Triagem!$J$2:$J$451,MATCH($A353,Triagem!$A$2:$A$451,0))&amp;"",""),IF(IFERROR(INDEX('Revisão_Gemini'!$I$7:$I$456,MATCH($A353,'Revisão_Gemini'!$A$7:$A$456,0))&amp;"","")&lt;&gt;"",IFERROR(INDEX('Revisão_Gemini'!$I$7:$I$456,MATCH($A353,'Revisão_Gemini'!$A$7:$A$456,0))&amp;"",""),IFERROR(INDEX('Revisão_ChatGPT'!$I$7:$I$456,MATCH($A353,'Revisão_ChatGPT'!$A$7:$A$456,0))&amp;"","")))))</f>
        <v/>
      </c>
      <c r="Q353" s="2" t="str">
        <f t="array" ref="Q353">IF(O353&lt;&gt;"Excluir","",IF(L353&lt;&gt;"",L353,IF(F353="Excluir",IFERROR(INDEX(Triagem!$K$2:$K$451,MATCH($A353,Triagem!$A$2:$A$451,0))&amp;"",""),IF(G353="Excluir",IFERROR(INDEX('Revisão_Gemini'!$J$7:$J$456,MATCH($A353,'Revisão_Gemini'!$A$7:$A$456,0))&amp;"",""),IFERROR(INDEX('Revisão_ChatGPT'!$J$7:$J$456,MATCH($A353,'Revisão_ChatGPT'!$A$7:$A$456,0))&amp;"","")))))</f>
        <v/>
      </c>
    </row>
    <row r="354" ht="15.75" customHeight="1">
      <c r="A354" s="2" t="s">
        <v>190</v>
      </c>
      <c r="B354" s="19" t="str">
        <f t="array" ref="B354">INDEX(Triagem!$N$2:$N451 , MATCH(A354,Triagem!$A$2:$A451,0))</f>
        <v>abrir</v>
      </c>
      <c r="C354" s="20">
        <f t="array" ref="C354">INDEX(Triagem!$B$2:$B451 , MATCH(A354,Triagem!$A$2:$A451,0))</f>
        <v>2024</v>
      </c>
      <c r="D354" s="2" t="s">
        <v>192</v>
      </c>
      <c r="E354" s="2" t="s">
        <v>193</v>
      </c>
      <c r="F354" s="2" t="str">
        <f t="array" ref="F354">IFERROR(INDEX(Triagem!$I$2:$I$451,MATCH($A354,Triagem!$A$2:$A$451,0))&amp;"","")</f>
        <v>Incluir</v>
      </c>
      <c r="G354" s="2" t="str">
        <f t="array" ref="G354">IFERROR(INDEX('Revisão_Gemini'!$H$7:$H$456,MATCH($A354,'Revisão_Gemini'!$A$7:$A$456,0))&amp;"","")</f>
        <v>Incluir</v>
      </c>
      <c r="H354" s="2" t="str">
        <f t="array" ref="H354">IFERROR(INDEX('Revisão_ChatGPT'!$H$7:$H$456,MATCH($A354,'Revisão_ChatGPT'!$A$7:$A$456,0))&amp;"","")</f>
        <v>Incluir</v>
      </c>
      <c r="I354" s="2" t="str">
        <f t="shared" si="1"/>
        <v>3/3</v>
      </c>
      <c r="J354" s="21"/>
      <c r="K354" s="21"/>
      <c r="L354" s="21"/>
      <c r="M354" s="22" t="b">
        <f t="shared" si="2"/>
        <v>1</v>
      </c>
      <c r="N354" s="21"/>
      <c r="O354" s="2" t="str">
        <f t="shared" si="3"/>
        <v>Incluir</v>
      </c>
      <c r="P354" s="2" t="str">
        <f t="array" ref="P354">IF(O354&lt;&gt;"Incluir","",IF(K354&lt;&gt;"",K354,IF(IFERROR(INDEX(Triagem!$J$2:$J$451,MATCH($A354,Triagem!$A$2:$A$451,0))&amp;"","")&lt;&gt;"",IFERROR(INDEX(Triagem!$J$2:$J$451,MATCH($A354,Triagem!$A$2:$A$451,0))&amp;"",""),IF(IFERROR(INDEX('Revisão_Gemini'!$I$7:$I$456,MATCH($A354,'Revisão_Gemini'!$A$7:$A$456,0))&amp;"","")&lt;&gt;"",IFERROR(INDEX('Revisão_Gemini'!$I$7:$I$456,MATCH($A354,'Revisão_Gemini'!$A$7:$A$456,0))&amp;"",""),IFERROR(INDEX('Revisão_ChatGPT'!$I$7:$I$456,MATCH($A354,'Revisão_ChatGPT'!$A$7:$A$456,0))&amp;"","")))))</f>
        <v>A</v>
      </c>
      <c r="Q354" s="2" t="str">
        <f t="array" ref="Q354">IF(O354&lt;&gt;"Excluir","",IF(L354&lt;&gt;"",L354,IF(F354="Excluir",IFERROR(INDEX(Triagem!$K$2:$K$451,MATCH($A354,Triagem!$A$2:$A$451,0))&amp;"",""),IF(G354="Excluir",IFERROR(INDEX('Revisão_Gemini'!$J$7:$J$456,MATCH($A354,'Revisão_Gemini'!$A$7:$A$456,0))&amp;"",""),IFERROR(INDEX('Revisão_ChatGPT'!$J$7:$J$456,MATCH($A354,'Revisão_ChatGPT'!$A$7:$A$456,0))&amp;"","")))))</f>
        <v/>
      </c>
    </row>
    <row r="355" ht="15.75" customHeight="1">
      <c r="A355" s="2" t="s">
        <v>2091</v>
      </c>
      <c r="B355" s="19" t="str">
        <f t="array" ref="B355">INDEX(Triagem!$N$2:$N451 , MATCH(A355,Triagem!$A$2:$A451,0))</f>
        <v>abrir</v>
      </c>
      <c r="C355" s="20">
        <f t="array" ref="C355">INDEX(Triagem!$B$2:$B451 , MATCH(A355,Triagem!$A$2:$A451,0))</f>
        <v>2023</v>
      </c>
      <c r="D355" s="2" t="s">
        <v>2093</v>
      </c>
      <c r="E355" s="2" t="s">
        <v>2094</v>
      </c>
      <c r="F355" s="2" t="str">
        <f t="array" ref="F355">IFERROR(INDEX(Triagem!$I$2:$I$451,MATCH($A355,Triagem!$A$2:$A$451,0))&amp;"","")</f>
        <v>Excluir</v>
      </c>
      <c r="G355" s="2" t="str">
        <f t="array" ref="G355">IFERROR(INDEX('Revisão_Gemini'!$H$7:$H$456,MATCH($A355,'Revisão_Gemini'!$A$7:$A$456,0))&amp;"","")</f>
        <v>Excluir</v>
      </c>
      <c r="H355" s="2" t="str">
        <f t="array" ref="H355">IFERROR(INDEX('Revisão_ChatGPT'!$H$7:$H$456,MATCH($A355,'Revisão_ChatGPT'!$A$7:$A$456,0))&amp;"","")</f>
        <v>Excluir</v>
      </c>
      <c r="I355" s="2" t="str">
        <f t="shared" si="1"/>
        <v>3/3</v>
      </c>
      <c r="J355" s="21"/>
      <c r="K355" s="21"/>
      <c r="L355" s="21"/>
      <c r="M355" s="22" t="b">
        <f t="shared" si="2"/>
        <v>0</v>
      </c>
      <c r="N355" s="21" t="s">
        <v>3372</v>
      </c>
      <c r="O355" s="2" t="str">
        <f t="shared" si="3"/>
        <v>Fora do recorte anual + Excluir</v>
      </c>
      <c r="P355" s="2" t="str">
        <f t="array" ref="P355">IF(O355&lt;&gt;"Incluir","",IF(K355&lt;&gt;"",K355,IF(IFERROR(INDEX(Triagem!$J$2:$J$451,MATCH($A355,Triagem!$A$2:$A$451,0))&amp;"","")&lt;&gt;"",IFERROR(INDEX(Triagem!$J$2:$J$451,MATCH($A355,Triagem!$A$2:$A$451,0))&amp;"",""),IF(IFERROR(INDEX('Revisão_Gemini'!$I$7:$I$456,MATCH($A355,'Revisão_Gemini'!$A$7:$A$456,0))&amp;"","")&lt;&gt;"",IFERROR(INDEX('Revisão_Gemini'!$I$7:$I$456,MATCH($A355,'Revisão_Gemini'!$A$7:$A$456,0))&amp;"",""),IFERROR(INDEX('Revisão_ChatGPT'!$I$7:$I$456,MATCH($A355,'Revisão_ChatGPT'!$A$7:$A$456,0))&amp;"","")))))</f>
        <v/>
      </c>
      <c r="Q355" s="2" t="str">
        <f t="array" ref="Q355">IF(O355&lt;&gt;"Excluir","",IF(L355&lt;&gt;"",L355,IF(F355="Excluir",IFERROR(INDEX(Triagem!$K$2:$K$451,MATCH($A355,Triagem!$A$2:$A$451,0))&amp;"",""),IF(G355="Excluir",IFERROR(INDEX('Revisão_Gemini'!$J$7:$J$456,MATCH($A355,'Revisão_Gemini'!$A$7:$A$456,0))&amp;"",""),IFERROR(INDEX('Revisão_ChatGPT'!$J$7:$J$456,MATCH($A355,'Revisão_ChatGPT'!$A$7:$A$456,0))&amp;"","")))))</f>
        <v/>
      </c>
    </row>
    <row r="356" ht="15.75" customHeight="1">
      <c r="A356" s="2" t="s">
        <v>1970</v>
      </c>
      <c r="B356" s="19" t="str">
        <f t="array" ref="B356">INDEX(Triagem!$N$2:$N451 , MATCH(A356,Triagem!$A$2:$A451,0))</f>
        <v>abrir</v>
      </c>
      <c r="C356" s="20">
        <f t="array" ref="C356">INDEX(Triagem!$B$2:$B451 , MATCH(A356,Triagem!$A$2:$A451,0))</f>
        <v>2024</v>
      </c>
      <c r="D356" s="2" t="s">
        <v>1972</v>
      </c>
      <c r="E356" s="2" t="s">
        <v>1973</v>
      </c>
      <c r="F356" s="2" t="str">
        <f t="array" ref="F356">IFERROR(INDEX(Triagem!$I$2:$I$451,MATCH($A356,Triagem!$A$2:$A$451,0))&amp;"","")</f>
        <v>Excluir</v>
      </c>
      <c r="G356" s="2" t="str">
        <f t="array" ref="G356">IFERROR(INDEX('Revisão_Gemini'!$H$7:$H$456,MATCH($A356,'Revisão_Gemini'!$A$7:$A$456,0))&amp;"","")</f>
        <v>Incluir</v>
      </c>
      <c r="H356" s="2" t="str">
        <f t="array" ref="H356">IFERROR(INDEX('Revisão_ChatGPT'!$H$7:$H$456,MATCH($A356,'Revisão_ChatGPT'!$A$7:$A$456,0))&amp;"","")</f>
        <v>Excluir</v>
      </c>
      <c r="I356" s="2" t="str">
        <f t="shared" si="1"/>
        <v>2/3</v>
      </c>
      <c r="J356" s="21" t="s">
        <v>906</v>
      </c>
      <c r="K356" s="21"/>
      <c r="L356" s="21"/>
      <c r="M356" s="22" t="b">
        <f t="shared" si="2"/>
        <v>1</v>
      </c>
      <c r="N356" s="21" t="s">
        <v>3373</v>
      </c>
      <c r="O356" s="2" t="str">
        <f t="shared" si="3"/>
        <v>Excluir</v>
      </c>
      <c r="P356" s="2" t="str">
        <f t="array" ref="P356">IF(O356&lt;&gt;"Incluir","",IF(K356&lt;&gt;"",K356,IF(IFERROR(INDEX(Triagem!$J$2:$J$451,MATCH($A356,Triagem!$A$2:$A$451,0))&amp;"","")&lt;&gt;"",IFERROR(INDEX(Triagem!$J$2:$J$451,MATCH($A356,Triagem!$A$2:$A$451,0))&amp;"",""),IF(IFERROR(INDEX('Revisão_Gemini'!$I$7:$I$456,MATCH($A356,'Revisão_Gemini'!$A$7:$A$456,0))&amp;"","")&lt;&gt;"",IFERROR(INDEX('Revisão_Gemini'!$I$7:$I$456,MATCH($A356,'Revisão_Gemini'!$A$7:$A$456,0))&amp;"",""),IFERROR(INDEX('Revisão_ChatGPT'!$I$7:$I$456,MATCH($A356,'Revisão_ChatGPT'!$A$7:$A$456,0))&amp;"","")))))</f>
        <v/>
      </c>
      <c r="Q356" s="2" t="str">
        <f t="array" ref="Q356">IF(O356&lt;&gt;"Excluir","",IF(L356&lt;&gt;"",L356,IF(F356="Excluir",IFERROR(INDEX(Triagem!$K$2:$K$451,MATCH($A356,Triagem!$A$2:$A$451,0))&amp;"",""),IF(G356="Excluir",IFERROR(INDEX('Revisão_Gemini'!$J$7:$J$456,MATCH($A356,'Revisão_Gemini'!$A$7:$A$456,0))&amp;"",""),IFERROR(INDEX('Revisão_ChatGPT'!$J$7:$J$456,MATCH($A356,'Revisão_ChatGPT'!$A$7:$A$456,0))&amp;"","")))))</f>
        <v>E5</v>
      </c>
    </row>
    <row r="357" ht="15.75" customHeight="1">
      <c r="A357" s="2" t="s">
        <v>2140</v>
      </c>
      <c r="B357" s="19" t="str">
        <f t="array" ref="B357">INDEX(Triagem!$N$2:$N451 , MATCH(A357,Triagem!$A$2:$A451,0))</f>
        <v>abrir</v>
      </c>
      <c r="C357" s="20">
        <f t="array" ref="C357">INDEX(Triagem!$B$2:$B451 , MATCH(A357,Triagem!$A$2:$A451,0))</f>
        <v>2024</v>
      </c>
      <c r="D357" s="2" t="s">
        <v>2142</v>
      </c>
      <c r="E357" s="2" t="s">
        <v>2143</v>
      </c>
      <c r="F357" s="2" t="str">
        <f t="array" ref="F357">IFERROR(INDEX(Triagem!$I$2:$I$451,MATCH($A357,Triagem!$A$2:$A$451,0))&amp;"","")</f>
        <v>Excluir</v>
      </c>
      <c r="G357" s="2" t="str">
        <f t="array" ref="G357">IFERROR(INDEX('Revisão_Gemini'!$H$7:$H$456,MATCH($A357,'Revisão_Gemini'!$A$7:$A$456,0))&amp;"","")</f>
        <v>Excluir</v>
      </c>
      <c r="H357" s="2" t="str">
        <f t="array" ref="H357">IFERROR(INDEX('Revisão_ChatGPT'!$H$7:$H$456,MATCH($A357,'Revisão_ChatGPT'!$A$7:$A$456,0))&amp;"","")</f>
        <v>Excluir</v>
      </c>
      <c r="I357" s="2" t="str">
        <f t="shared" si="1"/>
        <v>3/3</v>
      </c>
      <c r="J357" s="21"/>
      <c r="K357" s="21"/>
      <c r="L357" s="21"/>
      <c r="M357" s="22" t="b">
        <f t="shared" si="2"/>
        <v>1</v>
      </c>
      <c r="N357" s="21" t="s">
        <v>3374</v>
      </c>
      <c r="O357" s="2" t="str">
        <f t="shared" si="3"/>
        <v>Excluir</v>
      </c>
      <c r="P357" s="2" t="str">
        <f t="array" ref="P357">IF(O357&lt;&gt;"Incluir","",IF(K357&lt;&gt;"",K357,IF(IFERROR(INDEX(Triagem!$J$2:$J$451,MATCH($A357,Triagem!$A$2:$A$451,0))&amp;"","")&lt;&gt;"",IFERROR(INDEX(Triagem!$J$2:$J$451,MATCH($A357,Triagem!$A$2:$A$451,0))&amp;"",""),IF(IFERROR(INDEX('Revisão_Gemini'!$I$7:$I$456,MATCH($A357,'Revisão_Gemini'!$A$7:$A$456,0))&amp;"","")&lt;&gt;"",IFERROR(INDEX('Revisão_Gemini'!$I$7:$I$456,MATCH($A357,'Revisão_Gemini'!$A$7:$A$456,0))&amp;"",""),IFERROR(INDEX('Revisão_ChatGPT'!$I$7:$I$456,MATCH($A357,'Revisão_ChatGPT'!$A$7:$A$456,0))&amp;"","")))))</f>
        <v/>
      </c>
      <c r="Q357" s="2" t="str">
        <f t="array" ref="Q357">IF(O357&lt;&gt;"Excluir","",IF(L357&lt;&gt;"",L357,IF(F357="Excluir",IFERROR(INDEX(Triagem!$K$2:$K$451,MATCH($A357,Triagem!$A$2:$A$451,0))&amp;"",""),IF(G357="Excluir",IFERROR(INDEX('Revisão_Gemini'!$J$7:$J$456,MATCH($A357,'Revisão_Gemini'!$A$7:$A$456,0))&amp;"",""),IFERROR(INDEX('Revisão_ChatGPT'!$J$7:$J$456,MATCH($A357,'Revisão_ChatGPT'!$A$7:$A$456,0))&amp;"","")))))</f>
        <v>E8</v>
      </c>
    </row>
    <row r="358" ht="15.75" customHeight="1">
      <c r="A358" s="2" t="s">
        <v>1130</v>
      </c>
      <c r="B358" s="19" t="str">
        <f t="array" ref="B358">INDEX(Triagem!$N$2:$N451 , MATCH(A358,Triagem!$A$2:$A451,0))</f>
        <v>abrir</v>
      </c>
      <c r="C358" s="20">
        <f t="array" ref="C358">INDEX(Triagem!$B$2:$B451 , MATCH(A358,Triagem!$A$2:$A451,0))</f>
        <v>2023</v>
      </c>
      <c r="D358" s="2" t="s">
        <v>1132</v>
      </c>
      <c r="E358" s="2" t="s">
        <v>1133</v>
      </c>
      <c r="F358" s="2" t="str">
        <f t="array" ref="F358">IFERROR(INDEX(Triagem!$I$2:$I$451,MATCH($A358,Triagem!$A$2:$A$451,0))&amp;"","")</f>
        <v>Excluir</v>
      </c>
      <c r="G358" s="2" t="str">
        <f t="array" ref="G358">IFERROR(INDEX('Revisão_Gemini'!$H$7:$H$456,MATCH($A358,'Revisão_Gemini'!$A$7:$A$456,0))&amp;"","")</f>
        <v>Excluir</v>
      </c>
      <c r="H358" s="2" t="str">
        <f t="array" ref="H358">IFERROR(INDEX('Revisão_ChatGPT'!$H$7:$H$456,MATCH($A358,'Revisão_ChatGPT'!$A$7:$A$456,0))&amp;"","")</f>
        <v>Excluir</v>
      </c>
      <c r="I358" s="2" t="str">
        <f t="shared" si="1"/>
        <v>3/3</v>
      </c>
      <c r="J358" s="21"/>
      <c r="K358" s="21"/>
      <c r="L358" s="21"/>
      <c r="M358" s="22" t="b">
        <f t="shared" si="2"/>
        <v>0</v>
      </c>
      <c r="N358" s="21" t="s">
        <v>3375</v>
      </c>
      <c r="O358" s="2" t="str">
        <f t="shared" si="3"/>
        <v>Fora do recorte anual + Excluir</v>
      </c>
      <c r="P358" s="2" t="str">
        <f t="array" ref="P358">IF(O358&lt;&gt;"Incluir","",IF(K358&lt;&gt;"",K358,IF(IFERROR(INDEX(Triagem!$J$2:$J$451,MATCH($A358,Triagem!$A$2:$A$451,0))&amp;"","")&lt;&gt;"",IFERROR(INDEX(Triagem!$J$2:$J$451,MATCH($A358,Triagem!$A$2:$A$451,0))&amp;"",""),IF(IFERROR(INDEX('Revisão_Gemini'!$I$7:$I$456,MATCH($A358,'Revisão_Gemini'!$A$7:$A$456,0))&amp;"","")&lt;&gt;"",IFERROR(INDEX('Revisão_Gemini'!$I$7:$I$456,MATCH($A358,'Revisão_Gemini'!$A$7:$A$456,0))&amp;"",""),IFERROR(INDEX('Revisão_ChatGPT'!$I$7:$I$456,MATCH($A358,'Revisão_ChatGPT'!$A$7:$A$456,0))&amp;"","")))))</f>
        <v/>
      </c>
      <c r="Q358" s="2" t="str">
        <f t="array" ref="Q358">IF(O358&lt;&gt;"Excluir","",IF(L358&lt;&gt;"",L358,IF(F358="Excluir",IFERROR(INDEX(Triagem!$K$2:$K$451,MATCH($A358,Triagem!$A$2:$A$451,0))&amp;"",""),IF(G358="Excluir",IFERROR(INDEX('Revisão_Gemini'!$J$7:$J$456,MATCH($A358,'Revisão_Gemini'!$A$7:$A$456,0))&amp;"",""),IFERROR(INDEX('Revisão_ChatGPT'!$J$7:$J$456,MATCH($A358,'Revisão_ChatGPT'!$A$7:$A$456,0))&amp;"","")))))</f>
        <v/>
      </c>
    </row>
    <row r="359" ht="15.75" customHeight="1">
      <c r="A359" s="2" t="s">
        <v>1975</v>
      </c>
      <c r="B359" s="19" t="str">
        <f t="array" ref="B359">INDEX(Triagem!$N$2:$N451 , MATCH(A359,Triagem!$A$2:$A451,0))</f>
        <v>abrir</v>
      </c>
      <c r="C359" s="20">
        <f t="array" ref="C359">INDEX(Triagem!$B$2:$B451 , MATCH(A359,Triagem!$A$2:$A451,0))</f>
        <v>2024</v>
      </c>
      <c r="D359" s="2" t="s">
        <v>1977</v>
      </c>
      <c r="E359" s="2" t="s">
        <v>1978</v>
      </c>
      <c r="F359" s="2" t="str">
        <f t="array" ref="F359">IFERROR(INDEX(Triagem!$I$2:$I$451,MATCH($A359,Triagem!$A$2:$A$451,0))&amp;"","")</f>
        <v>Excluir</v>
      </c>
      <c r="G359" s="2" t="str">
        <f t="array" ref="G359">IFERROR(INDEX('Revisão_Gemini'!$H$7:$H$456,MATCH($A359,'Revisão_Gemini'!$A$7:$A$456,0))&amp;"","")</f>
        <v>Excluir</v>
      </c>
      <c r="H359" s="2" t="str">
        <f t="array" ref="H359">IFERROR(INDEX('Revisão_ChatGPT'!$H$7:$H$456,MATCH($A359,'Revisão_ChatGPT'!$A$7:$A$456,0))&amp;"","")</f>
        <v>Excluir</v>
      </c>
      <c r="I359" s="2" t="str">
        <f t="shared" si="1"/>
        <v>3/3</v>
      </c>
      <c r="J359" s="21"/>
      <c r="K359" s="21"/>
      <c r="L359" s="21"/>
      <c r="M359" s="22" t="b">
        <f t="shared" si="2"/>
        <v>1</v>
      </c>
      <c r="N359" s="21"/>
      <c r="O359" s="2" t="str">
        <f t="shared" si="3"/>
        <v>Excluir</v>
      </c>
      <c r="P359" s="2" t="str">
        <f t="array" ref="P359">IF(O359&lt;&gt;"Incluir","",IF(K359&lt;&gt;"",K359,IF(IFERROR(INDEX(Triagem!$J$2:$J$451,MATCH($A359,Triagem!$A$2:$A$451,0))&amp;"","")&lt;&gt;"",IFERROR(INDEX(Triagem!$J$2:$J$451,MATCH($A359,Triagem!$A$2:$A$451,0))&amp;"",""),IF(IFERROR(INDEX('Revisão_Gemini'!$I$7:$I$456,MATCH($A359,'Revisão_Gemini'!$A$7:$A$456,0))&amp;"","")&lt;&gt;"",IFERROR(INDEX('Revisão_Gemini'!$I$7:$I$456,MATCH($A359,'Revisão_Gemini'!$A$7:$A$456,0))&amp;"",""),IFERROR(INDEX('Revisão_ChatGPT'!$I$7:$I$456,MATCH($A359,'Revisão_ChatGPT'!$A$7:$A$456,0))&amp;"","")))))</f>
        <v/>
      </c>
      <c r="Q359" s="2" t="str">
        <f t="array" ref="Q359">IF(O359&lt;&gt;"Excluir","",IF(L359&lt;&gt;"",L359,IF(F359="Excluir",IFERROR(INDEX(Triagem!$K$2:$K$451,MATCH($A359,Triagem!$A$2:$A$451,0))&amp;"",""),IF(G359="Excluir",IFERROR(INDEX('Revisão_Gemini'!$J$7:$J$456,MATCH($A359,'Revisão_Gemini'!$A$7:$A$456,0))&amp;"",""),IFERROR(INDEX('Revisão_ChatGPT'!$J$7:$J$456,MATCH($A359,'Revisão_ChatGPT'!$A$7:$A$456,0))&amp;"","")))))</f>
        <v>E5</v>
      </c>
    </row>
    <row r="360" ht="15.75" customHeight="1">
      <c r="A360" s="2" t="s">
        <v>258</v>
      </c>
      <c r="B360" s="19" t="str">
        <f t="array" ref="B360">INDEX(Triagem!$N$2:$N451 , MATCH(A360,Triagem!$A$2:$A451,0))</f>
        <v>abrir</v>
      </c>
      <c r="C360" s="20">
        <f t="array" ref="C360">INDEX(Triagem!$B$2:$B451 , MATCH(A360,Triagem!$A$2:$A451,0))</f>
        <v>2023</v>
      </c>
      <c r="D360" s="2" t="s">
        <v>259</v>
      </c>
      <c r="E360" s="2" t="s">
        <v>260</v>
      </c>
      <c r="F360" s="2" t="str">
        <f t="array" ref="F360">IFERROR(INDEX(Triagem!$I$2:$I$451,MATCH($A360,Triagem!$A$2:$A$451,0))&amp;"","")</f>
        <v>Incluir</v>
      </c>
      <c r="G360" s="2" t="str">
        <f t="array" ref="G360">IFERROR(INDEX('Revisão_Gemini'!$H$7:$H$456,MATCH($A360,'Revisão_Gemini'!$A$7:$A$456,0))&amp;"","")</f>
        <v>Incluir</v>
      </c>
      <c r="H360" s="2" t="str">
        <f t="array" ref="H360">IFERROR(INDEX('Revisão_ChatGPT'!$H$7:$H$456,MATCH($A360,'Revisão_ChatGPT'!$A$7:$A$456,0))&amp;"","")</f>
        <v>Incluir</v>
      </c>
      <c r="I360" s="2" t="str">
        <f t="shared" si="1"/>
        <v>3/3</v>
      </c>
      <c r="J360" s="21"/>
      <c r="K360" s="21"/>
      <c r="L360" s="21"/>
      <c r="M360" s="22" t="b">
        <f t="shared" si="2"/>
        <v>0</v>
      </c>
      <c r="N360" s="21" t="s">
        <v>3376</v>
      </c>
      <c r="O360" s="2" t="str">
        <f t="shared" si="3"/>
        <v>Fora do recorte anual + Incluir</v>
      </c>
      <c r="P360" s="2" t="str">
        <f t="array" ref="P360">IF(O360&lt;&gt;"Incluir","",IF(K360&lt;&gt;"",K360,IF(IFERROR(INDEX(Triagem!$J$2:$J$451,MATCH($A360,Triagem!$A$2:$A$451,0))&amp;"","")&lt;&gt;"",IFERROR(INDEX(Triagem!$J$2:$J$451,MATCH($A360,Triagem!$A$2:$A$451,0))&amp;"",""),IF(IFERROR(INDEX('Revisão_Gemini'!$I$7:$I$456,MATCH($A360,'Revisão_Gemini'!$A$7:$A$456,0))&amp;"","")&lt;&gt;"",IFERROR(INDEX('Revisão_Gemini'!$I$7:$I$456,MATCH($A360,'Revisão_Gemini'!$A$7:$A$456,0))&amp;"",""),IFERROR(INDEX('Revisão_ChatGPT'!$I$7:$I$456,MATCH($A360,'Revisão_ChatGPT'!$A$7:$A$456,0))&amp;"","")))))</f>
        <v/>
      </c>
      <c r="Q360" s="2" t="str">
        <f t="array" ref="Q360">IF(O360&lt;&gt;"Excluir","",IF(L360&lt;&gt;"",L360,IF(F360="Excluir",IFERROR(INDEX(Triagem!$K$2:$K$451,MATCH($A360,Triagem!$A$2:$A$451,0))&amp;"",""),IF(G360="Excluir",IFERROR(INDEX('Revisão_Gemini'!$J$7:$J$456,MATCH($A360,'Revisão_Gemini'!$A$7:$A$456,0))&amp;"",""),IFERROR(INDEX('Revisão_ChatGPT'!$J$7:$J$456,MATCH($A360,'Revisão_ChatGPT'!$A$7:$A$456,0))&amp;"","")))))</f>
        <v/>
      </c>
    </row>
    <row r="361" ht="15.75" customHeight="1">
      <c r="A361" s="2" t="s">
        <v>1980</v>
      </c>
      <c r="B361" s="19" t="str">
        <f t="array" ref="B361">INDEX(Triagem!$N$2:$N451 , MATCH(A361,Triagem!$A$2:$A451,0))</f>
        <v>abrir</v>
      </c>
      <c r="C361" s="20">
        <f t="array" ref="C361">INDEX(Triagem!$B$2:$B451 , MATCH(A361,Triagem!$A$2:$A451,0))</f>
        <v>2024</v>
      </c>
      <c r="D361" s="2" t="s">
        <v>1982</v>
      </c>
      <c r="E361" s="2" t="s">
        <v>1983</v>
      </c>
      <c r="F361" s="2" t="str">
        <f t="array" ref="F361">IFERROR(INDEX(Triagem!$I$2:$I$451,MATCH($A361,Triagem!$A$2:$A$451,0))&amp;"","")</f>
        <v>Excluir</v>
      </c>
      <c r="G361" s="2" t="str">
        <f t="array" ref="G361">IFERROR(INDEX('Revisão_Gemini'!$H$7:$H$456,MATCH($A361,'Revisão_Gemini'!$A$7:$A$456,0))&amp;"","")</f>
        <v>Incluir</v>
      </c>
      <c r="H361" s="2" t="str">
        <f t="array" ref="H361">IFERROR(INDEX('Revisão_ChatGPT'!$H$7:$H$456,MATCH($A361,'Revisão_ChatGPT'!$A$7:$A$456,0))&amp;"","")</f>
        <v>Excluir</v>
      </c>
      <c r="I361" s="2" t="str">
        <f t="shared" si="1"/>
        <v>2/3</v>
      </c>
      <c r="J361" s="21" t="s">
        <v>906</v>
      </c>
      <c r="K361" s="21"/>
      <c r="L361" s="21"/>
      <c r="M361" s="22" t="b">
        <f t="shared" si="2"/>
        <v>1</v>
      </c>
      <c r="N361" s="21"/>
      <c r="O361" s="2" t="str">
        <f t="shared" si="3"/>
        <v>Excluir</v>
      </c>
      <c r="P361" s="2" t="str">
        <f t="array" ref="P361">IF(O361&lt;&gt;"Incluir","",IF(K361&lt;&gt;"",K361,IF(IFERROR(INDEX(Triagem!$J$2:$J$451,MATCH($A361,Triagem!$A$2:$A$451,0))&amp;"","")&lt;&gt;"",IFERROR(INDEX(Triagem!$J$2:$J$451,MATCH($A361,Triagem!$A$2:$A$451,0))&amp;"",""),IF(IFERROR(INDEX('Revisão_Gemini'!$I$7:$I$456,MATCH($A361,'Revisão_Gemini'!$A$7:$A$456,0))&amp;"","")&lt;&gt;"",IFERROR(INDEX('Revisão_Gemini'!$I$7:$I$456,MATCH($A361,'Revisão_Gemini'!$A$7:$A$456,0))&amp;"",""),IFERROR(INDEX('Revisão_ChatGPT'!$I$7:$I$456,MATCH($A361,'Revisão_ChatGPT'!$A$7:$A$456,0))&amp;"","")))))</f>
        <v/>
      </c>
      <c r="Q361" s="2" t="str">
        <f t="array" ref="Q361">IF(O361&lt;&gt;"Excluir","",IF(L361&lt;&gt;"",L361,IF(F361="Excluir",IFERROR(INDEX(Triagem!$K$2:$K$451,MATCH($A361,Triagem!$A$2:$A$451,0))&amp;"",""),IF(G361="Excluir",IFERROR(INDEX('Revisão_Gemini'!$J$7:$J$456,MATCH($A361,'Revisão_Gemini'!$A$7:$A$456,0))&amp;"",""),IFERROR(INDEX('Revisão_ChatGPT'!$J$7:$J$456,MATCH($A361,'Revisão_ChatGPT'!$A$7:$A$456,0))&amp;"","")))))</f>
        <v>E5</v>
      </c>
    </row>
    <row r="362" ht="15.75" customHeight="1">
      <c r="A362" s="2" t="s">
        <v>195</v>
      </c>
      <c r="B362" s="19" t="str">
        <f t="array" ref="B362">INDEX(Triagem!$N$2:$N451 , MATCH(A362,Triagem!$A$2:$A451,0))</f>
        <v>abrir</v>
      </c>
      <c r="C362" s="20">
        <f t="array" ref="C362">INDEX(Triagem!$B$2:$B451 , MATCH(A362,Triagem!$A$2:$A451,0))</f>
        <v>2024</v>
      </c>
      <c r="D362" s="2" t="s">
        <v>197</v>
      </c>
      <c r="E362" s="2" t="s">
        <v>198</v>
      </c>
      <c r="F362" s="2" t="str">
        <f t="array" ref="F362">IFERROR(INDEX(Triagem!$I$2:$I$451,MATCH($A362,Triagem!$A$2:$A$451,0))&amp;"","")</f>
        <v>Incluir</v>
      </c>
      <c r="G362" s="2" t="str">
        <f t="array" ref="G362">IFERROR(INDEX('Revisão_Gemini'!$H$7:$H$456,MATCH($A362,'Revisão_Gemini'!$A$7:$A$456,0))&amp;"","")</f>
        <v>Incluir</v>
      </c>
      <c r="H362" s="2" t="str">
        <f t="array" ref="H362">IFERROR(INDEX('Revisão_ChatGPT'!$H$7:$H$456,MATCH($A362,'Revisão_ChatGPT'!$A$7:$A$456,0))&amp;"","")</f>
        <v>Incluir</v>
      </c>
      <c r="I362" s="2" t="str">
        <f t="shared" si="1"/>
        <v>3/3</v>
      </c>
      <c r="J362" s="21"/>
      <c r="K362" s="21"/>
      <c r="L362" s="21"/>
      <c r="M362" s="22" t="b">
        <f t="shared" si="2"/>
        <v>1</v>
      </c>
      <c r="N362" s="21" t="s">
        <v>3377</v>
      </c>
      <c r="O362" s="2" t="str">
        <f t="shared" si="3"/>
        <v>Incluir</v>
      </c>
      <c r="P362" s="2" t="str">
        <f t="array" ref="P362">IF(O362&lt;&gt;"Incluir","",IF(K362&lt;&gt;"",K362,IF(IFERROR(INDEX(Triagem!$J$2:$J$451,MATCH($A362,Triagem!$A$2:$A$451,0))&amp;"","")&lt;&gt;"",IFERROR(INDEX(Triagem!$J$2:$J$451,MATCH($A362,Triagem!$A$2:$A$451,0))&amp;"",""),IF(IFERROR(INDEX('Revisão_Gemini'!$I$7:$I$456,MATCH($A362,'Revisão_Gemini'!$A$7:$A$456,0))&amp;"","")&lt;&gt;"",IFERROR(INDEX('Revisão_Gemini'!$I$7:$I$456,MATCH($A362,'Revisão_Gemini'!$A$7:$A$456,0))&amp;"",""),IFERROR(INDEX('Revisão_ChatGPT'!$I$7:$I$456,MATCH($A362,'Revisão_ChatGPT'!$A$7:$A$456,0))&amp;"","")))))</f>
        <v>A</v>
      </c>
      <c r="Q362" s="2" t="str">
        <f t="array" ref="Q362">IF(O362&lt;&gt;"Excluir","",IF(L362&lt;&gt;"",L362,IF(F362="Excluir",IFERROR(INDEX(Triagem!$K$2:$K$451,MATCH($A362,Triagem!$A$2:$A$451,0))&amp;"",""),IF(G362="Excluir",IFERROR(INDEX('Revisão_Gemini'!$J$7:$J$456,MATCH($A362,'Revisão_Gemini'!$A$7:$A$456,0))&amp;"",""),IFERROR(INDEX('Revisão_ChatGPT'!$J$7:$J$456,MATCH($A362,'Revisão_ChatGPT'!$A$7:$A$456,0))&amp;"","")))))</f>
        <v/>
      </c>
    </row>
    <row r="363" ht="15.75" customHeight="1">
      <c r="A363" s="2" t="s">
        <v>261</v>
      </c>
      <c r="B363" s="19" t="str">
        <f t="array" ref="B363">INDEX(Triagem!$N$2:$N451 , MATCH(A363,Triagem!$A$2:$A451,0))</f>
        <v>abrir</v>
      </c>
      <c r="C363" s="20">
        <f t="array" ref="C363">INDEX(Triagem!$B$2:$B451 , MATCH(A363,Triagem!$A$2:$A451,0))</f>
        <v>2023</v>
      </c>
      <c r="D363" s="2" t="s">
        <v>263</v>
      </c>
      <c r="E363" s="2" t="s">
        <v>264</v>
      </c>
      <c r="F363" s="2" t="str">
        <f t="array" ref="F363">IFERROR(INDEX(Triagem!$I$2:$I$451,MATCH($A363,Triagem!$A$2:$A$451,0))&amp;"","")</f>
        <v>Incluir</v>
      </c>
      <c r="G363" s="2" t="str">
        <f t="array" ref="G363">IFERROR(INDEX('Revisão_Gemini'!$H$7:$H$456,MATCH($A363,'Revisão_Gemini'!$A$7:$A$456,0))&amp;"","")</f>
        <v>Incluir</v>
      </c>
      <c r="H363" s="2" t="str">
        <f t="array" ref="H363">IFERROR(INDEX('Revisão_ChatGPT'!$H$7:$H$456,MATCH($A363,'Revisão_ChatGPT'!$A$7:$A$456,0))&amp;"","")</f>
        <v>Incluir</v>
      </c>
      <c r="I363" s="2" t="str">
        <f t="shared" si="1"/>
        <v>3/3</v>
      </c>
      <c r="J363" s="21"/>
      <c r="K363" s="21"/>
      <c r="L363" s="21"/>
      <c r="M363" s="22" t="b">
        <f t="shared" si="2"/>
        <v>0</v>
      </c>
      <c r="N363" s="21" t="s">
        <v>3378</v>
      </c>
      <c r="O363" s="2" t="str">
        <f t="shared" si="3"/>
        <v>Fora do recorte anual + Incluir</v>
      </c>
      <c r="P363" s="2" t="str">
        <f t="array" ref="P363">IF(O363&lt;&gt;"Incluir","",IF(K363&lt;&gt;"",K363,IF(IFERROR(INDEX(Triagem!$J$2:$J$451,MATCH($A363,Triagem!$A$2:$A$451,0))&amp;"","")&lt;&gt;"",IFERROR(INDEX(Triagem!$J$2:$J$451,MATCH($A363,Triagem!$A$2:$A$451,0))&amp;"",""),IF(IFERROR(INDEX('Revisão_Gemini'!$I$7:$I$456,MATCH($A363,'Revisão_Gemini'!$A$7:$A$456,0))&amp;"","")&lt;&gt;"",IFERROR(INDEX('Revisão_Gemini'!$I$7:$I$456,MATCH($A363,'Revisão_Gemini'!$A$7:$A$456,0))&amp;"",""),IFERROR(INDEX('Revisão_ChatGPT'!$I$7:$I$456,MATCH($A363,'Revisão_ChatGPT'!$A$7:$A$456,0))&amp;"","")))))</f>
        <v/>
      </c>
      <c r="Q363" s="2" t="str">
        <f t="array" ref="Q363">IF(O363&lt;&gt;"Excluir","",IF(L363&lt;&gt;"",L363,IF(F363="Excluir",IFERROR(INDEX(Triagem!$K$2:$K$451,MATCH($A363,Triagem!$A$2:$A$451,0))&amp;"",""),IF(G363="Excluir",IFERROR(INDEX('Revisão_Gemini'!$J$7:$J$456,MATCH($A363,'Revisão_Gemini'!$A$7:$A$456,0))&amp;"",""),IFERROR(INDEX('Revisão_ChatGPT'!$J$7:$J$456,MATCH($A363,'Revisão_ChatGPT'!$A$7:$A$456,0))&amp;"","")))))</f>
        <v/>
      </c>
    </row>
    <row r="364" ht="15.75" customHeight="1">
      <c r="A364" s="2" t="s">
        <v>266</v>
      </c>
      <c r="B364" s="19" t="str">
        <f t="array" ref="B364">INDEX(Triagem!$N$2:$N451 , MATCH(A364,Triagem!$A$2:$A451,0))</f>
        <v>abrir</v>
      </c>
      <c r="C364" s="20">
        <f t="array" ref="C364">INDEX(Triagem!$B$2:$B451 , MATCH(A364,Triagem!$A$2:$A451,0))</f>
        <v>2023</v>
      </c>
      <c r="D364" s="2" t="s">
        <v>268</v>
      </c>
      <c r="E364" s="2" t="s">
        <v>269</v>
      </c>
      <c r="F364" s="2" t="str">
        <f t="array" ref="F364">IFERROR(INDEX(Triagem!$I$2:$I$451,MATCH($A364,Triagem!$A$2:$A$451,0))&amp;"","")</f>
        <v>Incluir</v>
      </c>
      <c r="G364" s="2" t="str">
        <f t="array" ref="G364">IFERROR(INDEX('Revisão_Gemini'!$H$7:$H$456,MATCH($A364,'Revisão_Gemini'!$A$7:$A$456,0))&amp;"","")</f>
        <v>Incluir</v>
      </c>
      <c r="H364" s="2" t="str">
        <f t="array" ref="H364">IFERROR(INDEX('Revisão_ChatGPT'!$H$7:$H$456,MATCH($A364,'Revisão_ChatGPT'!$A$7:$A$456,0))&amp;"","")</f>
        <v>Incluir</v>
      </c>
      <c r="I364" s="2" t="str">
        <f t="shared" si="1"/>
        <v>3/3</v>
      </c>
      <c r="J364" s="21"/>
      <c r="K364" s="21"/>
      <c r="L364" s="21"/>
      <c r="M364" s="22" t="b">
        <f t="shared" si="2"/>
        <v>0</v>
      </c>
      <c r="N364" s="21" t="s">
        <v>3379</v>
      </c>
      <c r="O364" s="2" t="str">
        <f t="shared" si="3"/>
        <v>Fora do recorte anual + Incluir</v>
      </c>
      <c r="P364" s="2" t="str">
        <f t="array" ref="P364">IF(O364&lt;&gt;"Incluir","",IF(K364&lt;&gt;"",K364,IF(IFERROR(INDEX(Triagem!$J$2:$J$451,MATCH($A364,Triagem!$A$2:$A$451,0))&amp;"","")&lt;&gt;"",IFERROR(INDEX(Triagem!$J$2:$J$451,MATCH($A364,Triagem!$A$2:$A$451,0))&amp;"",""),IF(IFERROR(INDEX('Revisão_Gemini'!$I$7:$I$456,MATCH($A364,'Revisão_Gemini'!$A$7:$A$456,0))&amp;"","")&lt;&gt;"",IFERROR(INDEX('Revisão_Gemini'!$I$7:$I$456,MATCH($A364,'Revisão_Gemini'!$A$7:$A$456,0))&amp;"",""),IFERROR(INDEX('Revisão_ChatGPT'!$I$7:$I$456,MATCH($A364,'Revisão_ChatGPT'!$A$7:$A$456,0))&amp;"","")))))</f>
        <v/>
      </c>
      <c r="Q364" s="2" t="str">
        <f t="array" ref="Q364">IF(O364&lt;&gt;"Excluir","",IF(L364&lt;&gt;"",L364,IF(F364="Excluir",IFERROR(INDEX(Triagem!$K$2:$K$451,MATCH($A364,Triagem!$A$2:$A$451,0))&amp;"",""),IF(G364="Excluir",IFERROR(INDEX('Revisão_Gemini'!$J$7:$J$456,MATCH($A364,'Revisão_Gemini'!$A$7:$A$456,0))&amp;"",""),IFERROR(INDEX('Revisão_ChatGPT'!$J$7:$J$456,MATCH($A364,'Revisão_ChatGPT'!$A$7:$A$456,0))&amp;"","")))))</f>
        <v/>
      </c>
    </row>
    <row r="365" ht="15.75" customHeight="1">
      <c r="A365" s="2" t="s">
        <v>1074</v>
      </c>
      <c r="B365" s="19" t="str">
        <f t="array" ref="B365">INDEX(Triagem!$N$2:$N451 , MATCH(A365,Triagem!$A$2:$A451,0))</f>
        <v>abrir</v>
      </c>
      <c r="C365" s="20">
        <f t="array" ref="C365">INDEX(Triagem!$B$2:$B451 , MATCH(A365,Triagem!$A$2:$A451,0))</f>
        <v>2024</v>
      </c>
      <c r="D365" s="2" t="s">
        <v>1076</v>
      </c>
      <c r="E365" s="2" t="s">
        <v>1077</v>
      </c>
      <c r="F365" s="2" t="str">
        <f t="array" ref="F365">IFERROR(INDEX(Triagem!$I$2:$I$451,MATCH($A365,Triagem!$A$2:$A$451,0))&amp;"","")</f>
        <v>Excluir</v>
      </c>
      <c r="G365" s="2" t="str">
        <f t="array" ref="G365">IFERROR(INDEX('Revisão_Gemini'!$H$7:$H$456,MATCH($A365,'Revisão_Gemini'!$A$7:$A$456,0))&amp;"","")</f>
        <v>Excluir</v>
      </c>
      <c r="H365" s="2" t="str">
        <f t="array" ref="H365">IFERROR(INDEX('Revisão_ChatGPT'!$H$7:$H$456,MATCH($A365,'Revisão_ChatGPT'!$A$7:$A$456,0))&amp;"","")</f>
        <v>Excluir</v>
      </c>
      <c r="I365" s="2" t="str">
        <f t="shared" si="1"/>
        <v>3/3</v>
      </c>
      <c r="J365" s="21"/>
      <c r="K365" s="21"/>
      <c r="L365" s="21"/>
      <c r="M365" s="22" t="b">
        <f t="shared" si="2"/>
        <v>1</v>
      </c>
      <c r="N365" s="21" t="s">
        <v>3380</v>
      </c>
      <c r="O365" s="2" t="str">
        <f t="shared" si="3"/>
        <v>Excluir</v>
      </c>
      <c r="P365" s="2" t="str">
        <f t="array" ref="P365">IF(O365&lt;&gt;"Incluir","",IF(K365&lt;&gt;"",K365,IF(IFERROR(INDEX(Triagem!$J$2:$J$451,MATCH($A365,Triagem!$A$2:$A$451,0))&amp;"","")&lt;&gt;"",IFERROR(INDEX(Triagem!$J$2:$J$451,MATCH($A365,Triagem!$A$2:$A$451,0))&amp;"",""),IF(IFERROR(INDEX('Revisão_Gemini'!$I$7:$I$456,MATCH($A365,'Revisão_Gemini'!$A$7:$A$456,0))&amp;"","")&lt;&gt;"",IFERROR(INDEX('Revisão_Gemini'!$I$7:$I$456,MATCH($A365,'Revisão_Gemini'!$A$7:$A$456,0))&amp;"",""),IFERROR(INDEX('Revisão_ChatGPT'!$I$7:$I$456,MATCH($A365,'Revisão_ChatGPT'!$A$7:$A$456,0))&amp;"","")))))</f>
        <v/>
      </c>
      <c r="Q365" s="2" t="str">
        <f t="array" ref="Q365">IF(O365&lt;&gt;"Excluir","",IF(L365&lt;&gt;"",L365,IF(F365="Excluir",IFERROR(INDEX(Triagem!$K$2:$K$451,MATCH($A365,Triagem!$A$2:$A$451,0))&amp;"",""),IF(G365="Excluir",IFERROR(INDEX('Revisão_Gemini'!$J$7:$J$456,MATCH($A365,'Revisão_Gemini'!$A$7:$A$456,0))&amp;"",""),IFERROR(INDEX('Revisão_ChatGPT'!$J$7:$J$456,MATCH($A365,'Revisão_ChatGPT'!$A$7:$A$456,0))&amp;"","")))))</f>
        <v>E2</v>
      </c>
    </row>
    <row r="366" ht="15.75" customHeight="1">
      <c r="A366" s="2" t="s">
        <v>725</v>
      </c>
      <c r="B366" s="19" t="str">
        <f t="array" ref="B366">INDEX(Triagem!$N$2:$N451 , MATCH(A366,Triagem!$A$2:$A451,0))</f>
        <v>abrir</v>
      </c>
      <c r="C366" s="20">
        <f t="array" ref="C366">INDEX(Triagem!$B$2:$B451 , MATCH(A366,Triagem!$A$2:$A451,0))</f>
        <v>2024</v>
      </c>
      <c r="D366" s="2" t="s">
        <v>727</v>
      </c>
      <c r="E366" s="2" t="s">
        <v>728</v>
      </c>
      <c r="F366" s="2" t="str">
        <f t="array" ref="F366">IFERROR(INDEX(Triagem!$I$2:$I$451,MATCH($A366,Triagem!$A$2:$A$451,0))&amp;"","")</f>
        <v>Apoio</v>
      </c>
      <c r="G366" s="2" t="str">
        <f t="array" ref="G366">IFERROR(INDEX('Revisão_Gemini'!$H$7:$H$456,MATCH($A366,'Revisão_Gemini'!$A$7:$A$456,0))&amp;"","")</f>
        <v>Apoio</v>
      </c>
      <c r="H366" s="2" t="str">
        <f t="array" ref="H366">IFERROR(INDEX('Revisão_ChatGPT'!$H$7:$H$456,MATCH($A366,'Revisão_ChatGPT'!$A$7:$A$456,0))&amp;"","")</f>
        <v>Apoio</v>
      </c>
      <c r="I366" s="2" t="str">
        <f t="shared" si="1"/>
        <v>3/3</v>
      </c>
      <c r="J366" s="21"/>
      <c r="K366" s="21"/>
      <c r="L366" s="21"/>
      <c r="M366" s="22" t="b">
        <f t="shared" si="2"/>
        <v>1</v>
      </c>
      <c r="N366" s="21" t="s">
        <v>3381</v>
      </c>
      <c r="O366" s="2" t="str">
        <f t="shared" si="3"/>
        <v>Apoio</v>
      </c>
      <c r="P366" s="2" t="str">
        <f t="array" ref="P366">IF(O366&lt;&gt;"Incluir","",IF(K366&lt;&gt;"",K366,IF(IFERROR(INDEX(Triagem!$J$2:$J$451,MATCH($A366,Triagem!$A$2:$A$451,0))&amp;"","")&lt;&gt;"",IFERROR(INDEX(Triagem!$J$2:$J$451,MATCH($A366,Triagem!$A$2:$A$451,0))&amp;"",""),IF(IFERROR(INDEX('Revisão_Gemini'!$I$7:$I$456,MATCH($A366,'Revisão_Gemini'!$A$7:$A$456,0))&amp;"","")&lt;&gt;"",IFERROR(INDEX('Revisão_Gemini'!$I$7:$I$456,MATCH($A366,'Revisão_Gemini'!$A$7:$A$456,0))&amp;"",""),IFERROR(INDEX('Revisão_ChatGPT'!$I$7:$I$456,MATCH($A366,'Revisão_ChatGPT'!$A$7:$A$456,0))&amp;"","")))))</f>
        <v/>
      </c>
      <c r="Q366" s="2" t="str">
        <f t="array" ref="Q366">IF(O366&lt;&gt;"Excluir","",IF(L366&lt;&gt;"",L366,IF(F366="Excluir",IFERROR(INDEX(Triagem!$K$2:$K$451,MATCH($A366,Triagem!$A$2:$A$451,0))&amp;"",""),IF(G366="Excluir",IFERROR(INDEX('Revisão_Gemini'!$J$7:$J$456,MATCH($A366,'Revisão_Gemini'!$A$7:$A$456,0))&amp;"",""),IFERROR(INDEX('Revisão_ChatGPT'!$J$7:$J$456,MATCH($A366,'Revisão_ChatGPT'!$A$7:$A$456,0))&amp;"","")))))</f>
        <v/>
      </c>
    </row>
    <row r="367" ht="15.75" customHeight="1">
      <c r="A367" s="2" t="s">
        <v>1665</v>
      </c>
      <c r="B367" s="19" t="str">
        <f t="array" ref="B367">INDEX(Triagem!$N$2:$N451 , MATCH(A367,Triagem!$A$2:$A451,0))</f>
        <v>abrir</v>
      </c>
      <c r="C367" s="20">
        <f t="array" ref="C367">INDEX(Triagem!$B$2:$B451 , MATCH(A367,Triagem!$A$2:$A451,0))</f>
        <v>2023</v>
      </c>
      <c r="D367" s="2" t="s">
        <v>1667</v>
      </c>
      <c r="E367" s="2" t="s">
        <v>1668</v>
      </c>
      <c r="F367" s="2" t="str">
        <f t="array" ref="F367">IFERROR(INDEX(Triagem!$I$2:$I$451,MATCH($A367,Triagem!$A$2:$A$451,0))&amp;"","")</f>
        <v>Excluir</v>
      </c>
      <c r="G367" s="2" t="str">
        <f t="array" ref="G367">IFERROR(INDEX('Revisão_Gemini'!$H$7:$H$456,MATCH($A367,'Revisão_Gemini'!$A$7:$A$456,0))&amp;"","")</f>
        <v>Excluir</v>
      </c>
      <c r="H367" s="2" t="str">
        <f t="array" ref="H367">IFERROR(INDEX('Revisão_ChatGPT'!$H$7:$H$456,MATCH($A367,'Revisão_ChatGPT'!$A$7:$A$456,0))&amp;"","")</f>
        <v>Excluir</v>
      </c>
      <c r="I367" s="2" t="str">
        <f t="shared" si="1"/>
        <v>3/3</v>
      </c>
      <c r="J367" s="21"/>
      <c r="K367" s="21"/>
      <c r="L367" s="21"/>
      <c r="M367" s="22" t="b">
        <f t="shared" si="2"/>
        <v>0</v>
      </c>
      <c r="N367" s="21" t="s">
        <v>3382</v>
      </c>
      <c r="O367" s="2" t="str">
        <f t="shared" si="3"/>
        <v>Fora do recorte anual + Excluir</v>
      </c>
      <c r="P367" s="2" t="str">
        <f t="array" ref="P367">IF(O367&lt;&gt;"Incluir","",IF(K367&lt;&gt;"",K367,IF(IFERROR(INDEX(Triagem!$J$2:$J$451,MATCH($A367,Triagem!$A$2:$A$451,0))&amp;"","")&lt;&gt;"",IFERROR(INDEX(Triagem!$J$2:$J$451,MATCH($A367,Triagem!$A$2:$A$451,0))&amp;"",""),IF(IFERROR(INDEX('Revisão_Gemini'!$I$7:$I$456,MATCH($A367,'Revisão_Gemini'!$A$7:$A$456,0))&amp;"","")&lt;&gt;"",IFERROR(INDEX('Revisão_Gemini'!$I$7:$I$456,MATCH($A367,'Revisão_Gemini'!$A$7:$A$456,0))&amp;"",""),IFERROR(INDEX('Revisão_ChatGPT'!$I$7:$I$456,MATCH($A367,'Revisão_ChatGPT'!$A$7:$A$456,0))&amp;"","")))))</f>
        <v/>
      </c>
      <c r="Q367" s="2" t="str">
        <f t="array" ref="Q367">IF(O367&lt;&gt;"Excluir","",IF(L367&lt;&gt;"",L367,IF(F367="Excluir",IFERROR(INDEX(Triagem!$K$2:$K$451,MATCH($A367,Triagem!$A$2:$A$451,0))&amp;"",""),IF(G367="Excluir",IFERROR(INDEX('Revisão_Gemini'!$J$7:$J$456,MATCH($A367,'Revisão_Gemini'!$A$7:$A$456,0))&amp;"",""),IFERROR(INDEX('Revisão_ChatGPT'!$J$7:$J$456,MATCH($A367,'Revisão_ChatGPT'!$A$7:$A$456,0))&amp;"","")))))</f>
        <v/>
      </c>
    </row>
    <row r="368" ht="15.75" customHeight="1">
      <c r="A368" s="2" t="s">
        <v>200</v>
      </c>
      <c r="B368" s="19" t="str">
        <f t="array" ref="B368">INDEX(Triagem!$N$2:$N451 , MATCH(A368,Triagem!$A$2:$A451,0))</f>
        <v>abrir</v>
      </c>
      <c r="C368" s="20">
        <f t="array" ref="C368">INDEX(Triagem!$B$2:$B451 , MATCH(A368,Triagem!$A$2:$A451,0))</f>
        <v>2024</v>
      </c>
      <c r="D368" s="2" t="s">
        <v>202</v>
      </c>
      <c r="E368" s="2" t="s">
        <v>203</v>
      </c>
      <c r="F368" s="2" t="str">
        <f t="array" ref="F368">IFERROR(INDEX(Triagem!$I$2:$I$451,MATCH($A368,Triagem!$A$2:$A$451,0))&amp;"","")</f>
        <v>Incluir</v>
      </c>
      <c r="G368" s="2" t="str">
        <f t="array" ref="G368">IFERROR(INDEX('Revisão_Gemini'!$H$7:$H$456,MATCH($A368,'Revisão_Gemini'!$A$7:$A$456,0))&amp;"","")</f>
        <v>Incluir</v>
      </c>
      <c r="H368" s="2" t="str">
        <f t="array" ref="H368">IFERROR(INDEX('Revisão_ChatGPT'!$H$7:$H$456,MATCH($A368,'Revisão_ChatGPT'!$A$7:$A$456,0))&amp;"","")</f>
        <v>Incluir</v>
      </c>
      <c r="I368" s="2" t="str">
        <f t="shared" si="1"/>
        <v>3/3</v>
      </c>
      <c r="J368" s="21"/>
      <c r="K368" s="21"/>
      <c r="L368" s="21"/>
      <c r="M368" s="22" t="b">
        <f t="shared" si="2"/>
        <v>1</v>
      </c>
      <c r="N368" s="21" t="s">
        <v>3383</v>
      </c>
      <c r="O368" s="2" t="str">
        <f t="shared" si="3"/>
        <v>Incluir</v>
      </c>
      <c r="P368" s="2" t="str">
        <f t="array" ref="P368">IF(O368&lt;&gt;"Incluir","",IF(K368&lt;&gt;"",K368,IF(IFERROR(INDEX(Triagem!$J$2:$J$451,MATCH($A368,Triagem!$A$2:$A$451,0))&amp;"","")&lt;&gt;"",IFERROR(INDEX(Triagem!$J$2:$J$451,MATCH($A368,Triagem!$A$2:$A$451,0))&amp;"",""),IF(IFERROR(INDEX('Revisão_Gemini'!$I$7:$I$456,MATCH($A368,'Revisão_Gemini'!$A$7:$A$456,0))&amp;"","")&lt;&gt;"",IFERROR(INDEX('Revisão_Gemini'!$I$7:$I$456,MATCH($A368,'Revisão_Gemini'!$A$7:$A$456,0))&amp;"",""),IFERROR(INDEX('Revisão_ChatGPT'!$I$7:$I$456,MATCH($A368,'Revisão_ChatGPT'!$A$7:$A$456,0))&amp;"","")))))</f>
        <v>A</v>
      </c>
      <c r="Q368" s="2" t="str">
        <f t="array" ref="Q368">IF(O368&lt;&gt;"Excluir","",IF(L368&lt;&gt;"",L368,IF(F368="Excluir",IFERROR(INDEX(Triagem!$K$2:$K$451,MATCH($A368,Triagem!$A$2:$A$451,0))&amp;"",""),IF(G368="Excluir",IFERROR(INDEX('Revisão_Gemini'!$J$7:$J$456,MATCH($A368,'Revisão_Gemini'!$A$7:$A$456,0))&amp;"",""),IFERROR(INDEX('Revisão_ChatGPT'!$J$7:$J$456,MATCH($A368,'Revisão_ChatGPT'!$A$7:$A$456,0))&amp;"","")))))</f>
        <v/>
      </c>
    </row>
    <row r="369" ht="15.75" customHeight="1">
      <c r="A369" s="2" t="s">
        <v>909</v>
      </c>
      <c r="B369" s="19" t="str">
        <f t="array" ref="B369">INDEX(Triagem!$N$2:$N451 , MATCH(A369,Triagem!$A$2:$A451,0))</f>
        <v>abrir</v>
      </c>
      <c r="C369" s="20">
        <f t="array" ref="C369">INDEX(Triagem!$B$2:$B451 , MATCH(A369,Triagem!$A$2:$A451,0))</f>
        <v>2024</v>
      </c>
      <c r="D369" s="2" t="s">
        <v>911</v>
      </c>
      <c r="E369" s="2" t="s">
        <v>912</v>
      </c>
      <c r="F369" s="2" t="str">
        <f t="array" ref="F369">IFERROR(INDEX(Triagem!$I$2:$I$451,MATCH($A369,Triagem!$A$2:$A$451,0))&amp;"","")</f>
        <v>Excluir</v>
      </c>
      <c r="G369" s="2" t="str">
        <f t="array" ref="G369">IFERROR(INDEX('Revisão_Gemini'!$H$7:$H$456,MATCH($A369,'Revisão_Gemini'!$A$7:$A$456,0))&amp;"","")</f>
        <v>Excluir</v>
      </c>
      <c r="H369" s="2" t="str">
        <f t="array" ref="H369">IFERROR(INDEX('Revisão_ChatGPT'!$H$7:$H$456,MATCH($A369,'Revisão_ChatGPT'!$A$7:$A$456,0))&amp;"","")</f>
        <v>Excluir</v>
      </c>
      <c r="I369" s="2" t="str">
        <f t="shared" si="1"/>
        <v>3/3</v>
      </c>
      <c r="J369" s="21"/>
      <c r="K369" s="21"/>
      <c r="L369" s="21"/>
      <c r="M369" s="22" t="b">
        <f t="shared" si="2"/>
        <v>1</v>
      </c>
      <c r="N369" s="21"/>
      <c r="O369" s="2" t="str">
        <f t="shared" si="3"/>
        <v>Excluir</v>
      </c>
      <c r="P369" s="2" t="str">
        <f t="array" ref="P369">IF(O369&lt;&gt;"Incluir","",IF(K369&lt;&gt;"",K369,IF(IFERROR(INDEX(Triagem!$J$2:$J$451,MATCH($A369,Triagem!$A$2:$A$451,0))&amp;"","")&lt;&gt;"",IFERROR(INDEX(Triagem!$J$2:$J$451,MATCH($A369,Triagem!$A$2:$A$451,0))&amp;"",""),IF(IFERROR(INDEX('Revisão_Gemini'!$I$7:$I$456,MATCH($A369,'Revisão_Gemini'!$A$7:$A$456,0))&amp;"","")&lt;&gt;"",IFERROR(INDEX('Revisão_Gemini'!$I$7:$I$456,MATCH($A369,'Revisão_Gemini'!$A$7:$A$456,0))&amp;"",""),IFERROR(INDEX('Revisão_ChatGPT'!$I$7:$I$456,MATCH($A369,'Revisão_ChatGPT'!$A$7:$A$456,0))&amp;"","")))))</f>
        <v/>
      </c>
      <c r="Q369" s="2" t="str">
        <f t="array" ref="Q369">IF(O369&lt;&gt;"Excluir","",IF(L369&lt;&gt;"",L369,IF(F369="Excluir",IFERROR(INDEX(Triagem!$K$2:$K$451,MATCH($A369,Triagem!$A$2:$A$451,0))&amp;"",""),IF(G369="Excluir",IFERROR(INDEX('Revisão_Gemini'!$J$7:$J$456,MATCH($A369,'Revisão_Gemini'!$A$7:$A$456,0))&amp;"",""),IFERROR(INDEX('Revisão_ChatGPT'!$J$7:$J$456,MATCH($A369,'Revisão_ChatGPT'!$A$7:$A$456,0))&amp;"","")))))</f>
        <v>E1</v>
      </c>
    </row>
    <row r="370" ht="15.75" customHeight="1">
      <c r="A370" s="2" t="s">
        <v>1617</v>
      </c>
      <c r="B370" s="19" t="str">
        <f t="array" ref="B370">INDEX(Triagem!$N$2:$N451 , MATCH(A370,Triagem!$A$2:$A451,0))</f>
        <v>abrir</v>
      </c>
      <c r="C370" s="20">
        <f t="array" ref="C370">INDEX(Triagem!$B$2:$B451 , MATCH(A370,Triagem!$A$2:$A451,0))</f>
        <v>2024</v>
      </c>
      <c r="D370" s="2" t="s">
        <v>1619</v>
      </c>
      <c r="E370" s="2" t="s">
        <v>1620</v>
      </c>
      <c r="F370" s="2" t="str">
        <f t="array" ref="F370">IFERROR(INDEX(Triagem!$I$2:$I$451,MATCH($A370,Triagem!$A$2:$A$451,0))&amp;"","")</f>
        <v>Excluir</v>
      </c>
      <c r="G370" s="2" t="str">
        <f t="array" ref="G370">IFERROR(INDEX('Revisão_Gemini'!$H$7:$H$456,MATCH($A370,'Revisão_Gemini'!$A$7:$A$456,0))&amp;"","")</f>
        <v>Excluir</v>
      </c>
      <c r="H370" s="2" t="str">
        <f t="array" ref="H370">IFERROR(INDEX('Revisão_ChatGPT'!$H$7:$H$456,MATCH($A370,'Revisão_ChatGPT'!$A$7:$A$456,0))&amp;"","")</f>
        <v>Excluir</v>
      </c>
      <c r="I370" s="2" t="str">
        <f t="shared" si="1"/>
        <v>3/3</v>
      </c>
      <c r="J370" s="21"/>
      <c r="K370" s="21"/>
      <c r="L370" s="21"/>
      <c r="M370" s="22" t="b">
        <f t="shared" si="2"/>
        <v>1</v>
      </c>
      <c r="N370" s="21"/>
      <c r="O370" s="2" t="str">
        <f t="shared" si="3"/>
        <v>Excluir</v>
      </c>
      <c r="P370" s="2" t="str">
        <f t="array" ref="P370">IF(O370&lt;&gt;"Incluir","",IF(K370&lt;&gt;"",K370,IF(IFERROR(INDEX(Triagem!$J$2:$J$451,MATCH($A370,Triagem!$A$2:$A$451,0))&amp;"","")&lt;&gt;"",IFERROR(INDEX(Triagem!$J$2:$J$451,MATCH($A370,Triagem!$A$2:$A$451,0))&amp;"",""),IF(IFERROR(INDEX('Revisão_Gemini'!$I$7:$I$456,MATCH($A370,'Revisão_Gemini'!$A$7:$A$456,0))&amp;"","")&lt;&gt;"",IFERROR(INDEX('Revisão_Gemini'!$I$7:$I$456,MATCH($A370,'Revisão_Gemini'!$A$7:$A$456,0))&amp;"",""),IFERROR(INDEX('Revisão_ChatGPT'!$I$7:$I$456,MATCH($A370,'Revisão_ChatGPT'!$A$7:$A$456,0))&amp;"","")))))</f>
        <v/>
      </c>
      <c r="Q370" s="2" t="str">
        <f t="array" ref="Q370">IF(O370&lt;&gt;"Excluir","",IF(L370&lt;&gt;"",L370,IF(F370="Excluir",IFERROR(INDEX(Triagem!$K$2:$K$451,MATCH($A370,Triagem!$A$2:$A$451,0))&amp;"",""),IF(G370="Excluir",IFERROR(INDEX('Revisão_Gemini'!$J$7:$J$456,MATCH($A370,'Revisão_Gemini'!$A$7:$A$456,0))&amp;"",""),IFERROR(INDEX('Revisão_ChatGPT'!$J$7:$J$456,MATCH($A370,'Revisão_ChatGPT'!$A$7:$A$456,0))&amp;"","")))))</f>
        <v>E3</v>
      </c>
    </row>
    <row r="371" ht="15.75" customHeight="1">
      <c r="A371" s="2" t="s">
        <v>1621</v>
      </c>
      <c r="B371" s="19" t="str">
        <f t="array" ref="B371">INDEX(Triagem!$N$2:$N451 , MATCH(A371,Triagem!$A$2:$A451,0))</f>
        <v>abrir</v>
      </c>
      <c r="C371" s="20">
        <f t="array" ref="C371">INDEX(Triagem!$B$2:$B451 , MATCH(A371,Triagem!$A$2:$A451,0))</f>
        <v>2024</v>
      </c>
      <c r="D371" s="2" t="s">
        <v>1623</v>
      </c>
      <c r="E371" s="2" t="s">
        <v>1624</v>
      </c>
      <c r="F371" s="2" t="str">
        <f t="array" ref="F371">IFERROR(INDEX(Triagem!$I$2:$I$451,MATCH($A371,Triagem!$A$2:$A$451,0))&amp;"","")</f>
        <v>Excluir</v>
      </c>
      <c r="G371" s="2" t="str">
        <f t="array" ref="G371">IFERROR(INDEX('Revisão_Gemini'!$H$7:$H$456,MATCH($A371,'Revisão_Gemini'!$A$7:$A$456,0))&amp;"","")</f>
        <v>Excluir</v>
      </c>
      <c r="H371" s="2" t="str">
        <f t="array" ref="H371">IFERROR(INDEX('Revisão_ChatGPT'!$H$7:$H$456,MATCH($A371,'Revisão_ChatGPT'!$A$7:$A$456,0))&amp;"","")</f>
        <v>Excluir</v>
      </c>
      <c r="I371" s="2" t="str">
        <f t="shared" si="1"/>
        <v>3/3</v>
      </c>
      <c r="J371" s="21"/>
      <c r="K371" s="21"/>
      <c r="L371" s="21"/>
      <c r="M371" s="22" t="b">
        <f t="shared" si="2"/>
        <v>1</v>
      </c>
      <c r="N371" s="21" t="s">
        <v>3384</v>
      </c>
      <c r="O371" s="2" t="str">
        <f t="shared" si="3"/>
        <v>Excluir</v>
      </c>
      <c r="P371" s="2" t="str">
        <f t="array" ref="P371">IF(O371&lt;&gt;"Incluir","",IF(K371&lt;&gt;"",K371,IF(IFERROR(INDEX(Triagem!$J$2:$J$451,MATCH($A371,Triagem!$A$2:$A$451,0))&amp;"","")&lt;&gt;"",IFERROR(INDEX(Triagem!$J$2:$J$451,MATCH($A371,Triagem!$A$2:$A$451,0))&amp;"",""),IF(IFERROR(INDEX('Revisão_Gemini'!$I$7:$I$456,MATCH($A371,'Revisão_Gemini'!$A$7:$A$456,0))&amp;"","")&lt;&gt;"",IFERROR(INDEX('Revisão_Gemini'!$I$7:$I$456,MATCH($A371,'Revisão_Gemini'!$A$7:$A$456,0))&amp;"",""),IFERROR(INDEX('Revisão_ChatGPT'!$I$7:$I$456,MATCH($A371,'Revisão_ChatGPT'!$A$7:$A$456,0))&amp;"","")))))</f>
        <v/>
      </c>
      <c r="Q371" s="2" t="str">
        <f t="array" ref="Q371">IF(O371&lt;&gt;"Excluir","",IF(L371&lt;&gt;"",L371,IF(F371="Excluir",IFERROR(INDEX(Triagem!$K$2:$K$451,MATCH($A371,Triagem!$A$2:$A$451,0))&amp;"",""),IF(G371="Excluir",IFERROR(INDEX('Revisão_Gemini'!$J$7:$J$456,MATCH($A371,'Revisão_Gemini'!$A$7:$A$456,0))&amp;"",""),IFERROR(INDEX('Revisão_ChatGPT'!$J$7:$J$456,MATCH($A371,'Revisão_ChatGPT'!$A$7:$A$456,0))&amp;"","")))))</f>
        <v>E3</v>
      </c>
    </row>
    <row r="372" ht="15.75" customHeight="1">
      <c r="A372" s="2" t="s">
        <v>1625</v>
      </c>
      <c r="B372" s="19" t="str">
        <f t="array" ref="B372">INDEX(Triagem!$N$2:$N451 , MATCH(A372,Triagem!$A$2:$A451,0))</f>
        <v>abrir</v>
      </c>
      <c r="C372" s="20">
        <f t="array" ref="C372">INDEX(Triagem!$B$2:$B451 , MATCH(A372,Triagem!$A$2:$A451,0))</f>
        <v>2024</v>
      </c>
      <c r="D372" s="2" t="s">
        <v>1626</v>
      </c>
      <c r="E372" s="2" t="s">
        <v>1627</v>
      </c>
      <c r="F372" s="2" t="str">
        <f t="array" ref="F372">IFERROR(INDEX(Triagem!$I$2:$I$451,MATCH($A372,Triagem!$A$2:$A$451,0))&amp;"","")</f>
        <v>Excluir</v>
      </c>
      <c r="G372" s="2" t="str">
        <f t="array" ref="G372">IFERROR(INDEX('Revisão_Gemini'!$H$7:$H$456,MATCH($A372,'Revisão_Gemini'!$A$7:$A$456,0))&amp;"","")</f>
        <v>Excluir</v>
      </c>
      <c r="H372" s="2" t="str">
        <f t="array" ref="H372">IFERROR(INDEX('Revisão_ChatGPT'!$H$7:$H$456,MATCH($A372,'Revisão_ChatGPT'!$A$7:$A$456,0))&amp;"","")</f>
        <v>Excluir</v>
      </c>
      <c r="I372" s="2" t="str">
        <f t="shared" si="1"/>
        <v>3/3</v>
      </c>
      <c r="J372" s="21"/>
      <c r="K372" s="21"/>
      <c r="L372" s="21"/>
      <c r="M372" s="22" t="b">
        <f t="shared" si="2"/>
        <v>1</v>
      </c>
      <c r="N372" s="21"/>
      <c r="O372" s="2" t="str">
        <f t="shared" si="3"/>
        <v>Excluir</v>
      </c>
      <c r="P372" s="2" t="str">
        <f t="array" ref="P372">IF(O372&lt;&gt;"Incluir","",IF(K372&lt;&gt;"",K372,IF(IFERROR(INDEX(Triagem!$J$2:$J$451,MATCH($A372,Triagem!$A$2:$A$451,0))&amp;"","")&lt;&gt;"",IFERROR(INDEX(Triagem!$J$2:$J$451,MATCH($A372,Triagem!$A$2:$A$451,0))&amp;"",""),IF(IFERROR(INDEX('Revisão_Gemini'!$I$7:$I$456,MATCH($A372,'Revisão_Gemini'!$A$7:$A$456,0))&amp;"","")&lt;&gt;"",IFERROR(INDEX('Revisão_Gemini'!$I$7:$I$456,MATCH($A372,'Revisão_Gemini'!$A$7:$A$456,0))&amp;"",""),IFERROR(INDEX('Revisão_ChatGPT'!$I$7:$I$456,MATCH($A372,'Revisão_ChatGPT'!$A$7:$A$456,0))&amp;"","")))))</f>
        <v/>
      </c>
      <c r="Q372" s="2" t="str">
        <f t="array" ref="Q372">IF(O372&lt;&gt;"Excluir","",IF(L372&lt;&gt;"",L372,IF(F372="Excluir",IFERROR(INDEX(Triagem!$K$2:$K$451,MATCH($A372,Triagem!$A$2:$A$451,0))&amp;"",""),IF(G372="Excluir",IFERROR(INDEX('Revisão_Gemini'!$J$7:$J$456,MATCH($A372,'Revisão_Gemini'!$A$7:$A$456,0))&amp;"",""),IFERROR(INDEX('Revisão_ChatGPT'!$J$7:$J$456,MATCH($A372,'Revisão_ChatGPT'!$A$7:$A$456,0))&amp;"","")))))</f>
        <v>E3</v>
      </c>
    </row>
    <row r="373" ht="15.75" customHeight="1">
      <c r="A373" s="2" t="s">
        <v>205</v>
      </c>
      <c r="B373" s="19" t="str">
        <f t="array" ref="B373">INDEX(Triagem!$N$2:$N451 , MATCH(A373,Triagem!$A$2:$A451,0))</f>
        <v>abrir</v>
      </c>
      <c r="C373" s="20">
        <f t="array" ref="C373">INDEX(Triagem!$B$2:$B451 , MATCH(A373,Triagem!$A$2:$A451,0))</f>
        <v>2024</v>
      </c>
      <c r="D373" s="2" t="s">
        <v>207</v>
      </c>
      <c r="E373" s="2" t="s">
        <v>208</v>
      </c>
      <c r="F373" s="2" t="str">
        <f t="array" ref="F373">IFERROR(INDEX(Triagem!$I$2:$I$451,MATCH($A373,Triagem!$A$2:$A$451,0))&amp;"","")</f>
        <v>Incluir</v>
      </c>
      <c r="G373" s="2" t="str">
        <f t="array" ref="G373">IFERROR(INDEX('Revisão_Gemini'!$H$7:$H$456,MATCH($A373,'Revisão_Gemini'!$A$7:$A$456,0))&amp;"","")</f>
        <v>Incluir</v>
      </c>
      <c r="H373" s="2" t="str">
        <f t="array" ref="H373">IFERROR(INDEX('Revisão_ChatGPT'!$H$7:$H$456,MATCH($A373,'Revisão_ChatGPT'!$A$7:$A$456,0))&amp;"","")</f>
        <v>Incluir</v>
      </c>
      <c r="I373" s="2" t="str">
        <f t="shared" si="1"/>
        <v>3/3</v>
      </c>
      <c r="J373" s="21"/>
      <c r="K373" s="21"/>
      <c r="L373" s="21"/>
      <c r="M373" s="22" t="b">
        <f t="shared" si="2"/>
        <v>1</v>
      </c>
      <c r="N373" s="21"/>
      <c r="O373" s="2" t="str">
        <f t="shared" si="3"/>
        <v>Incluir</v>
      </c>
      <c r="P373" s="2" t="str">
        <f t="array" ref="P373">IF(O373&lt;&gt;"Incluir","",IF(K373&lt;&gt;"",K373,IF(IFERROR(INDEX(Triagem!$J$2:$J$451,MATCH($A373,Triagem!$A$2:$A$451,0))&amp;"","")&lt;&gt;"",IFERROR(INDEX(Triagem!$J$2:$J$451,MATCH($A373,Triagem!$A$2:$A$451,0))&amp;"",""),IF(IFERROR(INDEX('Revisão_Gemini'!$I$7:$I$456,MATCH($A373,'Revisão_Gemini'!$A$7:$A$456,0))&amp;"","")&lt;&gt;"",IFERROR(INDEX('Revisão_Gemini'!$I$7:$I$456,MATCH($A373,'Revisão_Gemini'!$A$7:$A$456,0))&amp;"",""),IFERROR(INDEX('Revisão_ChatGPT'!$I$7:$I$456,MATCH($A373,'Revisão_ChatGPT'!$A$7:$A$456,0))&amp;"","")))))</f>
        <v>A</v>
      </c>
      <c r="Q373" s="2" t="str">
        <f t="array" ref="Q373">IF(O373&lt;&gt;"Excluir","",IF(L373&lt;&gt;"",L373,IF(F373="Excluir",IFERROR(INDEX(Triagem!$K$2:$K$451,MATCH($A373,Triagem!$A$2:$A$451,0))&amp;"",""),IF(G373="Excluir",IFERROR(INDEX('Revisão_Gemini'!$J$7:$J$456,MATCH($A373,'Revisão_Gemini'!$A$7:$A$456,0))&amp;"",""),IFERROR(INDEX('Revisão_ChatGPT'!$J$7:$J$456,MATCH($A373,'Revisão_ChatGPT'!$A$7:$A$456,0))&amp;"","")))))</f>
        <v/>
      </c>
    </row>
    <row r="374" ht="15.75" customHeight="1">
      <c r="A374" s="2" t="s">
        <v>1910</v>
      </c>
      <c r="B374" s="19" t="str">
        <f t="array" ref="B374">INDEX(Triagem!$N$2:$N451 , MATCH(A374,Triagem!$A$2:$A451,0))</f>
        <v>abrir</v>
      </c>
      <c r="C374" s="20">
        <f t="array" ref="C374">INDEX(Triagem!$B$2:$B451 , MATCH(A374,Triagem!$A$2:$A451,0))</f>
        <v>2024</v>
      </c>
      <c r="D374" s="2" t="s">
        <v>1912</v>
      </c>
      <c r="E374" s="2" t="s">
        <v>1913</v>
      </c>
      <c r="F374" s="2" t="str">
        <f t="array" ref="F374">IFERROR(INDEX(Triagem!$I$2:$I$451,MATCH($A374,Triagem!$A$2:$A$451,0))&amp;"","")</f>
        <v>Excluir</v>
      </c>
      <c r="G374" s="2" t="str">
        <f t="array" ref="G374">IFERROR(INDEX('Revisão_Gemini'!$H$7:$H$456,MATCH($A374,'Revisão_Gemini'!$A$7:$A$456,0))&amp;"","")</f>
        <v>Excluir</v>
      </c>
      <c r="H374" s="2" t="str">
        <f t="array" ref="H374">IFERROR(INDEX('Revisão_ChatGPT'!$H$7:$H$456,MATCH($A374,'Revisão_ChatGPT'!$A$7:$A$456,0))&amp;"","")</f>
        <v>Excluir</v>
      </c>
      <c r="I374" s="2" t="str">
        <f t="shared" si="1"/>
        <v>3/3</v>
      </c>
      <c r="J374" s="21"/>
      <c r="K374" s="21"/>
      <c r="L374" s="21"/>
      <c r="M374" s="22" t="b">
        <f t="shared" si="2"/>
        <v>1</v>
      </c>
      <c r="N374" s="21"/>
      <c r="O374" s="2" t="str">
        <f t="shared" si="3"/>
        <v>Excluir</v>
      </c>
      <c r="P374" s="2" t="str">
        <f t="array" ref="P374">IF(O374&lt;&gt;"Incluir","",IF(K374&lt;&gt;"",K374,IF(IFERROR(INDEX(Triagem!$J$2:$J$451,MATCH($A374,Triagem!$A$2:$A$451,0))&amp;"","")&lt;&gt;"",IFERROR(INDEX(Triagem!$J$2:$J$451,MATCH($A374,Triagem!$A$2:$A$451,0))&amp;"",""),IF(IFERROR(INDEX('Revisão_Gemini'!$I$7:$I$456,MATCH($A374,'Revisão_Gemini'!$A$7:$A$456,0))&amp;"","")&lt;&gt;"",IFERROR(INDEX('Revisão_Gemini'!$I$7:$I$456,MATCH($A374,'Revisão_Gemini'!$A$7:$A$456,0))&amp;"",""),IFERROR(INDEX('Revisão_ChatGPT'!$I$7:$I$456,MATCH($A374,'Revisão_ChatGPT'!$A$7:$A$456,0))&amp;"","")))))</f>
        <v/>
      </c>
      <c r="Q374" s="2" t="str">
        <f t="array" ref="Q374">IF(O374&lt;&gt;"Excluir","",IF(L374&lt;&gt;"",L374,IF(F374="Excluir",IFERROR(INDEX(Triagem!$K$2:$K$451,MATCH($A374,Triagem!$A$2:$A$451,0))&amp;"",""),IF(G374="Excluir",IFERROR(INDEX('Revisão_Gemini'!$J$7:$J$456,MATCH($A374,'Revisão_Gemini'!$A$7:$A$456,0))&amp;"",""),IFERROR(INDEX('Revisão_ChatGPT'!$J$7:$J$456,MATCH($A374,'Revisão_ChatGPT'!$A$7:$A$456,0))&amp;"","")))))</f>
        <v>E4</v>
      </c>
    </row>
    <row r="375" ht="15.75" customHeight="1">
      <c r="A375" s="2" t="s">
        <v>1984</v>
      </c>
      <c r="B375" s="19" t="str">
        <f t="array" ref="B375">INDEX(Triagem!$N$2:$N451 , MATCH(A375,Triagem!$A$2:$A451,0))</f>
        <v>abrir</v>
      </c>
      <c r="C375" s="20">
        <f t="array" ref="C375">INDEX(Triagem!$B$2:$B451 , MATCH(A375,Triagem!$A$2:$A451,0))</f>
        <v>2024</v>
      </c>
      <c r="D375" s="2" t="s">
        <v>1986</v>
      </c>
      <c r="E375" s="2" t="s">
        <v>1987</v>
      </c>
      <c r="F375" s="2" t="str">
        <f t="array" ref="F375">IFERROR(INDEX(Triagem!$I$2:$I$451,MATCH($A375,Triagem!$A$2:$A$451,0))&amp;"","")</f>
        <v>Excluir</v>
      </c>
      <c r="G375" s="2" t="str">
        <f t="array" ref="G375">IFERROR(INDEX('Revisão_Gemini'!$H$7:$H$456,MATCH($A375,'Revisão_Gemini'!$A$7:$A$456,0))&amp;"","")</f>
        <v>Incluir</v>
      </c>
      <c r="H375" s="2" t="str">
        <f t="array" ref="H375">IFERROR(INDEX('Revisão_ChatGPT'!$H$7:$H$456,MATCH($A375,'Revisão_ChatGPT'!$A$7:$A$456,0))&amp;"","")</f>
        <v>Incluir</v>
      </c>
      <c r="I375" s="2" t="str">
        <f t="shared" si="1"/>
        <v>2/3</v>
      </c>
      <c r="J375" s="21" t="s">
        <v>694</v>
      </c>
      <c r="K375" s="21"/>
      <c r="L375" s="21"/>
      <c r="M375" s="22" t="b">
        <f t="shared" si="2"/>
        <v>1</v>
      </c>
      <c r="N375" s="21" t="s">
        <v>3385</v>
      </c>
      <c r="O375" s="2" t="str">
        <f t="shared" si="3"/>
        <v>Apoio</v>
      </c>
      <c r="P375" s="2" t="str">
        <f t="array" ref="P375">IF(O375&lt;&gt;"Incluir","",IF(K375&lt;&gt;"",K375,IF(IFERROR(INDEX(Triagem!$J$2:$J$451,MATCH($A375,Triagem!$A$2:$A$451,0))&amp;"","")&lt;&gt;"",IFERROR(INDEX(Triagem!$J$2:$J$451,MATCH($A375,Triagem!$A$2:$A$451,0))&amp;"",""),IF(IFERROR(INDEX('Revisão_Gemini'!$I$7:$I$456,MATCH($A375,'Revisão_Gemini'!$A$7:$A$456,0))&amp;"","")&lt;&gt;"",IFERROR(INDEX('Revisão_Gemini'!$I$7:$I$456,MATCH($A375,'Revisão_Gemini'!$A$7:$A$456,0))&amp;"",""),IFERROR(INDEX('Revisão_ChatGPT'!$I$7:$I$456,MATCH($A375,'Revisão_ChatGPT'!$A$7:$A$456,0))&amp;"","")))))</f>
        <v/>
      </c>
      <c r="Q375" s="2" t="str">
        <f t="array" ref="Q375">IF(O375&lt;&gt;"Excluir","",IF(L375&lt;&gt;"",L375,IF(F375="Excluir",IFERROR(INDEX(Triagem!$K$2:$K$451,MATCH($A375,Triagem!$A$2:$A$451,0))&amp;"",""),IF(G375="Excluir",IFERROR(INDEX('Revisão_Gemini'!$J$7:$J$456,MATCH($A375,'Revisão_Gemini'!$A$7:$A$456,0))&amp;"",""),IFERROR(INDEX('Revisão_ChatGPT'!$J$7:$J$456,MATCH($A375,'Revisão_ChatGPT'!$A$7:$A$456,0))&amp;"","")))))</f>
        <v/>
      </c>
    </row>
    <row r="376" ht="15.75" customHeight="1">
      <c r="A376" s="2" t="s">
        <v>1078</v>
      </c>
      <c r="B376" s="19" t="str">
        <f t="array" ref="B376">INDEX(Triagem!$N$2:$N451 , MATCH(A376,Triagem!$A$2:$A451,0))</f>
        <v>abrir</v>
      </c>
      <c r="C376" s="20">
        <f t="array" ref="C376">INDEX(Triagem!$B$2:$B451 , MATCH(A376,Triagem!$A$2:$A451,0))</f>
        <v>2024</v>
      </c>
      <c r="D376" s="2" t="s">
        <v>1080</v>
      </c>
      <c r="E376" s="2" t="s">
        <v>1081</v>
      </c>
      <c r="F376" s="2" t="str">
        <f t="array" ref="F376">IFERROR(INDEX(Triagem!$I$2:$I$451,MATCH($A376,Triagem!$A$2:$A$451,0))&amp;"","")</f>
        <v>Excluir</v>
      </c>
      <c r="G376" s="2" t="str">
        <f t="array" ref="G376">IFERROR(INDEX('Revisão_Gemini'!$H$7:$H$456,MATCH($A376,'Revisão_Gemini'!$A$7:$A$456,0))&amp;"","")</f>
        <v>Excluir</v>
      </c>
      <c r="H376" s="2" t="str">
        <f t="array" ref="H376">IFERROR(INDEX('Revisão_ChatGPT'!$H$7:$H$456,MATCH($A376,'Revisão_ChatGPT'!$A$7:$A$456,0))&amp;"","")</f>
        <v>Excluir</v>
      </c>
      <c r="I376" s="2" t="str">
        <f t="shared" si="1"/>
        <v>3/3</v>
      </c>
      <c r="J376" s="21"/>
      <c r="K376" s="21"/>
      <c r="L376" s="21"/>
      <c r="M376" s="22" t="b">
        <f t="shared" si="2"/>
        <v>1</v>
      </c>
      <c r="N376" s="21" t="s">
        <v>3386</v>
      </c>
      <c r="O376" s="2" t="str">
        <f t="shared" si="3"/>
        <v>Excluir</v>
      </c>
      <c r="P376" s="2" t="str">
        <f t="array" ref="P376">IF(O376&lt;&gt;"Incluir","",IF(K376&lt;&gt;"",K376,IF(IFERROR(INDEX(Triagem!$J$2:$J$451,MATCH($A376,Triagem!$A$2:$A$451,0))&amp;"","")&lt;&gt;"",IFERROR(INDEX(Triagem!$J$2:$J$451,MATCH($A376,Triagem!$A$2:$A$451,0))&amp;"",""),IF(IFERROR(INDEX('Revisão_Gemini'!$I$7:$I$456,MATCH($A376,'Revisão_Gemini'!$A$7:$A$456,0))&amp;"","")&lt;&gt;"",IFERROR(INDEX('Revisão_Gemini'!$I$7:$I$456,MATCH($A376,'Revisão_Gemini'!$A$7:$A$456,0))&amp;"",""),IFERROR(INDEX('Revisão_ChatGPT'!$I$7:$I$456,MATCH($A376,'Revisão_ChatGPT'!$A$7:$A$456,0))&amp;"","")))))</f>
        <v/>
      </c>
      <c r="Q376" s="2" t="str">
        <f t="array" ref="Q376">IF(O376&lt;&gt;"Excluir","",IF(L376&lt;&gt;"",L376,IF(F376="Excluir",IFERROR(INDEX(Triagem!$K$2:$K$451,MATCH($A376,Triagem!$A$2:$A$451,0))&amp;"",""),IF(G376="Excluir",IFERROR(INDEX('Revisão_Gemini'!$J$7:$J$456,MATCH($A376,'Revisão_Gemini'!$A$7:$A$456,0))&amp;"",""),IFERROR(INDEX('Revisão_ChatGPT'!$J$7:$J$456,MATCH($A376,'Revisão_ChatGPT'!$A$7:$A$456,0))&amp;"","")))))</f>
        <v>E2</v>
      </c>
    </row>
    <row r="377" ht="15.75" customHeight="1">
      <c r="A377" s="2" t="s">
        <v>1628</v>
      </c>
      <c r="B377" s="19" t="str">
        <f t="array" ref="B377">INDEX(Triagem!$N$2:$N451 , MATCH(A377,Triagem!$A$2:$A451,0))</f>
        <v>abrir</v>
      </c>
      <c r="C377" s="20">
        <f t="array" ref="C377">INDEX(Triagem!$B$2:$B451 , MATCH(A377,Triagem!$A$2:$A451,0))</f>
        <v>2024</v>
      </c>
      <c r="D377" s="2" t="s">
        <v>1630</v>
      </c>
      <c r="E377" s="2" t="s">
        <v>1631</v>
      </c>
      <c r="F377" s="2" t="str">
        <f t="array" ref="F377">IFERROR(INDEX(Triagem!$I$2:$I$451,MATCH($A377,Triagem!$A$2:$A$451,0))&amp;"","")</f>
        <v>Excluir</v>
      </c>
      <c r="G377" s="2" t="str">
        <f t="array" ref="G377">IFERROR(INDEX('Revisão_Gemini'!$H$7:$H$456,MATCH($A377,'Revisão_Gemini'!$A$7:$A$456,0))&amp;"","")</f>
        <v>Excluir</v>
      </c>
      <c r="H377" s="2" t="str">
        <f t="array" ref="H377">IFERROR(INDEX('Revisão_ChatGPT'!$H$7:$H$456,MATCH($A377,'Revisão_ChatGPT'!$A$7:$A$456,0))&amp;"","")</f>
        <v>Excluir</v>
      </c>
      <c r="I377" s="2" t="str">
        <f t="shared" si="1"/>
        <v>3/3</v>
      </c>
      <c r="J377" s="21"/>
      <c r="K377" s="21"/>
      <c r="L377" s="21"/>
      <c r="M377" s="22" t="b">
        <f t="shared" si="2"/>
        <v>1</v>
      </c>
      <c r="N377" s="21" t="s">
        <v>3387</v>
      </c>
      <c r="O377" s="2" t="str">
        <f t="shared" si="3"/>
        <v>Excluir</v>
      </c>
      <c r="P377" s="2" t="str">
        <f t="array" ref="P377">IF(O377&lt;&gt;"Incluir","",IF(K377&lt;&gt;"",K377,IF(IFERROR(INDEX(Triagem!$J$2:$J$451,MATCH($A377,Triagem!$A$2:$A$451,0))&amp;"","")&lt;&gt;"",IFERROR(INDEX(Triagem!$J$2:$J$451,MATCH($A377,Triagem!$A$2:$A$451,0))&amp;"",""),IF(IFERROR(INDEX('Revisão_Gemini'!$I$7:$I$456,MATCH($A377,'Revisão_Gemini'!$A$7:$A$456,0))&amp;"","")&lt;&gt;"",IFERROR(INDEX('Revisão_Gemini'!$I$7:$I$456,MATCH($A377,'Revisão_Gemini'!$A$7:$A$456,0))&amp;"",""),IFERROR(INDEX('Revisão_ChatGPT'!$I$7:$I$456,MATCH($A377,'Revisão_ChatGPT'!$A$7:$A$456,0))&amp;"","")))))</f>
        <v/>
      </c>
      <c r="Q377" s="2" t="str">
        <f t="array" ref="Q377">IF(O377&lt;&gt;"Excluir","",IF(L377&lt;&gt;"",L377,IF(F377="Excluir",IFERROR(INDEX(Triagem!$K$2:$K$451,MATCH($A377,Triagem!$A$2:$A$451,0))&amp;"",""),IF(G377="Excluir",IFERROR(INDEX('Revisão_Gemini'!$J$7:$J$456,MATCH($A377,'Revisão_Gemini'!$A$7:$A$456,0))&amp;"",""),IFERROR(INDEX('Revisão_ChatGPT'!$J$7:$J$456,MATCH($A377,'Revisão_ChatGPT'!$A$7:$A$456,0))&amp;"","")))))</f>
        <v>E3</v>
      </c>
    </row>
    <row r="378" ht="15.75" customHeight="1">
      <c r="A378" s="2" t="s">
        <v>1083</v>
      </c>
      <c r="B378" s="19" t="str">
        <f t="array" ref="B378">INDEX(Triagem!$N$2:$N451 , MATCH(A378,Triagem!$A$2:$A451,0))</f>
        <v>abrir</v>
      </c>
      <c r="C378" s="20">
        <f t="array" ref="C378">INDEX(Triagem!$B$2:$B451 , MATCH(A378,Triagem!$A$2:$A451,0))</f>
        <v>2024</v>
      </c>
      <c r="D378" s="2" t="s">
        <v>1085</v>
      </c>
      <c r="E378" s="2" t="s">
        <v>1086</v>
      </c>
      <c r="F378" s="2" t="str">
        <f t="array" ref="F378">IFERROR(INDEX(Triagem!$I$2:$I$451,MATCH($A378,Triagem!$A$2:$A$451,0))&amp;"","")</f>
        <v>Excluir</v>
      </c>
      <c r="G378" s="2" t="str">
        <f t="array" ref="G378">IFERROR(INDEX('Revisão_Gemini'!$H$7:$H$456,MATCH($A378,'Revisão_Gemini'!$A$7:$A$456,0))&amp;"","")</f>
        <v>Excluir</v>
      </c>
      <c r="H378" s="2" t="str">
        <f t="array" ref="H378">IFERROR(INDEX('Revisão_ChatGPT'!$H$7:$H$456,MATCH($A378,'Revisão_ChatGPT'!$A$7:$A$456,0))&amp;"","")</f>
        <v>Excluir</v>
      </c>
      <c r="I378" s="2" t="str">
        <f t="shared" si="1"/>
        <v>3/3</v>
      </c>
      <c r="J378" s="21"/>
      <c r="K378" s="21"/>
      <c r="L378" s="21"/>
      <c r="M378" s="22" t="b">
        <f t="shared" si="2"/>
        <v>1</v>
      </c>
      <c r="N378" s="21" t="s">
        <v>3388</v>
      </c>
      <c r="O378" s="2" t="str">
        <f t="shared" si="3"/>
        <v>Excluir</v>
      </c>
      <c r="P378" s="2" t="str">
        <f t="array" ref="P378">IF(O378&lt;&gt;"Incluir","",IF(K378&lt;&gt;"",K378,IF(IFERROR(INDEX(Triagem!$J$2:$J$451,MATCH($A378,Triagem!$A$2:$A$451,0))&amp;"","")&lt;&gt;"",IFERROR(INDEX(Triagem!$J$2:$J$451,MATCH($A378,Triagem!$A$2:$A$451,0))&amp;"",""),IF(IFERROR(INDEX('Revisão_Gemini'!$I$7:$I$456,MATCH($A378,'Revisão_Gemini'!$A$7:$A$456,0))&amp;"","")&lt;&gt;"",IFERROR(INDEX('Revisão_Gemini'!$I$7:$I$456,MATCH($A378,'Revisão_Gemini'!$A$7:$A$456,0))&amp;"",""),IFERROR(INDEX('Revisão_ChatGPT'!$I$7:$I$456,MATCH($A378,'Revisão_ChatGPT'!$A$7:$A$456,0))&amp;"","")))))</f>
        <v/>
      </c>
      <c r="Q378" s="2" t="str">
        <f t="array" ref="Q378">IF(O378&lt;&gt;"Excluir","",IF(L378&lt;&gt;"",L378,IF(F378="Excluir",IFERROR(INDEX(Triagem!$K$2:$K$451,MATCH($A378,Triagem!$A$2:$A$451,0))&amp;"",""),IF(G378="Excluir",IFERROR(INDEX('Revisão_Gemini'!$J$7:$J$456,MATCH($A378,'Revisão_Gemini'!$A$7:$A$456,0))&amp;"",""),IFERROR(INDEX('Revisão_ChatGPT'!$J$7:$J$456,MATCH($A378,'Revisão_ChatGPT'!$A$7:$A$456,0))&amp;"","")))))</f>
        <v>E2</v>
      </c>
    </row>
    <row r="379" ht="15.75" customHeight="1">
      <c r="A379" s="2" t="s">
        <v>732</v>
      </c>
      <c r="B379" s="19" t="str">
        <f t="array" ref="B379">INDEX(Triagem!$N$2:$N451 , MATCH(A379,Triagem!$A$2:$A451,0))</f>
        <v>abrir</v>
      </c>
      <c r="C379" s="20">
        <f t="array" ref="C379">INDEX(Triagem!$B$2:$B451 , MATCH(A379,Triagem!$A$2:$A451,0))</f>
        <v>2024</v>
      </c>
      <c r="D379" s="2" t="s">
        <v>734</v>
      </c>
      <c r="E379" s="2" t="s">
        <v>735</v>
      </c>
      <c r="F379" s="2" t="str">
        <f t="array" ref="F379">IFERROR(INDEX(Triagem!$I$2:$I$451,MATCH($A379,Triagem!$A$2:$A$451,0))&amp;"","")</f>
        <v>Apoio</v>
      </c>
      <c r="G379" s="2" t="str">
        <f t="array" ref="G379">IFERROR(INDEX('Revisão_Gemini'!$H$7:$H$456,MATCH($A379,'Revisão_Gemini'!$A$7:$A$456,0))&amp;"","")</f>
        <v>Apoio</v>
      </c>
      <c r="H379" s="2" t="str">
        <f t="array" ref="H379">IFERROR(INDEX('Revisão_ChatGPT'!$H$7:$H$456,MATCH($A379,'Revisão_ChatGPT'!$A$7:$A$456,0))&amp;"","")</f>
        <v>Apoio</v>
      </c>
      <c r="I379" s="2" t="str">
        <f t="shared" si="1"/>
        <v>3/3</v>
      </c>
      <c r="J379" s="21"/>
      <c r="K379" s="21"/>
      <c r="L379" s="21"/>
      <c r="M379" s="22" t="b">
        <f t="shared" si="2"/>
        <v>1</v>
      </c>
      <c r="N379" s="21"/>
      <c r="O379" s="2" t="str">
        <f t="shared" si="3"/>
        <v>Apoio</v>
      </c>
      <c r="P379" s="2" t="str">
        <f t="array" ref="P379">IF(O379&lt;&gt;"Incluir","",IF(K379&lt;&gt;"",K379,IF(IFERROR(INDEX(Triagem!$J$2:$J$451,MATCH($A379,Triagem!$A$2:$A$451,0))&amp;"","")&lt;&gt;"",IFERROR(INDEX(Triagem!$J$2:$J$451,MATCH($A379,Triagem!$A$2:$A$451,0))&amp;"",""),IF(IFERROR(INDEX('Revisão_Gemini'!$I$7:$I$456,MATCH($A379,'Revisão_Gemini'!$A$7:$A$456,0))&amp;"","")&lt;&gt;"",IFERROR(INDEX('Revisão_Gemini'!$I$7:$I$456,MATCH($A379,'Revisão_Gemini'!$A$7:$A$456,0))&amp;"",""),IFERROR(INDEX('Revisão_ChatGPT'!$I$7:$I$456,MATCH($A379,'Revisão_ChatGPT'!$A$7:$A$456,0))&amp;"","")))))</f>
        <v/>
      </c>
      <c r="Q379" s="2" t="str">
        <f t="array" ref="Q379">IF(O379&lt;&gt;"Excluir","",IF(L379&lt;&gt;"",L379,IF(F379="Excluir",IFERROR(INDEX(Triagem!$K$2:$K$451,MATCH($A379,Triagem!$A$2:$A$451,0))&amp;"",""),IF(G379="Excluir",IFERROR(INDEX('Revisão_Gemini'!$J$7:$J$456,MATCH($A379,'Revisão_Gemini'!$A$7:$A$456,0))&amp;"",""),IFERROR(INDEX('Revisão_ChatGPT'!$J$7:$J$456,MATCH($A379,'Revisão_ChatGPT'!$A$7:$A$456,0))&amp;"","")))))</f>
        <v/>
      </c>
    </row>
    <row r="380" ht="15.75" customHeight="1">
      <c r="A380" s="2" t="s">
        <v>209</v>
      </c>
      <c r="B380" s="19" t="str">
        <f t="array" ref="B380">INDEX(Triagem!$N$2:$N451 , MATCH(A380,Triagem!$A$2:$A451,0))</f>
        <v>abrir</v>
      </c>
      <c r="C380" s="20">
        <f t="array" ref="C380">INDEX(Triagem!$B$2:$B451 , MATCH(A380,Triagem!$A$2:$A451,0))</f>
        <v>2024</v>
      </c>
      <c r="D380" s="2" t="s">
        <v>211</v>
      </c>
      <c r="E380" s="2" t="s">
        <v>212</v>
      </c>
      <c r="F380" s="2" t="str">
        <f t="array" ref="F380">IFERROR(INDEX(Triagem!$I$2:$I$451,MATCH($A380,Triagem!$A$2:$A$451,0))&amp;"","")</f>
        <v>Incluir</v>
      </c>
      <c r="G380" s="2" t="str">
        <f t="array" ref="G380">IFERROR(INDEX('Revisão_Gemini'!$H$7:$H$456,MATCH($A380,'Revisão_Gemini'!$A$7:$A$456,0))&amp;"","")</f>
        <v>Incluir</v>
      </c>
      <c r="H380" s="2" t="str">
        <f t="array" ref="H380">IFERROR(INDEX('Revisão_ChatGPT'!$H$7:$H$456,MATCH($A380,'Revisão_ChatGPT'!$A$7:$A$456,0))&amp;"","")</f>
        <v>Excluir</v>
      </c>
      <c r="I380" s="2" t="str">
        <f t="shared" si="1"/>
        <v>2/3</v>
      </c>
      <c r="J380" s="21" t="s">
        <v>694</v>
      </c>
      <c r="K380" s="21"/>
      <c r="L380" s="21"/>
      <c r="M380" s="22" t="b">
        <f t="shared" si="2"/>
        <v>1</v>
      </c>
      <c r="N380" s="21" t="s">
        <v>3389</v>
      </c>
      <c r="O380" s="2" t="str">
        <f t="shared" si="3"/>
        <v>Apoio</v>
      </c>
      <c r="P380" s="2" t="str">
        <f t="array" ref="P380">IF(O380&lt;&gt;"Incluir","",IF(K380&lt;&gt;"",K380,IF(IFERROR(INDEX(Triagem!$J$2:$J$451,MATCH($A380,Triagem!$A$2:$A$451,0))&amp;"","")&lt;&gt;"",IFERROR(INDEX(Triagem!$J$2:$J$451,MATCH($A380,Triagem!$A$2:$A$451,0))&amp;"",""),IF(IFERROR(INDEX('Revisão_Gemini'!$I$7:$I$456,MATCH($A380,'Revisão_Gemini'!$A$7:$A$456,0))&amp;"","")&lt;&gt;"",IFERROR(INDEX('Revisão_Gemini'!$I$7:$I$456,MATCH($A380,'Revisão_Gemini'!$A$7:$A$456,0))&amp;"",""),IFERROR(INDEX('Revisão_ChatGPT'!$I$7:$I$456,MATCH($A380,'Revisão_ChatGPT'!$A$7:$A$456,0))&amp;"","")))))</f>
        <v/>
      </c>
      <c r="Q380" s="2" t="str">
        <f t="array" ref="Q380">IF(O380&lt;&gt;"Excluir","",IF(L380&lt;&gt;"",L380,IF(F380="Excluir",IFERROR(INDEX(Triagem!$K$2:$K$451,MATCH($A380,Triagem!$A$2:$A$451,0))&amp;"",""),IF(G380="Excluir",IFERROR(INDEX('Revisão_Gemini'!$J$7:$J$456,MATCH($A380,'Revisão_Gemini'!$A$7:$A$456,0))&amp;"",""),IFERROR(INDEX('Revisão_ChatGPT'!$J$7:$J$456,MATCH($A380,'Revisão_ChatGPT'!$A$7:$A$456,0))&amp;"","")))))</f>
        <v/>
      </c>
    </row>
    <row r="381" ht="15.75" customHeight="1">
      <c r="A381" s="2" t="s">
        <v>1561</v>
      </c>
      <c r="B381" s="19" t="str">
        <f t="array" ref="B381">INDEX(Triagem!$N$2:$N451 , MATCH(A381,Triagem!$A$2:$A451,0))</f>
        <v>abrir</v>
      </c>
      <c r="C381" s="20">
        <f t="array" ref="C381">INDEX(Triagem!$B$2:$B451 , MATCH(A381,Triagem!$A$2:$A451,0))</f>
        <v>2025</v>
      </c>
      <c r="D381" s="2" t="s">
        <v>1563</v>
      </c>
      <c r="E381" s="2" t="s">
        <v>1564</v>
      </c>
      <c r="F381" s="2" t="str">
        <f t="array" ref="F381">IFERROR(INDEX(Triagem!$I$2:$I$451,MATCH($A381,Triagem!$A$2:$A$451,0))&amp;"","")</f>
        <v>Excluir</v>
      </c>
      <c r="G381" s="2" t="str">
        <f t="array" ref="G381">IFERROR(INDEX('Revisão_Gemini'!$H$7:$H$456,MATCH($A381,'Revisão_Gemini'!$A$7:$A$456,0))&amp;"","")</f>
        <v>Excluir</v>
      </c>
      <c r="H381" s="2" t="str">
        <f t="array" ref="H381">IFERROR(INDEX('Revisão_ChatGPT'!$H$7:$H$456,MATCH($A381,'Revisão_ChatGPT'!$A$7:$A$456,0))&amp;"","")</f>
        <v>Excluir</v>
      </c>
      <c r="I381" s="2" t="str">
        <f t="shared" si="1"/>
        <v>3/3</v>
      </c>
      <c r="J381" s="21"/>
      <c r="K381" s="21"/>
      <c r="L381" s="21"/>
      <c r="M381" s="22" t="b">
        <f t="shared" si="2"/>
        <v>1</v>
      </c>
      <c r="N381" s="21"/>
      <c r="O381" s="2" t="str">
        <f t="shared" si="3"/>
        <v>Excluir</v>
      </c>
      <c r="P381" s="2" t="str">
        <f t="array" ref="P381">IF(O381&lt;&gt;"Incluir","",IF(K381&lt;&gt;"",K381,IF(IFERROR(INDEX(Triagem!$J$2:$J$451,MATCH($A381,Triagem!$A$2:$A$451,0))&amp;"","")&lt;&gt;"",IFERROR(INDEX(Triagem!$J$2:$J$451,MATCH($A381,Triagem!$A$2:$A$451,0))&amp;"",""),IF(IFERROR(INDEX('Revisão_Gemini'!$I$7:$I$456,MATCH($A381,'Revisão_Gemini'!$A$7:$A$456,0))&amp;"","")&lt;&gt;"",IFERROR(INDEX('Revisão_Gemini'!$I$7:$I$456,MATCH($A381,'Revisão_Gemini'!$A$7:$A$456,0))&amp;"",""),IFERROR(INDEX('Revisão_ChatGPT'!$I$7:$I$456,MATCH($A381,'Revisão_ChatGPT'!$A$7:$A$456,0))&amp;"","")))))</f>
        <v/>
      </c>
      <c r="Q381" s="2" t="str">
        <f t="array" ref="Q381">IF(O381&lt;&gt;"Excluir","",IF(L381&lt;&gt;"",L381,IF(F381="Excluir",IFERROR(INDEX(Triagem!$K$2:$K$451,MATCH($A381,Triagem!$A$2:$A$451,0))&amp;"",""),IF(G381="Excluir",IFERROR(INDEX('Revisão_Gemini'!$J$7:$J$456,MATCH($A381,'Revisão_Gemini'!$A$7:$A$456,0))&amp;"",""),IFERROR(INDEX('Revisão_ChatGPT'!$J$7:$J$456,MATCH($A381,'Revisão_ChatGPT'!$A$7:$A$456,0))&amp;"","")))))</f>
        <v>E3</v>
      </c>
    </row>
    <row r="382" ht="15.75" customHeight="1">
      <c r="A382" s="2" t="s">
        <v>1632</v>
      </c>
      <c r="B382" s="19" t="str">
        <f t="array" ref="B382">INDEX(Triagem!$N$2:$N451 , MATCH(A382,Triagem!$A$2:$A451,0))</f>
        <v>abrir</v>
      </c>
      <c r="C382" s="20">
        <f t="array" ref="C382">INDEX(Triagem!$B$2:$B451 , MATCH(A382,Triagem!$A$2:$A451,0))</f>
        <v>2024</v>
      </c>
      <c r="D382" s="2" t="s">
        <v>1634</v>
      </c>
      <c r="E382" s="2" t="s">
        <v>1635</v>
      </c>
      <c r="F382" s="2" t="str">
        <f t="array" ref="F382">IFERROR(INDEX(Triagem!$I$2:$I$451,MATCH($A382,Triagem!$A$2:$A$451,0))&amp;"","")</f>
        <v>Excluir</v>
      </c>
      <c r="G382" s="2" t="str">
        <f t="array" ref="G382">IFERROR(INDEX('Revisão_Gemini'!$H$7:$H$456,MATCH($A382,'Revisão_Gemini'!$A$7:$A$456,0))&amp;"","")</f>
        <v>Excluir</v>
      </c>
      <c r="H382" s="2" t="str">
        <f t="array" ref="H382">IFERROR(INDEX('Revisão_ChatGPT'!$H$7:$H$456,MATCH($A382,'Revisão_ChatGPT'!$A$7:$A$456,0))&amp;"","")</f>
        <v>Excluir</v>
      </c>
      <c r="I382" s="2" t="str">
        <f t="shared" si="1"/>
        <v>3/3</v>
      </c>
      <c r="J382" s="21"/>
      <c r="K382" s="21"/>
      <c r="L382" s="21"/>
      <c r="M382" s="22" t="b">
        <f t="shared" si="2"/>
        <v>1</v>
      </c>
      <c r="N382" s="21" t="s">
        <v>3390</v>
      </c>
      <c r="O382" s="2" t="str">
        <f t="shared" si="3"/>
        <v>Excluir</v>
      </c>
      <c r="P382" s="2" t="str">
        <f t="array" ref="P382">IF(O382&lt;&gt;"Incluir","",IF(K382&lt;&gt;"",K382,IF(IFERROR(INDEX(Triagem!$J$2:$J$451,MATCH($A382,Triagem!$A$2:$A$451,0))&amp;"","")&lt;&gt;"",IFERROR(INDEX(Triagem!$J$2:$J$451,MATCH($A382,Triagem!$A$2:$A$451,0))&amp;"",""),IF(IFERROR(INDEX('Revisão_Gemini'!$I$7:$I$456,MATCH($A382,'Revisão_Gemini'!$A$7:$A$456,0))&amp;"","")&lt;&gt;"",IFERROR(INDEX('Revisão_Gemini'!$I$7:$I$456,MATCH($A382,'Revisão_Gemini'!$A$7:$A$456,0))&amp;"",""),IFERROR(INDEX('Revisão_ChatGPT'!$I$7:$I$456,MATCH($A382,'Revisão_ChatGPT'!$A$7:$A$456,0))&amp;"","")))))</f>
        <v/>
      </c>
      <c r="Q382" s="2" t="str">
        <f t="array" ref="Q382">IF(O382&lt;&gt;"Excluir","",IF(L382&lt;&gt;"",L382,IF(F382="Excluir",IFERROR(INDEX(Triagem!$K$2:$K$451,MATCH($A382,Triagem!$A$2:$A$451,0))&amp;"",""),IF(G382="Excluir",IFERROR(INDEX('Revisão_Gemini'!$J$7:$J$456,MATCH($A382,'Revisão_Gemini'!$A$7:$A$456,0))&amp;"",""),IFERROR(INDEX('Revisão_ChatGPT'!$J$7:$J$456,MATCH($A382,'Revisão_ChatGPT'!$A$7:$A$456,0))&amp;"","")))))</f>
        <v>E3</v>
      </c>
    </row>
    <row r="383" ht="15.75" customHeight="1">
      <c r="A383" s="2" t="s">
        <v>1034</v>
      </c>
      <c r="B383" s="19" t="str">
        <f t="array" ref="B383">INDEX(Triagem!$N$2:$N451 , MATCH(A383,Triagem!$A$2:$A451,0))</f>
        <v>abrir</v>
      </c>
      <c r="C383" s="20">
        <f t="array" ref="C383">INDEX(Triagem!$B$2:$B451 , MATCH(A383,Triagem!$A$2:$A451,0))</f>
        <v>2025</v>
      </c>
      <c r="D383" s="2" t="s">
        <v>1036</v>
      </c>
      <c r="E383" s="2" t="s">
        <v>1037</v>
      </c>
      <c r="F383" s="2" t="str">
        <f t="array" ref="F383">IFERROR(INDEX(Triagem!$I$2:$I$451,MATCH($A383,Triagem!$A$2:$A$451,0))&amp;"","")</f>
        <v>Excluir</v>
      </c>
      <c r="G383" s="2" t="str">
        <f t="array" ref="G383">IFERROR(INDEX('Revisão_Gemini'!$H$7:$H$456,MATCH($A383,'Revisão_Gemini'!$A$7:$A$456,0))&amp;"","")</f>
        <v>Excluir</v>
      </c>
      <c r="H383" s="2" t="str">
        <f t="array" ref="H383">IFERROR(INDEX('Revisão_ChatGPT'!$H$7:$H$456,MATCH($A383,'Revisão_ChatGPT'!$A$7:$A$456,0))&amp;"","")</f>
        <v>Excluir</v>
      </c>
      <c r="I383" s="2" t="str">
        <f t="shared" si="1"/>
        <v>3/3</v>
      </c>
      <c r="J383" s="21"/>
      <c r="K383" s="21"/>
      <c r="L383" s="21"/>
      <c r="M383" s="22" t="b">
        <f t="shared" si="2"/>
        <v>1</v>
      </c>
      <c r="N383" s="21" t="s">
        <v>3391</v>
      </c>
      <c r="O383" s="2" t="str">
        <f t="shared" si="3"/>
        <v>Excluir</v>
      </c>
      <c r="P383" s="2" t="str">
        <f t="array" ref="P383">IF(O383&lt;&gt;"Incluir","",IF(K383&lt;&gt;"",K383,IF(IFERROR(INDEX(Triagem!$J$2:$J$451,MATCH($A383,Triagem!$A$2:$A$451,0))&amp;"","")&lt;&gt;"",IFERROR(INDEX(Triagem!$J$2:$J$451,MATCH($A383,Triagem!$A$2:$A$451,0))&amp;"",""),IF(IFERROR(INDEX('Revisão_Gemini'!$I$7:$I$456,MATCH($A383,'Revisão_Gemini'!$A$7:$A$456,0))&amp;"","")&lt;&gt;"",IFERROR(INDEX('Revisão_Gemini'!$I$7:$I$456,MATCH($A383,'Revisão_Gemini'!$A$7:$A$456,0))&amp;"",""),IFERROR(INDEX('Revisão_ChatGPT'!$I$7:$I$456,MATCH($A383,'Revisão_ChatGPT'!$A$7:$A$456,0))&amp;"","")))))</f>
        <v/>
      </c>
      <c r="Q383" s="2" t="str">
        <f t="array" ref="Q383">IF(O383&lt;&gt;"Excluir","",IF(L383&lt;&gt;"",L383,IF(F383="Excluir",IFERROR(INDEX(Triagem!$K$2:$K$451,MATCH($A383,Triagem!$A$2:$A$451,0))&amp;"",""),IF(G383="Excluir",IFERROR(INDEX('Revisão_Gemini'!$J$7:$J$456,MATCH($A383,'Revisão_Gemini'!$A$7:$A$456,0))&amp;"",""),IFERROR(INDEX('Revisão_ChatGPT'!$J$7:$J$456,MATCH($A383,'Revisão_ChatGPT'!$A$7:$A$456,0))&amp;"","")))))</f>
        <v>E2</v>
      </c>
    </row>
    <row r="384" ht="15.75" customHeight="1">
      <c r="A384" s="2" t="s">
        <v>1087</v>
      </c>
      <c r="B384" s="19" t="str">
        <f t="array" ref="B384">INDEX(Triagem!$N$2:$N451 , MATCH(A384,Triagem!$A$2:$A451,0))</f>
        <v>abrir</v>
      </c>
      <c r="C384" s="20">
        <f t="array" ref="C384">INDEX(Triagem!$B$2:$B451 , MATCH(A384,Triagem!$A$2:$A451,0))</f>
        <v>2024</v>
      </c>
      <c r="D384" s="2" t="s">
        <v>1089</v>
      </c>
      <c r="E384" s="2" t="s">
        <v>1090</v>
      </c>
      <c r="F384" s="2" t="str">
        <f t="array" ref="F384">IFERROR(INDEX(Triagem!$I$2:$I$451,MATCH($A384,Triagem!$A$2:$A$451,0))&amp;"","")</f>
        <v>Excluir</v>
      </c>
      <c r="G384" s="2" t="str">
        <f t="array" ref="G384">IFERROR(INDEX('Revisão_Gemini'!$H$7:$H$456,MATCH($A384,'Revisão_Gemini'!$A$7:$A$456,0))&amp;"","")</f>
        <v>Excluir</v>
      </c>
      <c r="H384" s="2" t="str">
        <f t="array" ref="H384">IFERROR(INDEX('Revisão_ChatGPT'!$H$7:$H$456,MATCH($A384,'Revisão_ChatGPT'!$A$7:$A$456,0))&amp;"","")</f>
        <v>Excluir</v>
      </c>
      <c r="I384" s="2" t="str">
        <f t="shared" si="1"/>
        <v>3/3</v>
      </c>
      <c r="J384" s="21"/>
      <c r="K384" s="21"/>
      <c r="L384" s="21"/>
      <c r="M384" s="22" t="b">
        <f t="shared" si="2"/>
        <v>1</v>
      </c>
      <c r="N384" s="21" t="s">
        <v>3392</v>
      </c>
      <c r="O384" s="2" t="str">
        <f t="shared" si="3"/>
        <v>Excluir</v>
      </c>
      <c r="P384" s="2" t="str">
        <f t="array" ref="P384">IF(O384&lt;&gt;"Incluir","",IF(K384&lt;&gt;"",K384,IF(IFERROR(INDEX(Triagem!$J$2:$J$451,MATCH($A384,Triagem!$A$2:$A$451,0))&amp;"","")&lt;&gt;"",IFERROR(INDEX(Triagem!$J$2:$J$451,MATCH($A384,Triagem!$A$2:$A$451,0))&amp;"",""),IF(IFERROR(INDEX('Revisão_Gemini'!$I$7:$I$456,MATCH($A384,'Revisão_Gemini'!$A$7:$A$456,0))&amp;"","")&lt;&gt;"",IFERROR(INDEX('Revisão_Gemini'!$I$7:$I$456,MATCH($A384,'Revisão_Gemini'!$A$7:$A$456,0))&amp;"",""),IFERROR(INDEX('Revisão_ChatGPT'!$I$7:$I$456,MATCH($A384,'Revisão_ChatGPT'!$A$7:$A$456,0))&amp;"","")))))</f>
        <v/>
      </c>
      <c r="Q384" s="2" t="str">
        <f t="array" ref="Q384">IF(O384&lt;&gt;"Excluir","",IF(L384&lt;&gt;"",L384,IF(F384="Excluir",IFERROR(INDEX(Triagem!$K$2:$K$451,MATCH($A384,Triagem!$A$2:$A$451,0))&amp;"",""),IF(G384="Excluir",IFERROR(INDEX('Revisão_Gemini'!$J$7:$J$456,MATCH($A384,'Revisão_Gemini'!$A$7:$A$456,0))&amp;"",""),IFERROR(INDEX('Revisão_ChatGPT'!$J$7:$J$456,MATCH($A384,'Revisão_ChatGPT'!$A$7:$A$456,0))&amp;"","")))))</f>
        <v>E2</v>
      </c>
    </row>
    <row r="385" ht="15.75" customHeight="1">
      <c r="A385" s="2" t="s">
        <v>1636</v>
      </c>
      <c r="B385" s="19" t="str">
        <f t="array" ref="B385">INDEX(Triagem!$N$2:$N451 , MATCH(A385,Triagem!$A$2:$A451,0))</f>
        <v>abrir</v>
      </c>
      <c r="C385" s="20">
        <f t="array" ref="C385">INDEX(Triagem!$B$2:$B451 , MATCH(A385,Triagem!$A$2:$A451,0))</f>
        <v>2024</v>
      </c>
      <c r="D385" s="2" t="s">
        <v>1638</v>
      </c>
      <c r="E385" s="2" t="s">
        <v>1639</v>
      </c>
      <c r="F385" s="2" t="str">
        <f t="array" ref="F385">IFERROR(INDEX(Triagem!$I$2:$I$451,MATCH($A385,Triagem!$A$2:$A$451,0))&amp;"","")</f>
        <v>Excluir</v>
      </c>
      <c r="G385" s="2" t="str">
        <f t="array" ref="G385">IFERROR(INDEX('Revisão_Gemini'!$H$7:$H$456,MATCH($A385,'Revisão_Gemini'!$A$7:$A$456,0))&amp;"","")</f>
        <v>Excluir</v>
      </c>
      <c r="H385" s="2" t="str">
        <f t="array" ref="H385">IFERROR(INDEX('Revisão_ChatGPT'!$H$7:$H$456,MATCH($A385,'Revisão_ChatGPT'!$A$7:$A$456,0))&amp;"","")</f>
        <v>Excluir</v>
      </c>
      <c r="I385" s="2" t="str">
        <f t="shared" si="1"/>
        <v>3/3</v>
      </c>
      <c r="J385" s="21"/>
      <c r="K385" s="21"/>
      <c r="L385" s="21"/>
      <c r="M385" s="22" t="b">
        <f t="shared" si="2"/>
        <v>1</v>
      </c>
      <c r="N385" s="21" t="s">
        <v>3393</v>
      </c>
      <c r="O385" s="2" t="str">
        <f t="shared" si="3"/>
        <v>Excluir</v>
      </c>
      <c r="P385" s="2" t="str">
        <f t="array" ref="P385">IF(O385&lt;&gt;"Incluir","",IF(K385&lt;&gt;"",K385,IF(IFERROR(INDEX(Triagem!$J$2:$J$451,MATCH($A385,Triagem!$A$2:$A$451,0))&amp;"","")&lt;&gt;"",IFERROR(INDEX(Triagem!$J$2:$J$451,MATCH($A385,Triagem!$A$2:$A$451,0))&amp;"",""),IF(IFERROR(INDEX('Revisão_Gemini'!$I$7:$I$456,MATCH($A385,'Revisão_Gemini'!$A$7:$A$456,0))&amp;"","")&lt;&gt;"",IFERROR(INDEX('Revisão_Gemini'!$I$7:$I$456,MATCH($A385,'Revisão_Gemini'!$A$7:$A$456,0))&amp;"",""),IFERROR(INDEX('Revisão_ChatGPT'!$I$7:$I$456,MATCH($A385,'Revisão_ChatGPT'!$A$7:$A$456,0))&amp;"","")))))</f>
        <v/>
      </c>
      <c r="Q385" s="2" t="str">
        <f t="array" ref="Q385">IF(O385&lt;&gt;"Excluir","",IF(L385&lt;&gt;"",L385,IF(F385="Excluir",IFERROR(INDEX(Triagem!$K$2:$K$451,MATCH($A385,Triagem!$A$2:$A$451,0))&amp;"",""),IF(G385="Excluir",IFERROR(INDEX('Revisão_Gemini'!$J$7:$J$456,MATCH($A385,'Revisão_Gemini'!$A$7:$A$456,0))&amp;"",""),IFERROR(INDEX('Revisão_ChatGPT'!$J$7:$J$456,MATCH($A385,'Revisão_ChatGPT'!$A$7:$A$456,0))&amp;"","")))))</f>
        <v>E3</v>
      </c>
    </row>
    <row r="386" ht="15.75" customHeight="1">
      <c r="A386" s="2" t="s">
        <v>1092</v>
      </c>
      <c r="B386" s="19" t="str">
        <f t="array" ref="B386">INDEX(Triagem!$N$2:$N451 , MATCH(A386,Triagem!$A$2:$A451,0))</f>
        <v>abrir</v>
      </c>
      <c r="C386" s="20">
        <f t="array" ref="C386">INDEX(Triagem!$B$2:$B451 , MATCH(A386,Triagem!$A$2:$A451,0))</f>
        <v>2024</v>
      </c>
      <c r="D386" s="2" t="s">
        <v>1094</v>
      </c>
      <c r="E386" s="2" t="s">
        <v>1095</v>
      </c>
      <c r="F386" s="2" t="str">
        <f t="array" ref="F386">IFERROR(INDEX(Triagem!$I$2:$I$451,MATCH($A386,Triagem!$A$2:$A$451,0))&amp;"","")</f>
        <v>Excluir</v>
      </c>
      <c r="G386" s="2" t="str">
        <f t="array" ref="G386">IFERROR(INDEX('Revisão_Gemini'!$H$7:$H$456,MATCH($A386,'Revisão_Gemini'!$A$7:$A$456,0))&amp;"","")</f>
        <v>Excluir</v>
      </c>
      <c r="H386" s="2" t="str">
        <f t="array" ref="H386">IFERROR(INDEX('Revisão_ChatGPT'!$H$7:$H$456,MATCH($A386,'Revisão_ChatGPT'!$A$7:$A$456,0))&amp;"","")</f>
        <v>Excluir</v>
      </c>
      <c r="I386" s="2" t="str">
        <f t="shared" si="1"/>
        <v>3/3</v>
      </c>
      <c r="J386" s="21"/>
      <c r="K386" s="21"/>
      <c r="L386" s="21"/>
      <c r="M386" s="22" t="b">
        <f t="shared" si="2"/>
        <v>1</v>
      </c>
      <c r="N386" s="21" t="s">
        <v>3394</v>
      </c>
      <c r="O386" s="2" t="str">
        <f t="shared" si="3"/>
        <v>Excluir</v>
      </c>
      <c r="P386" s="2" t="str">
        <f t="array" ref="P386">IF(O386&lt;&gt;"Incluir","",IF(K386&lt;&gt;"",K386,IF(IFERROR(INDEX(Triagem!$J$2:$J$451,MATCH($A386,Triagem!$A$2:$A$451,0))&amp;"","")&lt;&gt;"",IFERROR(INDEX(Triagem!$J$2:$J$451,MATCH($A386,Triagem!$A$2:$A$451,0))&amp;"",""),IF(IFERROR(INDEX('Revisão_Gemini'!$I$7:$I$456,MATCH($A386,'Revisão_Gemini'!$A$7:$A$456,0))&amp;"","")&lt;&gt;"",IFERROR(INDEX('Revisão_Gemini'!$I$7:$I$456,MATCH($A386,'Revisão_Gemini'!$A$7:$A$456,0))&amp;"",""),IFERROR(INDEX('Revisão_ChatGPT'!$I$7:$I$456,MATCH($A386,'Revisão_ChatGPT'!$A$7:$A$456,0))&amp;"","")))))</f>
        <v/>
      </c>
      <c r="Q386" s="2" t="str">
        <f t="array" ref="Q386">IF(O386&lt;&gt;"Excluir","",IF(L386&lt;&gt;"",L386,IF(F386="Excluir",IFERROR(INDEX(Triagem!$K$2:$K$451,MATCH($A386,Triagem!$A$2:$A$451,0))&amp;"",""),IF(G386="Excluir",IFERROR(INDEX('Revisão_Gemini'!$J$7:$J$456,MATCH($A386,'Revisão_Gemini'!$A$7:$A$456,0))&amp;"",""),IFERROR(INDEX('Revisão_ChatGPT'!$J$7:$J$456,MATCH($A386,'Revisão_ChatGPT'!$A$7:$A$456,0))&amp;"","")))))</f>
        <v>E2</v>
      </c>
    </row>
    <row r="387" ht="15.75" customHeight="1">
      <c r="A387" s="2" t="s">
        <v>150</v>
      </c>
      <c r="B387" s="19" t="str">
        <f t="array" ref="B387">INDEX(Triagem!$N$2:$N451 , MATCH(A387,Triagem!$A$2:$A451,0))</f>
        <v>abrir</v>
      </c>
      <c r="C387" s="20">
        <f t="array" ref="C387">INDEX(Triagem!$B$2:$B451 , MATCH(A387,Triagem!$A$2:$A451,0))</f>
        <v>2025</v>
      </c>
      <c r="D387" s="2" t="s">
        <v>152</v>
      </c>
      <c r="E387" s="2" t="s">
        <v>153</v>
      </c>
      <c r="F387" s="2" t="str">
        <f t="array" ref="F387">IFERROR(INDEX(Triagem!$I$2:$I$451,MATCH($A387,Triagem!$A$2:$A$451,0))&amp;"","")</f>
        <v>Incluir</v>
      </c>
      <c r="G387" s="2" t="str">
        <f t="array" ref="G387">IFERROR(INDEX('Revisão_Gemini'!$H$7:$H$456,MATCH($A387,'Revisão_Gemini'!$A$7:$A$456,0))&amp;"","")</f>
        <v>Apoio</v>
      </c>
      <c r="H387" s="2" t="str">
        <f t="array" ref="H387">IFERROR(INDEX('Revisão_ChatGPT'!$H$7:$H$456,MATCH($A387,'Revisão_ChatGPT'!$A$7:$A$456,0))&amp;"","")</f>
        <v>Incluir</v>
      </c>
      <c r="I387" s="2" t="str">
        <f t="shared" si="1"/>
        <v>2/3</v>
      </c>
      <c r="J387" s="21" t="s">
        <v>98</v>
      </c>
      <c r="K387" s="21"/>
      <c r="L387" s="21"/>
      <c r="M387" s="22" t="b">
        <f t="shared" si="2"/>
        <v>1</v>
      </c>
      <c r="N387" s="21" t="s">
        <v>3395</v>
      </c>
      <c r="O387" s="2" t="str">
        <f t="shared" si="3"/>
        <v>Incluir</v>
      </c>
      <c r="P387" s="2" t="str">
        <f t="array" ref="P387">IF(O387&lt;&gt;"Incluir","",IF(K387&lt;&gt;"",K387,IF(IFERROR(INDEX(Triagem!$J$2:$J$451,MATCH($A387,Triagem!$A$2:$A$451,0))&amp;"","")&lt;&gt;"",IFERROR(INDEX(Triagem!$J$2:$J$451,MATCH($A387,Triagem!$A$2:$A$451,0))&amp;"",""),IF(IFERROR(INDEX('Revisão_Gemini'!$I$7:$I$456,MATCH($A387,'Revisão_Gemini'!$A$7:$A$456,0))&amp;"","")&lt;&gt;"",IFERROR(INDEX('Revisão_Gemini'!$I$7:$I$456,MATCH($A387,'Revisão_Gemini'!$A$7:$A$456,0))&amp;"",""),IFERROR(INDEX('Revisão_ChatGPT'!$I$7:$I$456,MATCH($A387,'Revisão_ChatGPT'!$A$7:$A$456,0))&amp;"","")))))</f>
        <v>A+B</v>
      </c>
      <c r="Q387" s="2" t="str">
        <f t="array" ref="Q387">IF(O387&lt;&gt;"Excluir","",IF(L387&lt;&gt;"",L387,IF(F387="Excluir",IFERROR(INDEX(Triagem!$K$2:$K$451,MATCH($A387,Triagem!$A$2:$A$451,0))&amp;"",""),IF(G387="Excluir",IFERROR(INDEX('Revisão_Gemini'!$J$7:$J$456,MATCH($A387,'Revisão_Gemini'!$A$7:$A$456,0))&amp;"",""),IFERROR(INDEX('Revisão_ChatGPT'!$J$7:$J$456,MATCH($A387,'Revisão_ChatGPT'!$A$7:$A$456,0))&amp;"","")))))</f>
        <v/>
      </c>
    </row>
    <row r="388" ht="15.75" customHeight="1">
      <c r="A388" s="2" t="s">
        <v>155</v>
      </c>
      <c r="B388" s="19" t="str">
        <f t="array" ref="B388">INDEX(Triagem!$N$2:$N451 , MATCH(A388,Triagem!$A$2:$A451,0))</f>
        <v>abrir</v>
      </c>
      <c r="C388" s="20">
        <f t="array" ref="C388">INDEX(Triagem!$B$2:$B451 , MATCH(A388,Triagem!$A$2:$A451,0))</f>
        <v>2025</v>
      </c>
      <c r="D388" s="2" t="s">
        <v>156</v>
      </c>
      <c r="E388" s="2" t="s">
        <v>157</v>
      </c>
      <c r="F388" s="2" t="str">
        <f t="array" ref="F388">IFERROR(INDEX(Triagem!$I$2:$I$451,MATCH($A388,Triagem!$A$2:$A$451,0))&amp;"","")</f>
        <v>Incluir</v>
      </c>
      <c r="G388" s="2" t="str">
        <f t="array" ref="G388">IFERROR(INDEX('Revisão_Gemini'!$H$7:$H$456,MATCH($A388,'Revisão_Gemini'!$A$7:$A$456,0))&amp;"","")</f>
        <v>Incluir</v>
      </c>
      <c r="H388" s="2" t="str">
        <f t="array" ref="H388">IFERROR(INDEX('Revisão_ChatGPT'!$H$7:$H$456,MATCH($A388,'Revisão_ChatGPT'!$A$7:$A$456,0))&amp;"","")</f>
        <v>Incluir</v>
      </c>
      <c r="I388" s="2" t="str">
        <f t="shared" si="1"/>
        <v>3/3</v>
      </c>
      <c r="J388" s="21"/>
      <c r="K388" s="21"/>
      <c r="L388" s="21"/>
      <c r="M388" s="22" t="b">
        <f t="shared" si="2"/>
        <v>1</v>
      </c>
      <c r="N388" s="21" t="s">
        <v>3396</v>
      </c>
      <c r="O388" s="2" t="str">
        <f t="shared" si="3"/>
        <v>Incluir</v>
      </c>
      <c r="P388" s="2" t="str">
        <f t="array" ref="P388">IF(O388&lt;&gt;"Incluir","",IF(K388&lt;&gt;"",K388,IF(IFERROR(INDEX(Triagem!$J$2:$J$451,MATCH($A388,Triagem!$A$2:$A$451,0))&amp;"","")&lt;&gt;"",IFERROR(INDEX(Triagem!$J$2:$J$451,MATCH($A388,Triagem!$A$2:$A$451,0))&amp;"",""),IF(IFERROR(INDEX('Revisão_Gemini'!$I$7:$I$456,MATCH($A388,'Revisão_Gemini'!$A$7:$A$456,0))&amp;"","")&lt;&gt;"",IFERROR(INDEX('Revisão_Gemini'!$I$7:$I$456,MATCH($A388,'Revisão_Gemini'!$A$7:$A$456,0))&amp;"",""),IFERROR(INDEX('Revisão_ChatGPT'!$I$7:$I$456,MATCH($A388,'Revisão_ChatGPT'!$A$7:$A$456,0))&amp;"","")))))</f>
        <v>A</v>
      </c>
      <c r="Q388" s="2" t="str">
        <f t="array" ref="Q388">IF(O388&lt;&gt;"Excluir","",IF(L388&lt;&gt;"",L388,IF(F388="Excluir",IFERROR(INDEX(Triagem!$K$2:$K$451,MATCH($A388,Triagem!$A$2:$A$451,0))&amp;"",""),IF(G388="Excluir",IFERROR(INDEX('Revisão_Gemini'!$J$7:$J$456,MATCH($A388,'Revisão_Gemini'!$A$7:$A$456,0))&amp;"",""),IFERROR(INDEX('Revisão_ChatGPT'!$J$7:$J$456,MATCH($A388,'Revisão_ChatGPT'!$A$7:$A$456,0))&amp;"","")))))</f>
        <v/>
      </c>
    </row>
    <row r="389" ht="15.75" customHeight="1">
      <c r="A389" s="2" t="s">
        <v>1097</v>
      </c>
      <c r="B389" s="19" t="str">
        <f t="array" ref="B389">INDEX(Triagem!$N$2:$N451 , MATCH(A389,Triagem!$A$2:$A451,0))</f>
        <v>abrir</v>
      </c>
      <c r="C389" s="20">
        <f t="array" ref="C389">INDEX(Triagem!$B$2:$B451 , MATCH(A389,Triagem!$A$2:$A451,0))</f>
        <v>2024</v>
      </c>
      <c r="D389" s="2" t="s">
        <v>1099</v>
      </c>
      <c r="E389" s="2" t="s">
        <v>1100</v>
      </c>
      <c r="F389" s="2" t="str">
        <f t="array" ref="F389">IFERROR(INDEX(Triagem!$I$2:$I$451,MATCH($A389,Triagem!$A$2:$A$451,0))&amp;"","")</f>
        <v>Excluir</v>
      </c>
      <c r="G389" s="2" t="str">
        <f t="array" ref="G389">IFERROR(INDEX('Revisão_Gemini'!$H$7:$H$456,MATCH($A389,'Revisão_Gemini'!$A$7:$A$456,0))&amp;"","")</f>
        <v>Excluir</v>
      </c>
      <c r="H389" s="2" t="str">
        <f t="array" ref="H389">IFERROR(INDEX('Revisão_ChatGPT'!$H$7:$H$456,MATCH($A389,'Revisão_ChatGPT'!$A$7:$A$456,0))&amp;"","")</f>
        <v>Excluir</v>
      </c>
      <c r="I389" s="2" t="str">
        <f t="shared" si="1"/>
        <v>3/3</v>
      </c>
      <c r="J389" s="21"/>
      <c r="K389" s="21"/>
      <c r="L389" s="21"/>
      <c r="M389" s="22" t="b">
        <f t="shared" si="2"/>
        <v>1</v>
      </c>
      <c r="N389" s="21" t="s">
        <v>3397</v>
      </c>
      <c r="O389" s="2" t="str">
        <f t="shared" si="3"/>
        <v>Excluir</v>
      </c>
      <c r="P389" s="2" t="str">
        <f t="array" ref="P389">IF(O389&lt;&gt;"Incluir","",IF(K389&lt;&gt;"",K389,IF(IFERROR(INDEX(Triagem!$J$2:$J$451,MATCH($A389,Triagem!$A$2:$A$451,0))&amp;"","")&lt;&gt;"",IFERROR(INDEX(Triagem!$J$2:$J$451,MATCH($A389,Triagem!$A$2:$A$451,0))&amp;"",""),IF(IFERROR(INDEX('Revisão_Gemini'!$I$7:$I$456,MATCH($A389,'Revisão_Gemini'!$A$7:$A$456,0))&amp;"","")&lt;&gt;"",IFERROR(INDEX('Revisão_Gemini'!$I$7:$I$456,MATCH($A389,'Revisão_Gemini'!$A$7:$A$456,0))&amp;"",""),IFERROR(INDEX('Revisão_ChatGPT'!$I$7:$I$456,MATCH($A389,'Revisão_ChatGPT'!$A$7:$A$456,0))&amp;"","")))))</f>
        <v/>
      </c>
      <c r="Q389" s="2" t="str">
        <f t="array" ref="Q389">IF(O389&lt;&gt;"Excluir","",IF(L389&lt;&gt;"",L389,IF(F389="Excluir",IFERROR(INDEX(Triagem!$K$2:$K$451,MATCH($A389,Triagem!$A$2:$A$451,0))&amp;"",""),IF(G389="Excluir",IFERROR(INDEX('Revisão_Gemini'!$J$7:$J$456,MATCH($A389,'Revisão_Gemini'!$A$7:$A$456,0))&amp;"",""),IFERROR(INDEX('Revisão_ChatGPT'!$J$7:$J$456,MATCH($A389,'Revisão_ChatGPT'!$A$7:$A$456,0))&amp;"","")))))</f>
        <v>E2</v>
      </c>
    </row>
    <row r="390" ht="15.75" customHeight="1">
      <c r="A390" s="2" t="s">
        <v>1038</v>
      </c>
      <c r="B390" s="19" t="str">
        <f t="array" ref="B390">INDEX(Triagem!$N$2:$N451 , MATCH(A390,Triagem!$A$2:$A451,0))</f>
        <v>abrir</v>
      </c>
      <c r="C390" s="20">
        <f t="array" ref="C390">INDEX(Triagem!$B$2:$B451 , MATCH(A390,Triagem!$A$2:$A451,0))</f>
        <v>2025</v>
      </c>
      <c r="D390" s="2" t="s">
        <v>1040</v>
      </c>
      <c r="E390" s="2" t="s">
        <v>1041</v>
      </c>
      <c r="F390" s="2" t="str">
        <f t="array" ref="F390">IFERROR(INDEX(Triagem!$I$2:$I$451,MATCH($A390,Triagem!$A$2:$A$451,0))&amp;"","")</f>
        <v>Excluir</v>
      </c>
      <c r="G390" s="2" t="str">
        <f t="array" ref="G390">IFERROR(INDEX('Revisão_Gemini'!$H$7:$H$456,MATCH($A390,'Revisão_Gemini'!$A$7:$A$456,0))&amp;"","")</f>
        <v>Excluir</v>
      </c>
      <c r="H390" s="2" t="str">
        <f t="array" ref="H390">IFERROR(INDEX('Revisão_ChatGPT'!$H$7:$H$456,MATCH($A390,'Revisão_ChatGPT'!$A$7:$A$456,0))&amp;"","")</f>
        <v>Excluir</v>
      </c>
      <c r="I390" s="2" t="str">
        <f t="shared" si="1"/>
        <v>3/3</v>
      </c>
      <c r="J390" s="21"/>
      <c r="K390" s="21"/>
      <c r="L390" s="21"/>
      <c r="M390" s="22" t="b">
        <f t="shared" si="2"/>
        <v>1</v>
      </c>
      <c r="N390" s="21" t="s">
        <v>3398</v>
      </c>
      <c r="O390" s="2" t="str">
        <f t="shared" si="3"/>
        <v>Excluir</v>
      </c>
      <c r="P390" s="2" t="str">
        <f t="array" ref="P390">IF(O390&lt;&gt;"Incluir","",IF(K390&lt;&gt;"",K390,IF(IFERROR(INDEX(Triagem!$J$2:$J$451,MATCH($A390,Triagem!$A$2:$A$451,0))&amp;"","")&lt;&gt;"",IFERROR(INDEX(Triagem!$J$2:$J$451,MATCH($A390,Triagem!$A$2:$A$451,0))&amp;"",""),IF(IFERROR(INDEX('Revisão_Gemini'!$I$7:$I$456,MATCH($A390,'Revisão_Gemini'!$A$7:$A$456,0))&amp;"","")&lt;&gt;"",IFERROR(INDEX('Revisão_Gemini'!$I$7:$I$456,MATCH($A390,'Revisão_Gemini'!$A$7:$A$456,0))&amp;"",""),IFERROR(INDEX('Revisão_ChatGPT'!$I$7:$I$456,MATCH($A390,'Revisão_ChatGPT'!$A$7:$A$456,0))&amp;"","")))))</f>
        <v/>
      </c>
      <c r="Q390" s="2" t="str">
        <f t="array" ref="Q390">IF(O390&lt;&gt;"Excluir","",IF(L390&lt;&gt;"",L390,IF(F390="Excluir",IFERROR(INDEX(Triagem!$K$2:$K$451,MATCH($A390,Triagem!$A$2:$A$451,0))&amp;"",""),IF(G390="Excluir",IFERROR(INDEX('Revisão_Gemini'!$J$7:$J$456,MATCH($A390,'Revisão_Gemini'!$A$7:$A$456,0))&amp;"",""),IFERROR(INDEX('Revisão_ChatGPT'!$J$7:$J$456,MATCH($A390,'Revisão_ChatGPT'!$A$7:$A$456,0))&amp;"","")))))</f>
        <v>E2</v>
      </c>
    </row>
    <row r="391" ht="15.75" customHeight="1">
      <c r="A391" s="2" t="s">
        <v>159</v>
      </c>
      <c r="B391" s="19" t="str">
        <f t="array" ref="B391">INDEX(Triagem!$N$2:$N451 , MATCH(A391,Triagem!$A$2:$A451,0))</f>
        <v>abrir</v>
      </c>
      <c r="C391" s="20">
        <f t="array" ref="C391">INDEX(Triagem!$B$2:$B451 , MATCH(A391,Triagem!$A$2:$A451,0))</f>
        <v>2025</v>
      </c>
      <c r="D391" s="2" t="s">
        <v>161</v>
      </c>
      <c r="E391" s="2" t="s">
        <v>162</v>
      </c>
      <c r="F391" s="2" t="str">
        <f t="array" ref="F391">IFERROR(INDEX(Triagem!$I$2:$I$451,MATCH($A391,Triagem!$A$2:$A$451,0))&amp;"","")</f>
        <v>Incluir</v>
      </c>
      <c r="G391" s="2" t="str">
        <f t="array" ref="G391">IFERROR(INDEX('Revisão_Gemini'!$H$7:$H$456,MATCH($A391,'Revisão_Gemini'!$A$7:$A$456,0))&amp;"","")</f>
        <v>Incluir</v>
      </c>
      <c r="H391" s="2" t="str">
        <f t="array" ref="H391">IFERROR(INDEX('Revisão_ChatGPT'!$H$7:$H$456,MATCH($A391,'Revisão_ChatGPT'!$A$7:$A$456,0))&amp;"","")</f>
        <v>Excluir</v>
      </c>
      <c r="I391" s="2" t="str">
        <f t="shared" si="1"/>
        <v>2/3</v>
      </c>
      <c r="J391" s="24" t="s">
        <v>98</v>
      </c>
      <c r="K391" s="21"/>
      <c r="L391" s="21"/>
      <c r="M391" s="22" t="b">
        <f t="shared" si="2"/>
        <v>1</v>
      </c>
      <c r="N391" s="21"/>
      <c r="O391" s="2" t="str">
        <f t="shared" si="3"/>
        <v>Incluir</v>
      </c>
      <c r="P391" s="2" t="str">
        <f t="array" ref="P391">IF(O391&lt;&gt;"Incluir","",IF(K391&lt;&gt;"",K391,IF(IFERROR(INDEX(Triagem!$J$2:$J$451,MATCH($A391,Triagem!$A$2:$A$451,0))&amp;"","")&lt;&gt;"",IFERROR(INDEX(Triagem!$J$2:$J$451,MATCH($A391,Triagem!$A$2:$A$451,0))&amp;"",""),IF(IFERROR(INDEX('Revisão_Gemini'!$I$7:$I$456,MATCH($A391,'Revisão_Gemini'!$A$7:$A$456,0))&amp;"","")&lt;&gt;"",IFERROR(INDEX('Revisão_Gemini'!$I$7:$I$456,MATCH($A391,'Revisão_Gemini'!$A$7:$A$456,0))&amp;"",""),IFERROR(INDEX('Revisão_ChatGPT'!$I$7:$I$456,MATCH($A391,'Revisão_ChatGPT'!$A$7:$A$456,0))&amp;"","")))))</f>
        <v>A</v>
      </c>
      <c r="Q391" s="2" t="str">
        <f t="array" ref="Q391">IF(O391&lt;&gt;"Excluir","",IF(L391&lt;&gt;"",L391,IF(F391="Excluir",IFERROR(INDEX(Triagem!$K$2:$K$451,MATCH($A391,Triagem!$A$2:$A$451,0))&amp;"",""),IF(G391="Excluir",IFERROR(INDEX('Revisão_Gemini'!$J$7:$J$456,MATCH($A391,'Revisão_Gemini'!$A$7:$A$456,0))&amp;"",""),IFERROR(INDEX('Revisão_ChatGPT'!$J$7:$J$456,MATCH($A391,'Revisão_ChatGPT'!$A$7:$A$456,0))&amp;"","")))))</f>
        <v/>
      </c>
    </row>
    <row r="392" ht="15.75" customHeight="1">
      <c r="A392" s="2" t="s">
        <v>1566</v>
      </c>
      <c r="B392" s="19" t="str">
        <f t="array" ref="B392">INDEX(Triagem!$N$2:$N451 , MATCH(A392,Triagem!$A$2:$A451,0))</f>
        <v>abrir</v>
      </c>
      <c r="C392" s="20">
        <f t="array" ref="C392">INDEX(Triagem!$B$2:$B451 , MATCH(A392,Triagem!$A$2:$A451,0))</f>
        <v>2025</v>
      </c>
      <c r="D392" s="2" t="s">
        <v>1568</v>
      </c>
      <c r="E392" s="2" t="s">
        <v>1569</v>
      </c>
      <c r="F392" s="2" t="str">
        <f t="array" ref="F392">IFERROR(INDEX(Triagem!$I$2:$I$451,MATCH($A392,Triagem!$A$2:$A$451,0))&amp;"","")</f>
        <v>Excluir</v>
      </c>
      <c r="G392" s="2" t="str">
        <f t="array" ref="G392">IFERROR(INDEX('Revisão_Gemini'!$H$7:$H$456,MATCH($A392,'Revisão_Gemini'!$A$7:$A$456,0))&amp;"","")</f>
        <v>Excluir</v>
      </c>
      <c r="H392" s="2" t="str">
        <f t="array" ref="H392">IFERROR(INDEX('Revisão_ChatGPT'!$H$7:$H$456,MATCH($A392,'Revisão_ChatGPT'!$A$7:$A$456,0))&amp;"","")</f>
        <v>Excluir</v>
      </c>
      <c r="I392" s="2" t="str">
        <f t="shared" si="1"/>
        <v>3/3</v>
      </c>
      <c r="J392" s="21"/>
      <c r="K392" s="21"/>
      <c r="L392" s="21"/>
      <c r="M392" s="22" t="b">
        <f t="shared" si="2"/>
        <v>1</v>
      </c>
      <c r="N392" s="21"/>
      <c r="O392" s="2" t="str">
        <f t="shared" si="3"/>
        <v>Excluir</v>
      </c>
      <c r="P392" s="2" t="str">
        <f t="array" ref="P392">IF(O392&lt;&gt;"Incluir","",IF(K392&lt;&gt;"",K392,IF(IFERROR(INDEX(Triagem!$J$2:$J$451,MATCH($A392,Triagem!$A$2:$A$451,0))&amp;"","")&lt;&gt;"",IFERROR(INDEX(Triagem!$J$2:$J$451,MATCH($A392,Triagem!$A$2:$A$451,0))&amp;"",""),IF(IFERROR(INDEX('Revisão_Gemini'!$I$7:$I$456,MATCH($A392,'Revisão_Gemini'!$A$7:$A$456,0))&amp;"","")&lt;&gt;"",IFERROR(INDEX('Revisão_Gemini'!$I$7:$I$456,MATCH($A392,'Revisão_Gemini'!$A$7:$A$456,0))&amp;"",""),IFERROR(INDEX('Revisão_ChatGPT'!$I$7:$I$456,MATCH($A392,'Revisão_ChatGPT'!$A$7:$A$456,0))&amp;"","")))))</f>
        <v/>
      </c>
      <c r="Q392" s="2" t="str">
        <f t="array" ref="Q392">IF(O392&lt;&gt;"Excluir","",IF(L392&lt;&gt;"",L392,IF(F392="Excluir",IFERROR(INDEX(Triagem!$K$2:$K$451,MATCH($A392,Triagem!$A$2:$A$451,0))&amp;"",""),IF(G392="Excluir",IFERROR(INDEX('Revisão_Gemini'!$J$7:$J$456,MATCH($A392,'Revisão_Gemini'!$A$7:$A$456,0))&amp;"",""),IFERROR(INDEX('Revisão_ChatGPT'!$J$7:$J$456,MATCH($A392,'Revisão_ChatGPT'!$A$7:$A$456,0))&amp;"","")))))</f>
        <v>E3</v>
      </c>
    </row>
    <row r="393" ht="15.75" customHeight="1">
      <c r="A393" s="2" t="s">
        <v>1043</v>
      </c>
      <c r="B393" s="19" t="str">
        <f t="array" ref="B393">INDEX(Triagem!$N$2:$N451 , MATCH(A393,Triagem!$A$2:$A451,0))</f>
        <v>abrir</v>
      </c>
      <c r="C393" s="20">
        <f t="array" ref="C393">INDEX(Triagem!$B$2:$B451 , MATCH(A393,Triagem!$A$2:$A451,0))</f>
        <v>2025</v>
      </c>
      <c r="D393" s="2" t="s">
        <v>1045</v>
      </c>
      <c r="E393" s="2" t="s">
        <v>1046</v>
      </c>
      <c r="F393" s="2" t="str">
        <f t="array" ref="F393">IFERROR(INDEX(Triagem!$I$2:$I$451,MATCH($A393,Triagem!$A$2:$A$451,0))&amp;"","")</f>
        <v>Excluir</v>
      </c>
      <c r="G393" s="2" t="str">
        <f t="array" ref="G393">IFERROR(INDEX('Revisão_Gemini'!$H$7:$H$456,MATCH($A393,'Revisão_Gemini'!$A$7:$A$456,0))&amp;"","")</f>
        <v>Excluir</v>
      </c>
      <c r="H393" s="2" t="str">
        <f t="array" ref="H393">IFERROR(INDEX('Revisão_ChatGPT'!$H$7:$H$456,MATCH($A393,'Revisão_ChatGPT'!$A$7:$A$456,0))&amp;"","")</f>
        <v>Excluir</v>
      </c>
      <c r="I393" s="2" t="str">
        <f t="shared" si="1"/>
        <v>3/3</v>
      </c>
      <c r="J393" s="21"/>
      <c r="K393" s="21"/>
      <c r="L393" s="21"/>
      <c r="M393" s="22" t="b">
        <f t="shared" si="2"/>
        <v>1</v>
      </c>
      <c r="N393" s="21"/>
      <c r="O393" s="2" t="str">
        <f t="shared" si="3"/>
        <v>Excluir</v>
      </c>
      <c r="P393" s="2" t="str">
        <f t="array" ref="P393">IF(O393&lt;&gt;"Incluir","",IF(K393&lt;&gt;"",K393,IF(IFERROR(INDEX(Triagem!$J$2:$J$451,MATCH($A393,Triagem!$A$2:$A$451,0))&amp;"","")&lt;&gt;"",IFERROR(INDEX(Triagem!$J$2:$J$451,MATCH($A393,Triagem!$A$2:$A$451,0))&amp;"",""),IF(IFERROR(INDEX('Revisão_Gemini'!$I$7:$I$456,MATCH($A393,'Revisão_Gemini'!$A$7:$A$456,0))&amp;"","")&lt;&gt;"",IFERROR(INDEX('Revisão_Gemini'!$I$7:$I$456,MATCH($A393,'Revisão_Gemini'!$A$7:$A$456,0))&amp;"",""),IFERROR(INDEX('Revisão_ChatGPT'!$I$7:$I$456,MATCH($A393,'Revisão_ChatGPT'!$A$7:$A$456,0))&amp;"","")))))</f>
        <v/>
      </c>
      <c r="Q393" s="2" t="str">
        <f t="array" ref="Q393">IF(O393&lt;&gt;"Excluir","",IF(L393&lt;&gt;"",L393,IF(F393="Excluir",IFERROR(INDEX(Triagem!$K$2:$K$451,MATCH($A393,Triagem!$A$2:$A$451,0))&amp;"",""),IF(G393="Excluir",IFERROR(INDEX('Revisão_Gemini'!$J$7:$J$456,MATCH($A393,'Revisão_Gemini'!$A$7:$A$456,0))&amp;"",""),IFERROR(INDEX('Revisão_ChatGPT'!$J$7:$J$456,MATCH($A393,'Revisão_ChatGPT'!$A$7:$A$456,0))&amp;"","")))))</f>
        <v>E2</v>
      </c>
    </row>
    <row r="394" ht="15.75" customHeight="1">
      <c r="A394" s="2" t="s">
        <v>696</v>
      </c>
      <c r="B394" s="19" t="str">
        <f t="array" ref="B394">INDEX(Triagem!$N$2:$N451 , MATCH(A394,Triagem!$A$2:$A451,0))</f>
        <v>abrir</v>
      </c>
      <c r="C394" s="20">
        <f t="array" ref="C394">INDEX(Triagem!$B$2:$B451 , MATCH(A394,Triagem!$A$2:$A451,0))</f>
        <v>2025</v>
      </c>
      <c r="D394" s="2" t="s">
        <v>697</v>
      </c>
      <c r="E394" s="2" t="s">
        <v>698</v>
      </c>
      <c r="F394" s="2" t="str">
        <f t="array" ref="F394">IFERROR(INDEX(Triagem!$I$2:$I$451,MATCH($A394,Triagem!$A$2:$A$451,0))&amp;"","")</f>
        <v>Apoio</v>
      </c>
      <c r="G394" s="2" t="str">
        <f t="array" ref="G394">IFERROR(INDEX('Revisão_Gemini'!$H$7:$H$456,MATCH($A394,'Revisão_Gemini'!$A$7:$A$456,0))&amp;"","")</f>
        <v>Apoio</v>
      </c>
      <c r="H394" s="2" t="str">
        <f t="array" ref="H394">IFERROR(INDEX('Revisão_ChatGPT'!$H$7:$H$456,MATCH($A394,'Revisão_ChatGPT'!$A$7:$A$456,0))&amp;"","")</f>
        <v>Apoio</v>
      </c>
      <c r="I394" s="2" t="str">
        <f t="shared" si="1"/>
        <v>3/3</v>
      </c>
      <c r="J394" s="21"/>
      <c r="K394" s="21"/>
      <c r="L394" s="21"/>
      <c r="M394" s="22" t="b">
        <f t="shared" si="2"/>
        <v>1</v>
      </c>
      <c r="N394" s="21"/>
      <c r="O394" s="2" t="str">
        <f t="shared" si="3"/>
        <v>Apoio</v>
      </c>
      <c r="P394" s="2" t="str">
        <f t="array" ref="P394">IF(O394&lt;&gt;"Incluir","",IF(K394&lt;&gt;"",K394,IF(IFERROR(INDEX(Triagem!$J$2:$J$451,MATCH($A394,Triagem!$A$2:$A$451,0))&amp;"","")&lt;&gt;"",IFERROR(INDEX(Triagem!$J$2:$J$451,MATCH($A394,Triagem!$A$2:$A$451,0))&amp;"",""),IF(IFERROR(INDEX('Revisão_Gemini'!$I$7:$I$456,MATCH($A394,'Revisão_Gemini'!$A$7:$A$456,0))&amp;"","")&lt;&gt;"",IFERROR(INDEX('Revisão_Gemini'!$I$7:$I$456,MATCH($A394,'Revisão_Gemini'!$A$7:$A$456,0))&amp;"",""),IFERROR(INDEX('Revisão_ChatGPT'!$I$7:$I$456,MATCH($A394,'Revisão_ChatGPT'!$A$7:$A$456,0))&amp;"","")))))</f>
        <v/>
      </c>
      <c r="Q394" s="2" t="str">
        <f t="array" ref="Q394">IF(O394&lt;&gt;"Excluir","",IF(L394&lt;&gt;"",L394,IF(F394="Excluir",IFERROR(INDEX(Triagem!$K$2:$K$451,MATCH($A394,Triagem!$A$2:$A$451,0))&amp;"",""),IF(G394="Excluir",IFERROR(INDEX('Revisão_Gemini'!$J$7:$J$456,MATCH($A394,'Revisão_Gemini'!$A$7:$A$456,0))&amp;"",""),IFERROR(INDEX('Revisão_ChatGPT'!$J$7:$J$456,MATCH($A394,'Revisão_ChatGPT'!$A$7:$A$456,0))&amp;"","")))))</f>
        <v/>
      </c>
    </row>
    <row r="395" ht="15.75" customHeight="1">
      <c r="A395" s="2" t="s">
        <v>164</v>
      </c>
      <c r="B395" s="19" t="str">
        <f t="array" ref="B395">INDEX(Triagem!$N$2:$N451 , MATCH(A395,Triagem!$A$2:$A451,0))</f>
        <v>abrir</v>
      </c>
      <c r="C395" s="20">
        <f t="array" ref="C395">INDEX(Triagem!$B$2:$B451 , MATCH(A395,Triagem!$A$2:$A451,0))</f>
        <v>2025</v>
      </c>
      <c r="D395" s="2" t="s">
        <v>166</v>
      </c>
      <c r="E395" s="2" t="s">
        <v>167</v>
      </c>
      <c r="F395" s="2" t="str">
        <f t="array" ref="F395">IFERROR(INDEX(Triagem!$I$2:$I$451,MATCH($A395,Triagem!$A$2:$A$451,0))&amp;"","")</f>
        <v>Incluir</v>
      </c>
      <c r="G395" s="2" t="str">
        <f t="array" ref="G395">IFERROR(INDEX('Revisão_Gemini'!$H$7:$H$456,MATCH($A395,'Revisão_Gemini'!$A$7:$A$456,0))&amp;"","")</f>
        <v>Incluir</v>
      </c>
      <c r="H395" s="2" t="str">
        <f t="array" ref="H395">IFERROR(INDEX('Revisão_ChatGPT'!$H$7:$H$456,MATCH($A395,'Revisão_ChatGPT'!$A$7:$A$456,0))&amp;"","")</f>
        <v>Excluir</v>
      </c>
      <c r="I395" s="2" t="str">
        <f t="shared" si="1"/>
        <v>2/3</v>
      </c>
      <c r="J395" s="24" t="s">
        <v>98</v>
      </c>
      <c r="K395" s="21"/>
      <c r="L395" s="21"/>
      <c r="M395" s="22" t="b">
        <f t="shared" si="2"/>
        <v>1</v>
      </c>
      <c r="N395" s="21" t="s">
        <v>3399</v>
      </c>
      <c r="O395" s="2" t="str">
        <f t="shared" si="3"/>
        <v>Incluir</v>
      </c>
      <c r="P395" s="2" t="str">
        <f t="array" ref="P395">IF(O395&lt;&gt;"Incluir","",IF(K395&lt;&gt;"",K395,IF(IFERROR(INDEX(Triagem!$J$2:$J$451,MATCH($A395,Triagem!$A$2:$A$451,0))&amp;"","")&lt;&gt;"",IFERROR(INDEX(Triagem!$J$2:$J$451,MATCH($A395,Triagem!$A$2:$A$451,0))&amp;"",""),IF(IFERROR(INDEX('Revisão_Gemini'!$I$7:$I$456,MATCH($A395,'Revisão_Gemini'!$A$7:$A$456,0))&amp;"","")&lt;&gt;"",IFERROR(INDEX('Revisão_Gemini'!$I$7:$I$456,MATCH($A395,'Revisão_Gemini'!$A$7:$A$456,0))&amp;"",""),IFERROR(INDEX('Revisão_ChatGPT'!$I$7:$I$456,MATCH($A395,'Revisão_ChatGPT'!$A$7:$A$456,0))&amp;"","")))))</f>
        <v>A</v>
      </c>
      <c r="Q395" s="2" t="str">
        <f t="array" ref="Q395">IF(O395&lt;&gt;"Excluir","",IF(L395&lt;&gt;"",L395,IF(F395="Excluir",IFERROR(INDEX(Triagem!$K$2:$K$451,MATCH($A395,Triagem!$A$2:$A$451,0))&amp;"",""),IF(G395="Excluir",IFERROR(INDEX('Revisão_Gemini'!$J$7:$J$456,MATCH($A395,'Revisão_Gemini'!$A$7:$A$456,0))&amp;"",""),IFERROR(INDEX('Revisão_ChatGPT'!$J$7:$J$456,MATCH($A395,'Revisão_ChatGPT'!$A$7:$A$456,0))&amp;"","")))))</f>
        <v/>
      </c>
    </row>
    <row r="396" ht="15.75" customHeight="1">
      <c r="A396" s="2" t="s">
        <v>214</v>
      </c>
      <c r="B396" s="19" t="str">
        <f t="array" ref="B396">INDEX(Triagem!$N$2:$N451 , MATCH(A396,Triagem!$A$2:$A451,0))</f>
        <v>abrir</v>
      </c>
      <c r="C396" s="20">
        <f t="array" ref="C396">INDEX(Triagem!$B$2:$B451 , MATCH(A396,Triagem!$A$2:$A451,0))</f>
        <v>2024</v>
      </c>
      <c r="D396" s="2" t="s">
        <v>216</v>
      </c>
      <c r="E396" s="2" t="s">
        <v>217</v>
      </c>
      <c r="F396" s="2" t="str">
        <f t="array" ref="F396">IFERROR(INDEX(Triagem!$I$2:$I$451,MATCH($A396,Triagem!$A$2:$A$451,0))&amp;"","")</f>
        <v>Incluir</v>
      </c>
      <c r="G396" s="2" t="str">
        <f t="array" ref="G396">IFERROR(INDEX('Revisão_Gemini'!$H$7:$H$456,MATCH($A396,'Revisão_Gemini'!$A$7:$A$456,0))&amp;"","")</f>
        <v>Apoio</v>
      </c>
      <c r="H396" s="2" t="str">
        <f t="array" ref="H396">IFERROR(INDEX('Revisão_ChatGPT'!$H$7:$H$456,MATCH($A396,'Revisão_ChatGPT'!$A$7:$A$456,0))&amp;"","")</f>
        <v>Incluir</v>
      </c>
      <c r="I396" s="2" t="str">
        <f t="shared" si="1"/>
        <v>2/3</v>
      </c>
      <c r="J396" s="24" t="s">
        <v>98</v>
      </c>
      <c r="K396" s="21"/>
      <c r="L396" s="21"/>
      <c r="M396" s="22" t="b">
        <f t="shared" si="2"/>
        <v>1</v>
      </c>
      <c r="N396" s="21" t="s">
        <v>3400</v>
      </c>
      <c r="O396" s="2" t="str">
        <f t="shared" si="3"/>
        <v>Incluir</v>
      </c>
      <c r="P396" s="2" t="str">
        <f t="array" ref="P396">IF(O396&lt;&gt;"Incluir","",IF(K396&lt;&gt;"",K396,IF(IFERROR(INDEX(Triagem!$J$2:$J$451,MATCH($A396,Triagem!$A$2:$A$451,0))&amp;"","")&lt;&gt;"",IFERROR(INDEX(Triagem!$J$2:$J$451,MATCH($A396,Triagem!$A$2:$A$451,0))&amp;"",""),IF(IFERROR(INDEX('Revisão_Gemini'!$I$7:$I$456,MATCH($A396,'Revisão_Gemini'!$A$7:$A$456,0))&amp;"","")&lt;&gt;"",IFERROR(INDEX('Revisão_Gemini'!$I$7:$I$456,MATCH($A396,'Revisão_Gemini'!$A$7:$A$456,0))&amp;"",""),IFERROR(INDEX('Revisão_ChatGPT'!$I$7:$I$456,MATCH($A396,'Revisão_ChatGPT'!$A$7:$A$456,0))&amp;"","")))))</f>
        <v>A</v>
      </c>
      <c r="Q396" s="2" t="str">
        <f t="array" ref="Q396">IF(O396&lt;&gt;"Excluir","",IF(L396&lt;&gt;"",L396,IF(F396="Excluir",IFERROR(INDEX(Triagem!$K$2:$K$451,MATCH($A396,Triagem!$A$2:$A$451,0))&amp;"",""),IF(G396="Excluir",IFERROR(INDEX('Revisão_Gemini'!$J$7:$J$456,MATCH($A396,'Revisão_Gemini'!$A$7:$A$456,0))&amp;"",""),IFERROR(INDEX('Revisão_ChatGPT'!$J$7:$J$456,MATCH($A396,'Revisão_ChatGPT'!$A$7:$A$456,0))&amp;"","")))))</f>
        <v/>
      </c>
    </row>
    <row r="397" ht="15.75" customHeight="1">
      <c r="A397" s="2" t="s">
        <v>1048</v>
      </c>
      <c r="B397" s="19" t="str">
        <f t="array" ref="B397">INDEX(Triagem!$N$2:$N451 , MATCH(A397,Triagem!$A$2:$A451,0))</f>
        <v>abrir</v>
      </c>
      <c r="C397" s="20">
        <f t="array" ref="C397">INDEX(Triagem!$B$2:$B451 , MATCH(A397,Triagem!$A$2:$A451,0))</f>
        <v>2025</v>
      </c>
      <c r="D397" s="2" t="s">
        <v>1050</v>
      </c>
      <c r="E397" s="2" t="s">
        <v>1051</v>
      </c>
      <c r="F397" s="2" t="str">
        <f t="array" ref="F397">IFERROR(INDEX(Triagem!$I$2:$I$451,MATCH($A397,Triagem!$A$2:$A$451,0))&amp;"","")</f>
        <v>Excluir</v>
      </c>
      <c r="G397" s="2" t="str">
        <f t="array" ref="G397">IFERROR(INDEX('Revisão_Gemini'!$H$7:$H$456,MATCH($A397,'Revisão_Gemini'!$A$7:$A$456,0))&amp;"","")</f>
        <v>Excluir</v>
      </c>
      <c r="H397" s="2" t="str">
        <f t="array" ref="H397">IFERROR(INDEX('Revisão_ChatGPT'!$H$7:$H$456,MATCH($A397,'Revisão_ChatGPT'!$A$7:$A$456,0))&amp;"","")</f>
        <v>Excluir</v>
      </c>
      <c r="I397" s="2" t="str">
        <f t="shared" si="1"/>
        <v>3/3</v>
      </c>
      <c r="J397" s="21"/>
      <c r="K397" s="21"/>
      <c r="L397" s="21"/>
      <c r="M397" s="22" t="b">
        <f t="shared" si="2"/>
        <v>1</v>
      </c>
      <c r="N397" s="21" t="s">
        <v>3401</v>
      </c>
      <c r="O397" s="2" t="str">
        <f t="shared" si="3"/>
        <v>Excluir</v>
      </c>
      <c r="P397" s="2" t="str">
        <f t="array" ref="P397">IF(O397&lt;&gt;"Incluir","",IF(K397&lt;&gt;"",K397,IF(IFERROR(INDEX(Triagem!$J$2:$J$451,MATCH($A397,Triagem!$A$2:$A$451,0))&amp;"","")&lt;&gt;"",IFERROR(INDEX(Triagem!$J$2:$J$451,MATCH($A397,Triagem!$A$2:$A$451,0))&amp;"",""),IF(IFERROR(INDEX('Revisão_Gemini'!$I$7:$I$456,MATCH($A397,'Revisão_Gemini'!$A$7:$A$456,0))&amp;"","")&lt;&gt;"",IFERROR(INDEX('Revisão_Gemini'!$I$7:$I$456,MATCH($A397,'Revisão_Gemini'!$A$7:$A$456,0))&amp;"",""),IFERROR(INDEX('Revisão_ChatGPT'!$I$7:$I$456,MATCH($A397,'Revisão_ChatGPT'!$A$7:$A$456,0))&amp;"","")))))</f>
        <v/>
      </c>
      <c r="Q397" s="2" t="str">
        <f t="array" ref="Q397">IF(O397&lt;&gt;"Excluir","",IF(L397&lt;&gt;"",L397,IF(F397="Excluir",IFERROR(INDEX(Triagem!$K$2:$K$451,MATCH($A397,Triagem!$A$2:$A$451,0))&amp;"",""),IF(G397="Excluir",IFERROR(INDEX('Revisão_Gemini'!$J$7:$J$456,MATCH($A397,'Revisão_Gemini'!$A$7:$A$456,0))&amp;"",""),IFERROR(INDEX('Revisão_ChatGPT'!$J$7:$J$456,MATCH($A397,'Revisão_ChatGPT'!$A$7:$A$456,0))&amp;"","")))))</f>
        <v>E2</v>
      </c>
    </row>
    <row r="398" ht="15.75" customHeight="1">
      <c r="A398" s="2" t="s">
        <v>1571</v>
      </c>
      <c r="B398" s="19" t="str">
        <f t="array" ref="B398">INDEX(Triagem!$N$2:$N451 , MATCH(A398,Triagem!$A$2:$A451,0))</f>
        <v>abrir</v>
      </c>
      <c r="C398" s="20">
        <f t="array" ref="C398">INDEX(Triagem!$B$2:$B451 , MATCH(A398,Triagem!$A$2:$A451,0))</f>
        <v>2025</v>
      </c>
      <c r="D398" s="2" t="s">
        <v>1573</v>
      </c>
      <c r="E398" s="2" t="s">
        <v>1574</v>
      </c>
      <c r="F398" s="2" t="str">
        <f t="array" ref="F398">IFERROR(INDEX(Triagem!$I$2:$I$451,MATCH($A398,Triagem!$A$2:$A$451,0))&amp;"","")</f>
        <v>Excluir</v>
      </c>
      <c r="G398" s="2" t="str">
        <f t="array" ref="G398">IFERROR(INDEX('Revisão_Gemini'!$H$7:$H$456,MATCH($A398,'Revisão_Gemini'!$A$7:$A$456,0))&amp;"","")</f>
        <v>Excluir</v>
      </c>
      <c r="H398" s="2" t="str">
        <f t="array" ref="H398">IFERROR(INDEX('Revisão_ChatGPT'!$H$7:$H$456,MATCH($A398,'Revisão_ChatGPT'!$A$7:$A$456,0))&amp;"","")</f>
        <v>Excluir</v>
      </c>
      <c r="I398" s="2" t="str">
        <f t="shared" si="1"/>
        <v>3/3</v>
      </c>
      <c r="J398" s="21"/>
      <c r="K398" s="21"/>
      <c r="L398" s="21"/>
      <c r="M398" s="22" t="b">
        <f t="shared" si="2"/>
        <v>1</v>
      </c>
      <c r="N398" s="21" t="s">
        <v>3402</v>
      </c>
      <c r="O398" s="2" t="str">
        <f t="shared" si="3"/>
        <v>Excluir</v>
      </c>
      <c r="P398" s="2" t="str">
        <f t="array" ref="P398">IF(O398&lt;&gt;"Incluir","",IF(K398&lt;&gt;"",K398,IF(IFERROR(INDEX(Triagem!$J$2:$J$451,MATCH($A398,Triagem!$A$2:$A$451,0))&amp;"","")&lt;&gt;"",IFERROR(INDEX(Triagem!$J$2:$J$451,MATCH($A398,Triagem!$A$2:$A$451,0))&amp;"",""),IF(IFERROR(INDEX('Revisão_Gemini'!$I$7:$I$456,MATCH($A398,'Revisão_Gemini'!$A$7:$A$456,0))&amp;"","")&lt;&gt;"",IFERROR(INDEX('Revisão_Gemini'!$I$7:$I$456,MATCH($A398,'Revisão_Gemini'!$A$7:$A$456,0))&amp;"",""),IFERROR(INDEX('Revisão_ChatGPT'!$I$7:$I$456,MATCH($A398,'Revisão_ChatGPT'!$A$7:$A$456,0))&amp;"","")))))</f>
        <v/>
      </c>
      <c r="Q398" s="2" t="str">
        <f t="array" ref="Q398">IF(O398&lt;&gt;"Excluir","",IF(L398&lt;&gt;"",L398,IF(F398="Excluir",IFERROR(INDEX(Triagem!$K$2:$K$451,MATCH($A398,Triagem!$A$2:$A$451,0))&amp;"",""),IF(G398="Excluir",IFERROR(INDEX('Revisão_Gemini'!$J$7:$J$456,MATCH($A398,'Revisão_Gemini'!$A$7:$A$456,0))&amp;"",""),IFERROR(INDEX('Revisão_ChatGPT'!$J$7:$J$456,MATCH($A398,'Revisão_ChatGPT'!$A$7:$A$456,0))&amp;"","")))))</f>
        <v>E3</v>
      </c>
    </row>
    <row r="399" ht="15.75" customHeight="1">
      <c r="A399" s="2" t="s">
        <v>1576</v>
      </c>
      <c r="B399" s="19" t="str">
        <f t="array" ref="B399">INDEX(Triagem!$N$2:$N451 , MATCH(A399,Triagem!$A$2:$A451,0))</f>
        <v>abrir</v>
      </c>
      <c r="C399" s="20">
        <f t="array" ref="C399">INDEX(Triagem!$B$2:$B451 , MATCH(A399,Triagem!$A$2:$A451,0))</f>
        <v>2025</v>
      </c>
      <c r="D399" s="2" t="s">
        <v>1578</v>
      </c>
      <c r="E399" s="2" t="s">
        <v>1579</v>
      </c>
      <c r="F399" s="2" t="str">
        <f t="array" ref="F399">IFERROR(INDEX(Triagem!$I$2:$I$451,MATCH($A399,Triagem!$A$2:$A$451,0))&amp;"","")</f>
        <v>Excluir</v>
      </c>
      <c r="G399" s="2" t="str">
        <f t="array" ref="G399">IFERROR(INDEX('Revisão_Gemini'!$H$7:$H$456,MATCH($A399,'Revisão_Gemini'!$A$7:$A$456,0))&amp;"","")</f>
        <v>Excluir</v>
      </c>
      <c r="H399" s="2" t="str">
        <f t="array" ref="H399">IFERROR(INDEX('Revisão_ChatGPT'!$H$7:$H$456,MATCH($A399,'Revisão_ChatGPT'!$A$7:$A$456,0))&amp;"","")</f>
        <v>Excluir</v>
      </c>
      <c r="I399" s="2" t="str">
        <f t="shared" si="1"/>
        <v>3/3</v>
      </c>
      <c r="J399" s="21"/>
      <c r="K399" s="21"/>
      <c r="L399" s="21"/>
      <c r="M399" s="22" t="b">
        <f t="shared" si="2"/>
        <v>1</v>
      </c>
      <c r="N399" s="21" t="s">
        <v>3403</v>
      </c>
      <c r="O399" s="2" t="str">
        <f t="shared" si="3"/>
        <v>Excluir</v>
      </c>
      <c r="P399" s="2" t="str">
        <f t="array" ref="P399">IF(O399&lt;&gt;"Incluir","",IF(K399&lt;&gt;"",K399,IF(IFERROR(INDEX(Triagem!$J$2:$J$451,MATCH($A399,Triagem!$A$2:$A$451,0))&amp;"","")&lt;&gt;"",IFERROR(INDEX(Triagem!$J$2:$J$451,MATCH($A399,Triagem!$A$2:$A$451,0))&amp;"",""),IF(IFERROR(INDEX('Revisão_Gemini'!$I$7:$I$456,MATCH($A399,'Revisão_Gemini'!$A$7:$A$456,0))&amp;"","")&lt;&gt;"",IFERROR(INDEX('Revisão_Gemini'!$I$7:$I$456,MATCH($A399,'Revisão_Gemini'!$A$7:$A$456,0))&amp;"",""),IFERROR(INDEX('Revisão_ChatGPT'!$I$7:$I$456,MATCH($A399,'Revisão_ChatGPT'!$A$7:$A$456,0))&amp;"","")))))</f>
        <v/>
      </c>
      <c r="Q399" s="2" t="str">
        <f t="array" ref="Q399">IF(O399&lt;&gt;"Excluir","",IF(L399&lt;&gt;"",L399,IF(F399="Excluir",IFERROR(INDEX(Triagem!$K$2:$K$451,MATCH($A399,Triagem!$A$2:$A$451,0))&amp;"",""),IF(G399="Excluir",IFERROR(INDEX('Revisão_Gemini'!$J$7:$J$456,MATCH($A399,'Revisão_Gemini'!$A$7:$A$456,0))&amp;"",""),IFERROR(INDEX('Revisão_ChatGPT'!$J$7:$J$456,MATCH($A399,'Revisão_ChatGPT'!$A$7:$A$456,0))&amp;"","")))))</f>
        <v>E3</v>
      </c>
    </row>
    <row r="400" ht="15.75" customHeight="1">
      <c r="A400" s="2" t="s">
        <v>1901</v>
      </c>
      <c r="B400" s="19" t="str">
        <f t="array" ref="B400">INDEX(Triagem!$N$2:$N451 , MATCH(A400,Triagem!$A$2:$A451,0))</f>
        <v>abrir</v>
      </c>
      <c r="C400" s="20">
        <f t="array" ref="C400">INDEX(Triagem!$B$2:$B451 , MATCH(A400,Triagem!$A$2:$A451,0))</f>
        <v>2025</v>
      </c>
      <c r="D400" s="2" t="s">
        <v>1903</v>
      </c>
      <c r="E400" s="2" t="s">
        <v>1904</v>
      </c>
      <c r="F400" s="2" t="str">
        <f t="array" ref="F400">IFERROR(INDEX(Triagem!$I$2:$I$451,MATCH($A400,Triagem!$A$2:$A$451,0))&amp;"","")</f>
        <v>Excluir</v>
      </c>
      <c r="G400" s="2" t="str">
        <f t="array" ref="G400">IFERROR(INDEX('Revisão_Gemini'!$H$7:$H$456,MATCH($A400,'Revisão_Gemini'!$A$7:$A$456,0))&amp;"","")</f>
        <v>Excluir</v>
      </c>
      <c r="H400" s="2" t="str">
        <f t="array" ref="H400">IFERROR(INDEX('Revisão_ChatGPT'!$H$7:$H$456,MATCH($A400,'Revisão_ChatGPT'!$A$7:$A$456,0))&amp;"","")</f>
        <v>Excluir</v>
      </c>
      <c r="I400" s="2" t="str">
        <f t="shared" si="1"/>
        <v>3/3</v>
      </c>
      <c r="J400" s="21"/>
      <c r="K400" s="21"/>
      <c r="L400" s="21"/>
      <c r="M400" s="22" t="b">
        <f t="shared" si="2"/>
        <v>1</v>
      </c>
      <c r="N400" s="21"/>
      <c r="O400" s="2" t="str">
        <f t="shared" si="3"/>
        <v>Excluir</v>
      </c>
      <c r="P400" s="2" t="str">
        <f t="array" ref="P400">IF(O400&lt;&gt;"Incluir","",IF(K400&lt;&gt;"",K400,IF(IFERROR(INDEX(Triagem!$J$2:$J$451,MATCH($A400,Triagem!$A$2:$A$451,0))&amp;"","")&lt;&gt;"",IFERROR(INDEX(Triagem!$J$2:$J$451,MATCH($A400,Triagem!$A$2:$A$451,0))&amp;"",""),IF(IFERROR(INDEX('Revisão_Gemini'!$I$7:$I$456,MATCH($A400,'Revisão_Gemini'!$A$7:$A$456,0))&amp;"","")&lt;&gt;"",IFERROR(INDEX('Revisão_Gemini'!$I$7:$I$456,MATCH($A400,'Revisão_Gemini'!$A$7:$A$456,0))&amp;"",""),IFERROR(INDEX('Revisão_ChatGPT'!$I$7:$I$456,MATCH($A400,'Revisão_ChatGPT'!$A$7:$A$456,0))&amp;"","")))))</f>
        <v/>
      </c>
      <c r="Q400" s="2" t="str">
        <f t="array" ref="Q400">IF(O400&lt;&gt;"Excluir","",IF(L400&lt;&gt;"",L400,IF(F400="Excluir",IFERROR(INDEX(Triagem!$K$2:$K$451,MATCH($A400,Triagem!$A$2:$A$451,0))&amp;"",""),IF(G400="Excluir",IFERROR(INDEX('Revisão_Gemini'!$J$7:$J$456,MATCH($A400,'Revisão_Gemini'!$A$7:$A$456,0))&amp;"",""),IFERROR(INDEX('Revisão_ChatGPT'!$J$7:$J$456,MATCH($A400,'Revisão_ChatGPT'!$A$7:$A$456,0))&amp;"","")))))</f>
        <v>E4</v>
      </c>
    </row>
    <row r="401" ht="15.75" customHeight="1">
      <c r="A401" s="2" t="s">
        <v>1053</v>
      </c>
      <c r="B401" s="19" t="str">
        <f t="array" ref="B401">INDEX(Triagem!$N$2:$N451 , MATCH(A401,Triagem!$A$2:$A451,0))</f>
        <v>abrir</v>
      </c>
      <c r="C401" s="20">
        <f t="array" ref="C401">INDEX(Triagem!$B$2:$B451 , MATCH(A401,Triagem!$A$2:$A451,0))</f>
        <v>2025</v>
      </c>
      <c r="D401" s="2" t="s">
        <v>1055</v>
      </c>
      <c r="E401" s="2" t="s">
        <v>1056</v>
      </c>
      <c r="F401" s="2" t="str">
        <f t="array" ref="F401">IFERROR(INDEX(Triagem!$I$2:$I$451,MATCH($A401,Triagem!$A$2:$A$451,0))&amp;"","")</f>
        <v>Excluir</v>
      </c>
      <c r="G401" s="2" t="str">
        <f t="array" ref="G401">IFERROR(INDEX('Revisão_Gemini'!$H$7:$H$456,MATCH($A401,'Revisão_Gemini'!$A$7:$A$456,0))&amp;"","")</f>
        <v>Excluir</v>
      </c>
      <c r="H401" s="2" t="str">
        <f t="array" ref="H401">IFERROR(INDEX('Revisão_ChatGPT'!$H$7:$H$456,MATCH($A401,'Revisão_ChatGPT'!$A$7:$A$456,0))&amp;"","")</f>
        <v>Excluir</v>
      </c>
      <c r="I401" s="2" t="str">
        <f t="shared" si="1"/>
        <v>3/3</v>
      </c>
      <c r="J401" s="21"/>
      <c r="K401" s="21"/>
      <c r="L401" s="21"/>
      <c r="M401" s="22" t="b">
        <f t="shared" si="2"/>
        <v>1</v>
      </c>
      <c r="N401" s="21" t="s">
        <v>3404</v>
      </c>
      <c r="O401" s="2" t="str">
        <f t="shared" si="3"/>
        <v>Excluir</v>
      </c>
      <c r="P401" s="2" t="str">
        <f t="array" ref="P401">IF(O401&lt;&gt;"Incluir","",IF(K401&lt;&gt;"",K401,IF(IFERROR(INDEX(Triagem!$J$2:$J$451,MATCH($A401,Triagem!$A$2:$A$451,0))&amp;"","")&lt;&gt;"",IFERROR(INDEX(Triagem!$J$2:$J$451,MATCH($A401,Triagem!$A$2:$A$451,0))&amp;"",""),IF(IFERROR(INDEX('Revisão_Gemini'!$I$7:$I$456,MATCH($A401,'Revisão_Gemini'!$A$7:$A$456,0))&amp;"","")&lt;&gt;"",IFERROR(INDEX('Revisão_Gemini'!$I$7:$I$456,MATCH($A401,'Revisão_Gemini'!$A$7:$A$456,0))&amp;"",""),IFERROR(INDEX('Revisão_ChatGPT'!$I$7:$I$456,MATCH($A401,'Revisão_ChatGPT'!$A$7:$A$456,0))&amp;"","")))))</f>
        <v/>
      </c>
      <c r="Q401" s="2" t="str">
        <f t="array" ref="Q401">IF(O401&lt;&gt;"Excluir","",IF(L401&lt;&gt;"",L401,IF(F401="Excluir",IFERROR(INDEX(Triagem!$K$2:$K$451,MATCH($A401,Triagem!$A$2:$A$451,0))&amp;"",""),IF(G401="Excluir",IFERROR(INDEX('Revisão_Gemini'!$J$7:$J$456,MATCH($A401,'Revisão_Gemini'!$A$7:$A$456,0))&amp;"",""),IFERROR(INDEX('Revisão_ChatGPT'!$J$7:$J$456,MATCH($A401,'Revisão_ChatGPT'!$A$7:$A$456,0))&amp;"","")))))</f>
        <v>E2</v>
      </c>
    </row>
    <row r="402" ht="15.75" customHeight="1">
      <c r="A402" s="2" t="s">
        <v>169</v>
      </c>
      <c r="B402" s="19" t="str">
        <f t="array" ref="B402">INDEX(Triagem!$N$2:$N451 , MATCH(A402,Triagem!$A$2:$A451,0))</f>
        <v>abrir</v>
      </c>
      <c r="C402" s="20">
        <f t="array" ref="C402">INDEX(Triagem!$B$2:$B451 , MATCH(A402,Triagem!$A$2:$A451,0))</f>
        <v>2025</v>
      </c>
      <c r="D402" s="2" t="s">
        <v>171</v>
      </c>
      <c r="E402" s="2" t="s">
        <v>172</v>
      </c>
      <c r="F402" s="2" t="str">
        <f t="array" ref="F402">IFERROR(INDEX(Triagem!$I$2:$I$451,MATCH($A402,Triagem!$A$2:$A$451,0))&amp;"","")</f>
        <v>Incluir</v>
      </c>
      <c r="G402" s="2" t="str">
        <f t="array" ref="G402">IFERROR(INDEX('Revisão_Gemini'!$H$7:$H$456,MATCH($A402,'Revisão_Gemini'!$A$7:$A$456,0))&amp;"","")</f>
        <v>Incluir</v>
      </c>
      <c r="H402" s="2" t="str">
        <f t="array" ref="H402">IFERROR(INDEX('Revisão_ChatGPT'!$H$7:$H$456,MATCH($A402,'Revisão_ChatGPT'!$A$7:$A$456,0))&amp;"","")</f>
        <v>Excluir</v>
      </c>
      <c r="I402" s="2" t="str">
        <f t="shared" si="1"/>
        <v>2/3</v>
      </c>
      <c r="J402" s="24" t="s">
        <v>98</v>
      </c>
      <c r="K402" s="21"/>
      <c r="L402" s="21"/>
      <c r="M402" s="22" t="b">
        <f t="shared" si="2"/>
        <v>1</v>
      </c>
      <c r="N402" s="21"/>
      <c r="O402" s="2" t="str">
        <f t="shared" si="3"/>
        <v>Incluir</v>
      </c>
      <c r="P402" s="2" t="str">
        <f t="array" ref="P402">IF(O402&lt;&gt;"Incluir","",IF(K402&lt;&gt;"",K402,IF(IFERROR(INDEX(Triagem!$J$2:$J$451,MATCH($A402,Triagem!$A$2:$A$451,0))&amp;"","")&lt;&gt;"",IFERROR(INDEX(Triagem!$J$2:$J$451,MATCH($A402,Triagem!$A$2:$A$451,0))&amp;"",""),IF(IFERROR(INDEX('Revisão_Gemini'!$I$7:$I$456,MATCH($A402,'Revisão_Gemini'!$A$7:$A$456,0))&amp;"","")&lt;&gt;"",IFERROR(INDEX('Revisão_Gemini'!$I$7:$I$456,MATCH($A402,'Revisão_Gemini'!$A$7:$A$456,0))&amp;"",""),IFERROR(INDEX('Revisão_ChatGPT'!$I$7:$I$456,MATCH($A402,'Revisão_ChatGPT'!$A$7:$A$456,0))&amp;"","")))))</f>
        <v>A</v>
      </c>
      <c r="Q402" s="2" t="str">
        <f t="array" ref="Q402">IF(O402&lt;&gt;"Excluir","",IF(L402&lt;&gt;"",L402,IF(F402="Excluir",IFERROR(INDEX(Triagem!$K$2:$K$451,MATCH($A402,Triagem!$A$2:$A$451,0))&amp;"",""),IF(G402="Excluir",IFERROR(INDEX('Revisão_Gemini'!$J$7:$J$456,MATCH($A402,'Revisão_Gemini'!$A$7:$A$456,0))&amp;"",""),IFERROR(INDEX('Revisão_ChatGPT'!$J$7:$J$456,MATCH($A402,'Revisão_ChatGPT'!$A$7:$A$456,0))&amp;"","")))))</f>
        <v/>
      </c>
    </row>
    <row r="403" ht="15.75" customHeight="1">
      <c r="A403" s="2" t="s">
        <v>174</v>
      </c>
      <c r="B403" s="19" t="str">
        <f t="array" ref="B403">INDEX(Triagem!$N$2:$N451 , MATCH(A403,Triagem!$A$2:$A451,0))</f>
        <v>abrir</v>
      </c>
      <c r="C403" s="20">
        <f t="array" ref="C403">INDEX(Triagem!$B$2:$B451 , MATCH(A403,Triagem!$A$2:$A451,0))</f>
        <v>2025</v>
      </c>
      <c r="D403" s="2" t="s">
        <v>176</v>
      </c>
      <c r="E403" s="2" t="s">
        <v>177</v>
      </c>
      <c r="F403" s="2" t="str">
        <f t="array" ref="F403">IFERROR(INDEX(Triagem!$I$2:$I$451,MATCH($A403,Triagem!$A$2:$A$451,0))&amp;"","")</f>
        <v>Incluir</v>
      </c>
      <c r="G403" s="2" t="str">
        <f t="array" ref="G403">IFERROR(INDEX('Revisão_Gemini'!$H$7:$H$456,MATCH($A403,'Revisão_Gemini'!$A$7:$A$456,0))&amp;"","")</f>
        <v>Incluir</v>
      </c>
      <c r="H403" s="2" t="str">
        <f t="array" ref="H403">IFERROR(INDEX('Revisão_ChatGPT'!$H$7:$H$456,MATCH($A403,'Revisão_ChatGPT'!$A$7:$A$456,0))&amp;"","")</f>
        <v>Incluir</v>
      </c>
      <c r="I403" s="2" t="str">
        <f t="shared" si="1"/>
        <v>3/3</v>
      </c>
      <c r="J403" s="21"/>
      <c r="K403" s="21"/>
      <c r="L403" s="21"/>
      <c r="M403" s="22" t="b">
        <f t="shared" si="2"/>
        <v>1</v>
      </c>
      <c r="N403" s="21" t="s">
        <v>3405</v>
      </c>
      <c r="O403" s="2" t="str">
        <f t="shared" si="3"/>
        <v>Incluir</v>
      </c>
      <c r="P403" s="2" t="str">
        <f t="array" ref="P403">IF(O403&lt;&gt;"Incluir","",IF(K403&lt;&gt;"",K403,IF(IFERROR(INDEX(Triagem!$J$2:$J$451,MATCH($A403,Triagem!$A$2:$A$451,0))&amp;"","")&lt;&gt;"",IFERROR(INDEX(Triagem!$J$2:$J$451,MATCH($A403,Triagem!$A$2:$A$451,0))&amp;"",""),IF(IFERROR(INDEX('Revisão_Gemini'!$I$7:$I$456,MATCH($A403,'Revisão_Gemini'!$A$7:$A$456,0))&amp;"","")&lt;&gt;"",IFERROR(INDEX('Revisão_Gemini'!$I$7:$I$456,MATCH($A403,'Revisão_Gemini'!$A$7:$A$456,0))&amp;"",""),IFERROR(INDEX('Revisão_ChatGPT'!$I$7:$I$456,MATCH($A403,'Revisão_ChatGPT'!$A$7:$A$456,0))&amp;"","")))))</f>
        <v>A</v>
      </c>
      <c r="Q403" s="2" t="str">
        <f t="array" ref="Q403">IF(O403&lt;&gt;"Excluir","",IF(L403&lt;&gt;"",L403,IF(F403="Excluir",IFERROR(INDEX(Triagem!$K$2:$K$451,MATCH($A403,Triagem!$A$2:$A$451,0))&amp;"",""),IF(G403="Excluir",IFERROR(INDEX('Revisão_Gemini'!$J$7:$J$456,MATCH($A403,'Revisão_Gemini'!$A$7:$A$456,0))&amp;"",""),IFERROR(INDEX('Revisão_ChatGPT'!$J$7:$J$456,MATCH($A403,'Revisão_ChatGPT'!$A$7:$A$456,0))&amp;"","")))))</f>
        <v/>
      </c>
    </row>
    <row r="404" ht="15.75" customHeight="1">
      <c r="A404" s="2" t="s">
        <v>1581</v>
      </c>
      <c r="B404" s="19" t="str">
        <f t="array" ref="B404">INDEX(Triagem!$N$2:$N451 , MATCH(A404,Triagem!$A$2:$A451,0))</f>
        <v>abrir</v>
      </c>
      <c r="C404" s="20">
        <f t="array" ref="C404">INDEX(Triagem!$B$2:$B451 , MATCH(A404,Triagem!$A$2:$A451,0))</f>
        <v>2025</v>
      </c>
      <c r="D404" s="2" t="s">
        <v>1583</v>
      </c>
      <c r="E404" s="2" t="s">
        <v>1584</v>
      </c>
      <c r="F404" s="2" t="str">
        <f t="array" ref="F404">IFERROR(INDEX(Triagem!$I$2:$I$451,MATCH($A404,Triagem!$A$2:$A$451,0))&amp;"","")</f>
        <v>Excluir</v>
      </c>
      <c r="G404" s="2" t="str">
        <f t="array" ref="G404">IFERROR(INDEX('Revisão_Gemini'!$H$7:$H$456,MATCH($A404,'Revisão_Gemini'!$A$7:$A$456,0))&amp;"","")</f>
        <v>Excluir</v>
      </c>
      <c r="H404" s="2" t="str">
        <f t="array" ref="H404">IFERROR(INDEX('Revisão_ChatGPT'!$H$7:$H$456,MATCH($A404,'Revisão_ChatGPT'!$A$7:$A$456,0))&amp;"","")</f>
        <v>Excluir</v>
      </c>
      <c r="I404" s="2" t="str">
        <f t="shared" si="1"/>
        <v>3/3</v>
      </c>
      <c r="J404" s="21"/>
      <c r="K404" s="21"/>
      <c r="L404" s="21"/>
      <c r="M404" s="22" t="b">
        <f t="shared" si="2"/>
        <v>1</v>
      </c>
      <c r="N404" s="21" t="s">
        <v>3406</v>
      </c>
      <c r="O404" s="2" t="str">
        <f t="shared" si="3"/>
        <v>Excluir</v>
      </c>
      <c r="P404" s="2" t="str">
        <f t="array" ref="P404">IF(O404&lt;&gt;"Incluir","",IF(K404&lt;&gt;"",K404,IF(IFERROR(INDEX(Triagem!$J$2:$J$451,MATCH($A404,Triagem!$A$2:$A$451,0))&amp;"","")&lt;&gt;"",IFERROR(INDEX(Triagem!$J$2:$J$451,MATCH($A404,Triagem!$A$2:$A$451,0))&amp;"",""),IF(IFERROR(INDEX('Revisão_Gemini'!$I$7:$I$456,MATCH($A404,'Revisão_Gemini'!$A$7:$A$456,0))&amp;"","")&lt;&gt;"",IFERROR(INDEX('Revisão_Gemini'!$I$7:$I$456,MATCH($A404,'Revisão_Gemini'!$A$7:$A$456,0))&amp;"",""),IFERROR(INDEX('Revisão_ChatGPT'!$I$7:$I$456,MATCH($A404,'Revisão_ChatGPT'!$A$7:$A$456,0))&amp;"","")))))</f>
        <v/>
      </c>
      <c r="Q404" s="2" t="str">
        <f t="array" ref="Q404">IF(O404&lt;&gt;"Excluir","",IF(L404&lt;&gt;"",L404,IF(F404="Excluir",IFERROR(INDEX(Triagem!$K$2:$K$451,MATCH($A404,Triagem!$A$2:$A$451,0))&amp;"",""),IF(G404="Excluir",IFERROR(INDEX('Revisão_Gemini'!$J$7:$J$456,MATCH($A404,'Revisão_Gemini'!$A$7:$A$456,0))&amp;"",""),IFERROR(INDEX('Revisão_ChatGPT'!$J$7:$J$456,MATCH($A404,'Revisão_ChatGPT'!$A$7:$A$456,0))&amp;"","")))))</f>
        <v>E3</v>
      </c>
    </row>
    <row r="405" ht="15.75" customHeight="1">
      <c r="A405" s="2" t="s">
        <v>1057</v>
      </c>
      <c r="B405" s="19" t="str">
        <f t="array" ref="B405">INDEX(Triagem!$N$2:$N451 , MATCH(A405,Triagem!$A$2:$A451,0))</f>
        <v>abrir</v>
      </c>
      <c r="C405" s="20">
        <f t="array" ref="C405">INDEX(Triagem!$B$2:$B451 , MATCH(A405,Triagem!$A$2:$A451,0))</f>
        <v>2025</v>
      </c>
      <c r="D405" s="2" t="s">
        <v>1059</v>
      </c>
      <c r="E405" s="2" t="s">
        <v>1060</v>
      </c>
      <c r="F405" s="2" t="str">
        <f t="array" ref="F405">IFERROR(INDEX(Triagem!$I$2:$I$451,MATCH($A405,Triagem!$A$2:$A$451,0))&amp;"","")</f>
        <v>Excluir</v>
      </c>
      <c r="G405" s="2" t="str">
        <f t="array" ref="G405">IFERROR(INDEX('Revisão_Gemini'!$H$7:$H$456,MATCH($A405,'Revisão_Gemini'!$A$7:$A$456,0))&amp;"","")</f>
        <v>Excluir</v>
      </c>
      <c r="H405" s="2" t="str">
        <f t="array" ref="H405">IFERROR(INDEX('Revisão_ChatGPT'!$H$7:$H$456,MATCH($A405,'Revisão_ChatGPT'!$A$7:$A$456,0))&amp;"","")</f>
        <v>Excluir</v>
      </c>
      <c r="I405" s="2" t="str">
        <f t="shared" si="1"/>
        <v>3/3</v>
      </c>
      <c r="J405" s="21"/>
      <c r="K405" s="21"/>
      <c r="L405" s="21"/>
      <c r="M405" s="22" t="b">
        <f t="shared" si="2"/>
        <v>1</v>
      </c>
      <c r="N405" s="21"/>
      <c r="O405" s="2" t="str">
        <f t="shared" si="3"/>
        <v>Excluir</v>
      </c>
      <c r="P405" s="2" t="str">
        <f t="array" ref="P405">IF(O405&lt;&gt;"Incluir","",IF(K405&lt;&gt;"",K405,IF(IFERROR(INDEX(Triagem!$J$2:$J$451,MATCH($A405,Triagem!$A$2:$A$451,0))&amp;"","")&lt;&gt;"",IFERROR(INDEX(Triagem!$J$2:$J$451,MATCH($A405,Triagem!$A$2:$A$451,0))&amp;"",""),IF(IFERROR(INDEX('Revisão_Gemini'!$I$7:$I$456,MATCH($A405,'Revisão_Gemini'!$A$7:$A$456,0))&amp;"","")&lt;&gt;"",IFERROR(INDEX('Revisão_Gemini'!$I$7:$I$456,MATCH($A405,'Revisão_Gemini'!$A$7:$A$456,0))&amp;"",""),IFERROR(INDEX('Revisão_ChatGPT'!$I$7:$I$456,MATCH($A405,'Revisão_ChatGPT'!$A$7:$A$456,0))&amp;"","")))))</f>
        <v/>
      </c>
      <c r="Q405" s="2" t="str">
        <f t="array" ref="Q405">IF(O405&lt;&gt;"Excluir","",IF(L405&lt;&gt;"",L405,IF(F405="Excluir",IFERROR(INDEX(Triagem!$K$2:$K$451,MATCH($A405,Triagem!$A$2:$A$451,0))&amp;"",""),IF(G405="Excluir",IFERROR(INDEX('Revisão_Gemini'!$J$7:$J$456,MATCH($A405,'Revisão_Gemini'!$A$7:$A$456,0))&amp;"",""),IFERROR(INDEX('Revisão_ChatGPT'!$J$7:$J$456,MATCH($A405,'Revisão_ChatGPT'!$A$7:$A$456,0))&amp;"","")))))</f>
        <v>E2</v>
      </c>
    </row>
    <row r="406" ht="15.75" customHeight="1">
      <c r="A406" s="2" t="s">
        <v>1585</v>
      </c>
      <c r="B406" s="19" t="str">
        <f t="array" ref="B406">INDEX(Triagem!$N$2:$N451 , MATCH(A406,Triagem!$A$2:$A451,0))</f>
        <v>abrir</v>
      </c>
      <c r="C406" s="20">
        <f t="array" ref="C406">INDEX(Triagem!$B$2:$B451 , MATCH(A406,Triagem!$A$2:$A451,0))</f>
        <v>2025</v>
      </c>
      <c r="D406" s="2" t="s">
        <v>1587</v>
      </c>
      <c r="E406" s="2" t="s">
        <v>1588</v>
      </c>
      <c r="F406" s="2" t="str">
        <f t="array" ref="F406">IFERROR(INDEX(Triagem!$I$2:$I$451,MATCH($A406,Triagem!$A$2:$A$451,0))&amp;"","")</f>
        <v>Excluir</v>
      </c>
      <c r="G406" s="2" t="str">
        <f t="array" ref="G406">IFERROR(INDEX('Revisão_Gemini'!$H$7:$H$456,MATCH($A406,'Revisão_Gemini'!$A$7:$A$456,0))&amp;"","")</f>
        <v>Excluir</v>
      </c>
      <c r="H406" s="2" t="str">
        <f t="array" ref="H406">IFERROR(INDEX('Revisão_ChatGPT'!$H$7:$H$456,MATCH($A406,'Revisão_ChatGPT'!$A$7:$A$456,0))&amp;"","")</f>
        <v>Excluir</v>
      </c>
      <c r="I406" s="2" t="str">
        <f t="shared" si="1"/>
        <v>3/3</v>
      </c>
      <c r="J406" s="21"/>
      <c r="K406" s="21"/>
      <c r="L406" s="21"/>
      <c r="M406" s="22" t="b">
        <f t="shared" si="2"/>
        <v>1</v>
      </c>
      <c r="N406" s="21" t="s">
        <v>3407</v>
      </c>
      <c r="O406" s="2" t="str">
        <f t="shared" si="3"/>
        <v>Excluir</v>
      </c>
      <c r="P406" s="2" t="str">
        <f t="array" ref="P406">IF(O406&lt;&gt;"Incluir","",IF(K406&lt;&gt;"",K406,IF(IFERROR(INDEX(Triagem!$J$2:$J$451,MATCH($A406,Triagem!$A$2:$A$451,0))&amp;"","")&lt;&gt;"",IFERROR(INDEX(Triagem!$J$2:$J$451,MATCH($A406,Triagem!$A$2:$A$451,0))&amp;"",""),IF(IFERROR(INDEX('Revisão_Gemini'!$I$7:$I$456,MATCH($A406,'Revisão_Gemini'!$A$7:$A$456,0))&amp;"","")&lt;&gt;"",IFERROR(INDEX('Revisão_Gemini'!$I$7:$I$456,MATCH($A406,'Revisão_Gemini'!$A$7:$A$456,0))&amp;"",""),IFERROR(INDEX('Revisão_ChatGPT'!$I$7:$I$456,MATCH($A406,'Revisão_ChatGPT'!$A$7:$A$456,0))&amp;"","")))))</f>
        <v/>
      </c>
      <c r="Q406" s="2" t="str">
        <f t="array" ref="Q406">IF(O406&lt;&gt;"Excluir","",IF(L406&lt;&gt;"",L406,IF(F406="Excluir",IFERROR(INDEX(Triagem!$K$2:$K$451,MATCH($A406,Triagem!$A$2:$A$451,0))&amp;"",""),IF(G406="Excluir",IFERROR(INDEX('Revisão_Gemini'!$J$7:$J$456,MATCH($A406,'Revisão_Gemini'!$A$7:$A$456,0))&amp;"",""),IFERROR(INDEX('Revisão_ChatGPT'!$J$7:$J$456,MATCH($A406,'Revisão_ChatGPT'!$A$7:$A$456,0))&amp;"","")))))</f>
        <v>E3</v>
      </c>
    </row>
    <row r="407" ht="15.75" customHeight="1">
      <c r="A407" s="2" t="s">
        <v>701</v>
      </c>
      <c r="B407" s="19" t="str">
        <f t="array" ref="B407">INDEX(Triagem!$N$2:$N451 , MATCH(A407,Triagem!$A$2:$A451,0))</f>
        <v>abrir</v>
      </c>
      <c r="C407" s="20">
        <f t="array" ref="C407">INDEX(Triagem!$B$2:$B451 , MATCH(A407,Triagem!$A$2:$A451,0))</f>
        <v>2025</v>
      </c>
      <c r="D407" s="2" t="s">
        <v>703</v>
      </c>
      <c r="E407" s="2" t="s">
        <v>704</v>
      </c>
      <c r="F407" s="2" t="str">
        <f t="array" ref="F407">IFERROR(INDEX(Triagem!$I$2:$I$451,MATCH($A407,Triagem!$A$2:$A$451,0))&amp;"","")</f>
        <v>Apoio</v>
      </c>
      <c r="G407" s="2" t="str">
        <f t="array" ref="G407">IFERROR(INDEX('Revisão_Gemini'!$H$7:$H$456,MATCH($A407,'Revisão_Gemini'!$A$7:$A$456,0))&amp;"","")</f>
        <v>Apoio</v>
      </c>
      <c r="H407" s="2" t="str">
        <f t="array" ref="H407">IFERROR(INDEX('Revisão_ChatGPT'!$H$7:$H$456,MATCH($A407,'Revisão_ChatGPT'!$A$7:$A$456,0))&amp;"","")</f>
        <v>Apoio</v>
      </c>
      <c r="I407" s="2" t="str">
        <f t="shared" si="1"/>
        <v>3/3</v>
      </c>
      <c r="J407" s="21"/>
      <c r="K407" s="21"/>
      <c r="L407" s="21"/>
      <c r="M407" s="22" t="b">
        <f t="shared" si="2"/>
        <v>1</v>
      </c>
      <c r="N407" s="21"/>
      <c r="O407" s="2" t="str">
        <f t="shared" si="3"/>
        <v>Apoio</v>
      </c>
      <c r="P407" s="2" t="str">
        <f t="array" ref="P407">IF(O407&lt;&gt;"Incluir","",IF(K407&lt;&gt;"",K407,IF(IFERROR(INDEX(Triagem!$J$2:$J$451,MATCH($A407,Triagem!$A$2:$A$451,0))&amp;"","")&lt;&gt;"",IFERROR(INDEX(Triagem!$J$2:$J$451,MATCH($A407,Triagem!$A$2:$A$451,0))&amp;"",""),IF(IFERROR(INDEX('Revisão_Gemini'!$I$7:$I$456,MATCH($A407,'Revisão_Gemini'!$A$7:$A$456,0))&amp;"","")&lt;&gt;"",IFERROR(INDEX('Revisão_Gemini'!$I$7:$I$456,MATCH($A407,'Revisão_Gemini'!$A$7:$A$456,0))&amp;"",""),IFERROR(INDEX('Revisão_ChatGPT'!$I$7:$I$456,MATCH($A407,'Revisão_ChatGPT'!$A$7:$A$456,0))&amp;"","")))))</f>
        <v/>
      </c>
      <c r="Q407" s="2" t="str">
        <f t="array" ref="Q407">IF(O407&lt;&gt;"Excluir","",IF(L407&lt;&gt;"",L407,IF(F407="Excluir",IFERROR(INDEX(Triagem!$K$2:$K$451,MATCH($A407,Triagem!$A$2:$A$451,0))&amp;"",""),IF(G407="Excluir",IFERROR(INDEX('Revisão_Gemini'!$J$7:$J$456,MATCH($A407,'Revisão_Gemini'!$A$7:$A$456,0))&amp;"",""),IFERROR(INDEX('Revisão_ChatGPT'!$J$7:$J$456,MATCH($A407,'Revisão_ChatGPT'!$A$7:$A$456,0))&amp;"","")))))</f>
        <v/>
      </c>
    </row>
    <row r="408" ht="15.75" customHeight="1">
      <c r="A408" s="2" t="s">
        <v>1589</v>
      </c>
      <c r="B408" s="19" t="str">
        <f t="array" ref="B408">INDEX(Triagem!$N$2:$N451 , MATCH(A408,Triagem!$A$2:$A451,0))</f>
        <v>abrir</v>
      </c>
      <c r="C408" s="20">
        <f t="array" ref="C408">INDEX(Triagem!$B$2:$B451 , MATCH(A408,Triagem!$A$2:$A451,0))</f>
        <v>2025</v>
      </c>
      <c r="D408" s="2" t="s">
        <v>1590</v>
      </c>
      <c r="E408" s="2" t="s">
        <v>1591</v>
      </c>
      <c r="F408" s="2" t="str">
        <f t="array" ref="F408">IFERROR(INDEX(Triagem!$I$2:$I$451,MATCH($A408,Triagem!$A$2:$A$451,0))&amp;"","")</f>
        <v>Excluir</v>
      </c>
      <c r="G408" s="2" t="str">
        <f t="array" ref="G408">IFERROR(INDEX('Revisão_Gemini'!$H$7:$H$456,MATCH($A408,'Revisão_Gemini'!$A$7:$A$456,0))&amp;"","")</f>
        <v>Excluir</v>
      </c>
      <c r="H408" s="2" t="str">
        <f t="array" ref="H408">IFERROR(INDEX('Revisão_ChatGPT'!$H$7:$H$456,MATCH($A408,'Revisão_ChatGPT'!$A$7:$A$456,0))&amp;"","")</f>
        <v>Excluir</v>
      </c>
      <c r="I408" s="2" t="str">
        <f t="shared" si="1"/>
        <v>3/3</v>
      </c>
      <c r="J408" s="21"/>
      <c r="K408" s="21"/>
      <c r="L408" s="21"/>
      <c r="M408" s="22" t="b">
        <f t="shared" si="2"/>
        <v>1</v>
      </c>
      <c r="N408" s="21" t="s">
        <v>3408</v>
      </c>
      <c r="O408" s="2" t="str">
        <f t="shared" si="3"/>
        <v>Excluir</v>
      </c>
      <c r="P408" s="2" t="str">
        <f t="array" ref="P408">IF(O408&lt;&gt;"Incluir","",IF(K408&lt;&gt;"",K408,IF(IFERROR(INDEX(Triagem!$J$2:$J$451,MATCH($A408,Triagem!$A$2:$A$451,0))&amp;"","")&lt;&gt;"",IFERROR(INDEX(Triagem!$J$2:$J$451,MATCH($A408,Triagem!$A$2:$A$451,0))&amp;"",""),IF(IFERROR(INDEX('Revisão_Gemini'!$I$7:$I$456,MATCH($A408,'Revisão_Gemini'!$A$7:$A$456,0))&amp;"","")&lt;&gt;"",IFERROR(INDEX('Revisão_Gemini'!$I$7:$I$456,MATCH($A408,'Revisão_Gemini'!$A$7:$A$456,0))&amp;"",""),IFERROR(INDEX('Revisão_ChatGPT'!$I$7:$I$456,MATCH($A408,'Revisão_ChatGPT'!$A$7:$A$456,0))&amp;"","")))))</f>
        <v/>
      </c>
      <c r="Q408" s="2" t="str">
        <f t="array" ref="Q408">IF(O408&lt;&gt;"Excluir","",IF(L408&lt;&gt;"",L408,IF(F408="Excluir",IFERROR(INDEX(Triagem!$K$2:$K$451,MATCH($A408,Triagem!$A$2:$A$451,0))&amp;"",""),IF(G408="Excluir",IFERROR(INDEX('Revisão_Gemini'!$J$7:$J$456,MATCH($A408,'Revisão_Gemini'!$A$7:$A$456,0))&amp;"",""),IFERROR(INDEX('Revisão_ChatGPT'!$J$7:$J$456,MATCH($A408,'Revisão_ChatGPT'!$A$7:$A$456,0))&amp;"","")))))</f>
        <v>E3</v>
      </c>
    </row>
    <row r="409" ht="15.75" customHeight="1">
      <c r="A409" s="2" t="s">
        <v>91</v>
      </c>
      <c r="B409" s="19" t="str">
        <f t="array" ref="B409">INDEX(Triagem!$N$2:$N451 , MATCH(A409,Triagem!$A$2:$A451,0))</f>
        <v>abrir</v>
      </c>
      <c r="C409" s="20">
        <f t="array" ref="C409">INDEX(Triagem!$B$2:$B451 , MATCH(A409,Triagem!$A$2:$A451,0))</f>
        <v>2026</v>
      </c>
      <c r="D409" s="2" t="s">
        <v>93</v>
      </c>
      <c r="E409" s="2" t="s">
        <v>94</v>
      </c>
      <c r="F409" s="2" t="str">
        <f t="array" ref="F409">IFERROR(INDEX(Triagem!$I$2:$I$451,MATCH($A409,Triagem!$A$2:$A$451,0))&amp;"","")</f>
        <v>Incluir</v>
      </c>
      <c r="G409" s="2" t="str">
        <f t="array" ref="G409">IFERROR(INDEX('Revisão_Gemini'!$H$7:$H$456,MATCH($A409,'Revisão_Gemini'!$A$7:$A$456,0))&amp;"","")</f>
        <v>Incluir</v>
      </c>
      <c r="H409" s="2" t="str">
        <f t="array" ref="H409">IFERROR(INDEX('Revisão_ChatGPT'!$H$7:$H$456,MATCH($A409,'Revisão_ChatGPT'!$A$7:$A$456,0))&amp;"","")</f>
        <v>Incluir</v>
      </c>
      <c r="I409" s="2" t="str">
        <f t="shared" si="1"/>
        <v>3/3</v>
      </c>
      <c r="J409" s="21"/>
      <c r="K409" s="21"/>
      <c r="L409" s="21"/>
      <c r="M409" s="22" t="b">
        <f t="shared" si="2"/>
        <v>1</v>
      </c>
      <c r="N409" s="21"/>
      <c r="O409" s="2" t="str">
        <f t="shared" si="3"/>
        <v>Incluir</v>
      </c>
      <c r="P409" s="2" t="str">
        <f t="array" ref="P409">IF(O409&lt;&gt;"Incluir","",IF(K409&lt;&gt;"",K409,IF(IFERROR(INDEX(Triagem!$J$2:$J$451,MATCH($A409,Triagem!$A$2:$A$451,0))&amp;"","")&lt;&gt;"",IFERROR(INDEX(Triagem!$J$2:$J$451,MATCH($A409,Triagem!$A$2:$A$451,0))&amp;"",""),IF(IFERROR(INDEX('Revisão_Gemini'!$I$7:$I$456,MATCH($A409,'Revisão_Gemini'!$A$7:$A$456,0))&amp;"","")&lt;&gt;"",IFERROR(INDEX('Revisão_Gemini'!$I$7:$I$456,MATCH($A409,'Revisão_Gemini'!$A$7:$A$456,0))&amp;"",""),IFERROR(INDEX('Revisão_ChatGPT'!$I$7:$I$456,MATCH($A409,'Revisão_ChatGPT'!$A$7:$A$456,0))&amp;"","")))))</f>
        <v>A</v>
      </c>
      <c r="Q409" s="2" t="str">
        <f t="array" ref="Q409">IF(O409&lt;&gt;"Excluir","",IF(L409&lt;&gt;"",L409,IF(F409="Excluir",IFERROR(INDEX(Triagem!$K$2:$K$451,MATCH($A409,Triagem!$A$2:$A$451,0))&amp;"",""),IF(G409="Excluir",IFERROR(INDEX('Revisão_Gemini'!$J$7:$J$456,MATCH($A409,'Revisão_Gemini'!$A$7:$A$456,0))&amp;"",""),IFERROR(INDEX('Revisão_ChatGPT'!$J$7:$J$456,MATCH($A409,'Revisão_ChatGPT'!$A$7:$A$456,0))&amp;"","")))))</f>
        <v/>
      </c>
    </row>
    <row r="410" ht="15.75" customHeight="1">
      <c r="A410" s="2" t="s">
        <v>2106</v>
      </c>
      <c r="B410" s="19" t="str">
        <f t="array" ref="B410">INDEX(Triagem!$N$2:$N451 , MATCH(A410,Triagem!$A$2:$A451,0))</f>
        <v>abrir</v>
      </c>
      <c r="C410" s="20">
        <f t="array" ref="C410">INDEX(Triagem!$B$2:$B451 , MATCH(A410,Triagem!$A$2:$A451,0))</f>
        <v>2025</v>
      </c>
      <c r="D410" s="2" t="s">
        <v>2108</v>
      </c>
      <c r="E410" s="2" t="s">
        <v>2109</v>
      </c>
      <c r="F410" s="2" t="str">
        <f t="array" ref="F410">IFERROR(INDEX(Triagem!$I$2:$I$451,MATCH($A410,Triagem!$A$2:$A$451,0))&amp;"","")</f>
        <v>Excluir</v>
      </c>
      <c r="G410" s="2" t="str">
        <f t="array" ref="G410">IFERROR(INDEX('Revisão_Gemini'!$H$7:$H$456,MATCH($A410,'Revisão_Gemini'!$A$7:$A$456,0))&amp;"","")</f>
        <v>Excluir</v>
      </c>
      <c r="H410" s="2" t="str">
        <f t="array" ref="H410">IFERROR(INDEX('Revisão_ChatGPT'!$H$7:$H$456,MATCH($A410,'Revisão_ChatGPT'!$A$7:$A$456,0))&amp;"","")</f>
        <v>Excluir</v>
      </c>
      <c r="I410" s="2" t="str">
        <f t="shared" si="1"/>
        <v>3/3</v>
      </c>
      <c r="J410" s="21"/>
      <c r="K410" s="21"/>
      <c r="L410" s="21"/>
      <c r="M410" s="22" t="b">
        <f t="shared" si="2"/>
        <v>1</v>
      </c>
      <c r="N410" s="21" t="s">
        <v>3409</v>
      </c>
      <c r="O410" s="2" t="str">
        <f t="shared" si="3"/>
        <v>Excluir</v>
      </c>
      <c r="P410" s="2" t="str">
        <f t="array" ref="P410">IF(O410&lt;&gt;"Incluir","",IF(K410&lt;&gt;"",K410,IF(IFERROR(INDEX(Triagem!$J$2:$J$451,MATCH($A410,Triagem!$A$2:$A$451,0))&amp;"","")&lt;&gt;"",IFERROR(INDEX(Triagem!$J$2:$J$451,MATCH($A410,Triagem!$A$2:$A$451,0))&amp;"",""),IF(IFERROR(INDEX('Revisão_Gemini'!$I$7:$I$456,MATCH($A410,'Revisão_Gemini'!$A$7:$A$456,0))&amp;"","")&lt;&gt;"",IFERROR(INDEX('Revisão_Gemini'!$I$7:$I$456,MATCH($A410,'Revisão_Gemini'!$A$7:$A$456,0))&amp;"",""),IFERROR(INDEX('Revisão_ChatGPT'!$I$7:$I$456,MATCH($A410,'Revisão_ChatGPT'!$A$7:$A$456,0))&amp;"","")))))</f>
        <v/>
      </c>
      <c r="Q410" s="2" t="str">
        <f t="array" ref="Q410">IF(O410&lt;&gt;"Excluir","",IF(L410&lt;&gt;"",L410,IF(F410="Excluir",IFERROR(INDEX(Triagem!$K$2:$K$451,MATCH($A410,Triagem!$A$2:$A$451,0))&amp;"",""),IF(G410="Excluir",IFERROR(INDEX('Revisão_Gemini'!$J$7:$J$456,MATCH($A410,'Revisão_Gemini'!$A$7:$A$456,0))&amp;"",""),IFERROR(INDEX('Revisão_ChatGPT'!$J$7:$J$456,MATCH($A410,'Revisão_ChatGPT'!$A$7:$A$456,0))&amp;"","")))))</f>
        <v>E7</v>
      </c>
    </row>
    <row r="411" ht="15.75" customHeight="1">
      <c r="A411" s="2" t="s">
        <v>1061</v>
      </c>
      <c r="B411" s="19" t="str">
        <f t="array" ref="B411">INDEX(Triagem!$N$2:$N451 , MATCH(A411,Triagem!$A$2:$A451,0))</f>
        <v>abrir</v>
      </c>
      <c r="C411" s="20">
        <f t="array" ref="C411">INDEX(Triagem!$B$2:$B451 , MATCH(A411,Triagem!$A$2:$A451,0))</f>
        <v>2025</v>
      </c>
      <c r="D411" s="2" t="s">
        <v>1063</v>
      </c>
      <c r="E411" s="2" t="s">
        <v>1064</v>
      </c>
      <c r="F411" s="2" t="str">
        <f t="array" ref="F411">IFERROR(INDEX(Triagem!$I$2:$I$451,MATCH($A411,Triagem!$A$2:$A$451,0))&amp;"","")</f>
        <v>Excluir</v>
      </c>
      <c r="G411" s="2" t="str">
        <f t="array" ref="G411">IFERROR(INDEX('Revisão_Gemini'!$H$7:$H$456,MATCH($A411,'Revisão_Gemini'!$A$7:$A$456,0))&amp;"","")</f>
        <v>Excluir</v>
      </c>
      <c r="H411" s="2" t="str">
        <f t="array" ref="H411">IFERROR(INDEX('Revisão_ChatGPT'!$H$7:$H$456,MATCH($A411,'Revisão_ChatGPT'!$A$7:$A$456,0))&amp;"","")</f>
        <v>Excluir</v>
      </c>
      <c r="I411" s="2" t="str">
        <f t="shared" si="1"/>
        <v>3/3</v>
      </c>
      <c r="J411" s="21"/>
      <c r="K411" s="21"/>
      <c r="L411" s="21"/>
      <c r="M411" s="22" t="b">
        <f t="shared" si="2"/>
        <v>1</v>
      </c>
      <c r="N411" s="21"/>
      <c r="O411" s="2" t="str">
        <f t="shared" si="3"/>
        <v>Excluir</v>
      </c>
      <c r="P411" s="2" t="str">
        <f t="array" ref="P411">IF(O411&lt;&gt;"Incluir","",IF(K411&lt;&gt;"",K411,IF(IFERROR(INDEX(Triagem!$J$2:$J$451,MATCH($A411,Triagem!$A$2:$A$451,0))&amp;"","")&lt;&gt;"",IFERROR(INDEX(Triagem!$J$2:$J$451,MATCH($A411,Triagem!$A$2:$A$451,0))&amp;"",""),IF(IFERROR(INDEX('Revisão_Gemini'!$I$7:$I$456,MATCH($A411,'Revisão_Gemini'!$A$7:$A$456,0))&amp;"","")&lt;&gt;"",IFERROR(INDEX('Revisão_Gemini'!$I$7:$I$456,MATCH($A411,'Revisão_Gemini'!$A$7:$A$456,0))&amp;"",""),IFERROR(INDEX('Revisão_ChatGPT'!$I$7:$I$456,MATCH($A411,'Revisão_ChatGPT'!$A$7:$A$456,0))&amp;"","")))))</f>
        <v/>
      </c>
      <c r="Q411" s="2" t="str">
        <f t="array" ref="Q411">IF(O411&lt;&gt;"Excluir","",IF(L411&lt;&gt;"",L411,IF(F411="Excluir",IFERROR(INDEX(Triagem!$K$2:$K$451,MATCH($A411,Triagem!$A$2:$A$451,0))&amp;"",""),IF(G411="Excluir",IFERROR(INDEX('Revisão_Gemini'!$J$7:$J$456,MATCH($A411,'Revisão_Gemini'!$A$7:$A$456,0))&amp;"",""),IFERROR(INDEX('Revisão_ChatGPT'!$J$7:$J$456,MATCH($A411,'Revisão_ChatGPT'!$A$7:$A$456,0))&amp;"","")))))</f>
        <v>E2</v>
      </c>
    </row>
    <row r="412" ht="15.75" customHeight="1">
      <c r="A412" s="2" t="s">
        <v>179</v>
      </c>
      <c r="B412" s="19" t="str">
        <f t="array" ref="B412">INDEX(Triagem!$N$2:$N451 , MATCH(A412,Triagem!$A$2:$A451,0))</f>
        <v>abrir</v>
      </c>
      <c r="C412" s="20">
        <f t="array" ref="C412">INDEX(Triagem!$B$2:$B451 , MATCH(A412,Triagem!$A$2:$A451,0))</f>
        <v>2025</v>
      </c>
      <c r="D412" s="2" t="s">
        <v>181</v>
      </c>
      <c r="E412" s="2" t="s">
        <v>182</v>
      </c>
      <c r="F412" s="2" t="str">
        <f t="array" ref="F412">IFERROR(INDEX(Triagem!$I$2:$I$451,MATCH($A412,Triagem!$A$2:$A$451,0))&amp;"","")</f>
        <v>Incluir</v>
      </c>
      <c r="G412" s="2" t="str">
        <f t="array" ref="G412">IFERROR(INDEX('Revisão_Gemini'!$H$7:$H$456,MATCH($A412,'Revisão_Gemini'!$A$7:$A$456,0))&amp;"","")</f>
        <v>Incluir</v>
      </c>
      <c r="H412" s="2" t="str">
        <f t="array" ref="H412">IFERROR(INDEX('Revisão_ChatGPT'!$H$7:$H$456,MATCH($A412,'Revisão_ChatGPT'!$A$7:$A$456,0))&amp;"","")</f>
        <v>Incluir</v>
      </c>
      <c r="I412" s="2" t="str">
        <f t="shared" si="1"/>
        <v>3/3</v>
      </c>
      <c r="J412" s="21"/>
      <c r="K412" s="21"/>
      <c r="L412" s="21"/>
      <c r="M412" s="22" t="b">
        <f t="shared" si="2"/>
        <v>1</v>
      </c>
      <c r="N412" s="21" t="s">
        <v>3410</v>
      </c>
      <c r="O412" s="2" t="str">
        <f t="shared" si="3"/>
        <v>Incluir</v>
      </c>
      <c r="P412" s="2" t="str">
        <f t="array" ref="P412">IF(O412&lt;&gt;"Incluir","",IF(K412&lt;&gt;"",K412,IF(IFERROR(INDEX(Triagem!$J$2:$J$451,MATCH($A412,Triagem!$A$2:$A$451,0))&amp;"","")&lt;&gt;"",IFERROR(INDEX(Triagem!$J$2:$J$451,MATCH($A412,Triagem!$A$2:$A$451,0))&amp;"",""),IF(IFERROR(INDEX('Revisão_Gemini'!$I$7:$I$456,MATCH($A412,'Revisão_Gemini'!$A$7:$A$456,0))&amp;"","")&lt;&gt;"",IFERROR(INDEX('Revisão_Gemini'!$I$7:$I$456,MATCH($A412,'Revisão_Gemini'!$A$7:$A$456,0))&amp;"",""),IFERROR(INDEX('Revisão_ChatGPT'!$I$7:$I$456,MATCH($A412,'Revisão_ChatGPT'!$A$7:$A$456,0))&amp;"","")))))</f>
        <v>A</v>
      </c>
      <c r="Q412" s="2" t="str">
        <f t="array" ref="Q412">IF(O412&lt;&gt;"Excluir","",IF(L412&lt;&gt;"",L412,IF(F412="Excluir",IFERROR(INDEX(Triagem!$K$2:$K$451,MATCH($A412,Triagem!$A$2:$A$451,0))&amp;"",""),IF(G412="Excluir",IFERROR(INDEX('Revisão_Gemini'!$J$7:$J$456,MATCH($A412,'Revisão_Gemini'!$A$7:$A$456,0))&amp;"",""),IFERROR(INDEX('Revisão_ChatGPT'!$J$7:$J$456,MATCH($A412,'Revisão_ChatGPT'!$A$7:$A$456,0))&amp;"","")))))</f>
        <v/>
      </c>
    </row>
    <row r="413" ht="15.75" customHeight="1">
      <c r="A413" s="2" t="s">
        <v>691</v>
      </c>
      <c r="B413" s="19" t="str">
        <f t="array" ref="B413">INDEX(Triagem!$N$2:$N451 , MATCH(A413,Triagem!$A$2:$A451,0))</f>
        <v>abrir</v>
      </c>
      <c r="C413" s="20">
        <f t="array" ref="C413">INDEX(Triagem!$B$2:$B451 , MATCH(A413,Triagem!$A$2:$A451,0))</f>
        <v>2026</v>
      </c>
      <c r="D413" s="2" t="s">
        <v>692</v>
      </c>
      <c r="E413" s="2" t="s">
        <v>693</v>
      </c>
      <c r="F413" s="2" t="str">
        <f t="array" ref="F413">IFERROR(INDEX(Triagem!$I$2:$I$451,MATCH($A413,Triagem!$A$2:$A$451,0))&amp;"","")</f>
        <v>Apoio</v>
      </c>
      <c r="G413" s="2" t="str">
        <f t="array" ref="G413">IFERROR(INDEX('Revisão_Gemini'!$H$7:$H$456,MATCH($A413,'Revisão_Gemini'!$A$7:$A$456,0))&amp;"","")</f>
        <v>Apoio</v>
      </c>
      <c r="H413" s="2" t="str">
        <f t="array" ref="H413">IFERROR(INDEX('Revisão_ChatGPT'!$H$7:$H$456,MATCH($A413,'Revisão_ChatGPT'!$A$7:$A$456,0))&amp;"","")</f>
        <v>Apoio</v>
      </c>
      <c r="I413" s="2" t="str">
        <f t="shared" si="1"/>
        <v>3/3</v>
      </c>
      <c r="J413" s="21"/>
      <c r="K413" s="21"/>
      <c r="L413" s="21"/>
      <c r="M413" s="22" t="b">
        <f t="shared" si="2"/>
        <v>1</v>
      </c>
      <c r="N413" s="21" t="s">
        <v>3411</v>
      </c>
      <c r="O413" s="2" t="str">
        <f t="shared" si="3"/>
        <v>Apoio</v>
      </c>
      <c r="P413" s="2" t="str">
        <f t="array" ref="P413">IF(O413&lt;&gt;"Incluir","",IF(K413&lt;&gt;"",K413,IF(IFERROR(INDEX(Triagem!$J$2:$J$451,MATCH($A413,Triagem!$A$2:$A$451,0))&amp;"","")&lt;&gt;"",IFERROR(INDEX(Triagem!$J$2:$J$451,MATCH($A413,Triagem!$A$2:$A$451,0))&amp;"",""),IF(IFERROR(INDEX('Revisão_Gemini'!$I$7:$I$456,MATCH($A413,'Revisão_Gemini'!$A$7:$A$456,0))&amp;"","")&lt;&gt;"",IFERROR(INDEX('Revisão_Gemini'!$I$7:$I$456,MATCH($A413,'Revisão_Gemini'!$A$7:$A$456,0))&amp;"",""),IFERROR(INDEX('Revisão_ChatGPT'!$I$7:$I$456,MATCH($A413,'Revisão_ChatGPT'!$A$7:$A$456,0))&amp;"","")))))</f>
        <v/>
      </c>
      <c r="Q413" s="2" t="str">
        <f t="array" ref="Q413">IF(O413&lt;&gt;"Excluir","",IF(L413&lt;&gt;"",L413,IF(F413="Excluir",IFERROR(INDEX(Triagem!$K$2:$K$451,MATCH($A413,Triagem!$A$2:$A$451,0))&amp;"",""),IF(G413="Excluir",IFERROR(INDEX('Revisão_Gemini'!$J$7:$J$456,MATCH($A413,'Revisão_Gemini'!$A$7:$A$456,0))&amp;"",""),IFERROR(INDEX('Revisão_ChatGPT'!$J$7:$J$456,MATCH($A413,'Revisão_ChatGPT'!$A$7:$A$456,0))&amp;"","")))))</f>
        <v/>
      </c>
    </row>
    <row r="414" ht="15.75" customHeight="1">
      <c r="A414" s="2" t="s">
        <v>902</v>
      </c>
      <c r="B414" s="19" t="str">
        <f t="array" ref="B414">INDEX(Triagem!$N$2:$N451 , MATCH(A414,Triagem!$A$2:$A451,0))</f>
        <v>abrir</v>
      </c>
      <c r="C414" s="20">
        <f t="array" ref="C414">INDEX(Triagem!$B$2:$B451 , MATCH(A414,Triagem!$A$2:$A451,0))</f>
        <v>2026</v>
      </c>
      <c r="D414" s="2" t="s">
        <v>904</v>
      </c>
      <c r="E414" s="2" t="s">
        <v>905</v>
      </c>
      <c r="F414" s="2" t="str">
        <f t="array" ref="F414">IFERROR(INDEX(Triagem!$I$2:$I$451,MATCH($A414,Triagem!$A$2:$A$451,0))&amp;"","")</f>
        <v>Excluir</v>
      </c>
      <c r="G414" s="2" t="str">
        <f t="array" ref="G414">IFERROR(INDEX('Revisão_Gemini'!$H$7:$H$456,MATCH($A414,'Revisão_Gemini'!$A$7:$A$456,0))&amp;"","")</f>
        <v>Excluir</v>
      </c>
      <c r="H414" s="2" t="str">
        <f t="array" ref="H414">IFERROR(INDEX('Revisão_ChatGPT'!$H$7:$H$456,MATCH($A414,'Revisão_ChatGPT'!$A$7:$A$456,0))&amp;"","")</f>
        <v>Excluir</v>
      </c>
      <c r="I414" s="2" t="str">
        <f t="shared" si="1"/>
        <v>3/3</v>
      </c>
      <c r="J414" s="21"/>
      <c r="K414" s="21"/>
      <c r="L414" s="21"/>
      <c r="M414" s="22" t="b">
        <f t="shared" si="2"/>
        <v>1</v>
      </c>
      <c r="N414" s="21"/>
      <c r="O414" s="2" t="str">
        <f t="shared" si="3"/>
        <v>Excluir</v>
      </c>
      <c r="P414" s="2" t="str">
        <f t="array" ref="P414">IF(O414&lt;&gt;"Incluir","",IF(K414&lt;&gt;"",K414,IF(IFERROR(INDEX(Triagem!$J$2:$J$451,MATCH($A414,Triagem!$A$2:$A$451,0))&amp;"","")&lt;&gt;"",IFERROR(INDEX(Triagem!$J$2:$J$451,MATCH($A414,Triagem!$A$2:$A$451,0))&amp;"",""),IF(IFERROR(INDEX('Revisão_Gemini'!$I$7:$I$456,MATCH($A414,'Revisão_Gemini'!$A$7:$A$456,0))&amp;"","")&lt;&gt;"",IFERROR(INDEX('Revisão_Gemini'!$I$7:$I$456,MATCH($A414,'Revisão_Gemini'!$A$7:$A$456,0))&amp;"",""),IFERROR(INDEX('Revisão_ChatGPT'!$I$7:$I$456,MATCH($A414,'Revisão_ChatGPT'!$A$7:$A$456,0))&amp;"","")))))</f>
        <v/>
      </c>
      <c r="Q414" s="2" t="str">
        <f t="array" ref="Q414">IF(O414&lt;&gt;"Excluir","",IF(L414&lt;&gt;"",L414,IF(F414="Excluir",IFERROR(INDEX(Triagem!$K$2:$K$451,MATCH($A414,Triagem!$A$2:$A$451,0))&amp;"",""),IF(G414="Excluir",IFERROR(INDEX('Revisão_Gemini'!$J$7:$J$456,MATCH($A414,'Revisão_Gemini'!$A$7:$A$456,0))&amp;"",""),IFERROR(INDEX('Revisão_ChatGPT'!$J$7:$J$456,MATCH($A414,'Revisão_ChatGPT'!$A$7:$A$456,0))&amp;"","")))))</f>
        <v>E1</v>
      </c>
    </row>
    <row r="415" ht="15.75" customHeight="1">
      <c r="A415" s="2" t="s">
        <v>1593</v>
      </c>
      <c r="B415" s="19" t="str">
        <f t="array" ref="B415">INDEX(Triagem!$N$2:$N451 , MATCH(A415,Triagem!$A$2:$A451,0))</f>
        <v>abrir</v>
      </c>
      <c r="C415" s="20">
        <f t="array" ref="C415">INDEX(Triagem!$B$2:$B451 , MATCH(A415,Triagem!$A$2:$A451,0))</f>
        <v>2025</v>
      </c>
      <c r="D415" s="2" t="s">
        <v>1595</v>
      </c>
      <c r="E415" s="2" t="s">
        <v>1596</v>
      </c>
      <c r="F415" s="2" t="str">
        <f t="array" ref="F415">IFERROR(INDEX(Triagem!$I$2:$I$451,MATCH($A415,Triagem!$A$2:$A$451,0))&amp;"","")</f>
        <v>Excluir</v>
      </c>
      <c r="G415" s="2" t="str">
        <f t="array" ref="G415">IFERROR(INDEX('Revisão_Gemini'!$H$7:$H$456,MATCH($A415,'Revisão_Gemini'!$A$7:$A$456,0))&amp;"","")</f>
        <v>Excluir</v>
      </c>
      <c r="H415" s="2" t="str">
        <f t="array" ref="H415">IFERROR(INDEX('Revisão_ChatGPT'!$H$7:$H$456,MATCH($A415,'Revisão_ChatGPT'!$A$7:$A$456,0))&amp;"","")</f>
        <v>Excluir</v>
      </c>
      <c r="I415" s="2" t="str">
        <f t="shared" si="1"/>
        <v>3/3</v>
      </c>
      <c r="J415" s="21"/>
      <c r="K415" s="21"/>
      <c r="L415" s="21"/>
      <c r="M415" s="22" t="b">
        <f t="shared" si="2"/>
        <v>1</v>
      </c>
      <c r="N415" s="21" t="s">
        <v>3412</v>
      </c>
      <c r="O415" s="2" t="str">
        <f t="shared" si="3"/>
        <v>Excluir</v>
      </c>
      <c r="P415" s="2" t="str">
        <f t="array" ref="P415">IF(O415&lt;&gt;"Incluir","",IF(K415&lt;&gt;"",K415,IF(IFERROR(INDEX(Triagem!$J$2:$J$451,MATCH($A415,Triagem!$A$2:$A$451,0))&amp;"","")&lt;&gt;"",IFERROR(INDEX(Triagem!$J$2:$J$451,MATCH($A415,Triagem!$A$2:$A$451,0))&amp;"",""),IF(IFERROR(INDEX('Revisão_Gemini'!$I$7:$I$456,MATCH($A415,'Revisão_Gemini'!$A$7:$A$456,0))&amp;"","")&lt;&gt;"",IFERROR(INDEX('Revisão_Gemini'!$I$7:$I$456,MATCH($A415,'Revisão_Gemini'!$A$7:$A$456,0))&amp;"",""),IFERROR(INDEX('Revisão_ChatGPT'!$I$7:$I$456,MATCH($A415,'Revisão_ChatGPT'!$A$7:$A$456,0))&amp;"","")))))</f>
        <v/>
      </c>
      <c r="Q415" s="2" t="str">
        <f t="array" ref="Q415">IF(O415&lt;&gt;"Excluir","",IF(L415&lt;&gt;"",L415,IF(F415="Excluir",IFERROR(INDEX(Triagem!$K$2:$K$451,MATCH($A415,Triagem!$A$2:$A$451,0))&amp;"",""),IF(G415="Excluir",IFERROR(INDEX('Revisão_Gemini'!$J$7:$J$456,MATCH($A415,'Revisão_Gemini'!$A$7:$A$456,0))&amp;"",""),IFERROR(INDEX('Revisão_ChatGPT'!$J$7:$J$456,MATCH($A415,'Revisão_ChatGPT'!$A$7:$A$456,0))&amp;"","")))))</f>
        <v>E3</v>
      </c>
    </row>
    <row r="416" ht="15.75" customHeight="1">
      <c r="A416" s="2" t="s">
        <v>2113</v>
      </c>
      <c r="B416" s="19" t="str">
        <f t="array" ref="B416">INDEX(Triagem!$N$2:$N451 , MATCH(A416,Triagem!$A$2:$A451,0))</f>
        <v>abrir</v>
      </c>
      <c r="C416" s="20">
        <f t="array" ref="C416">INDEX(Triagem!$B$2:$B451 , MATCH(A416,Triagem!$A$2:$A451,0))</f>
        <v>2025</v>
      </c>
      <c r="D416" s="2" t="s">
        <v>2115</v>
      </c>
      <c r="E416" s="2" t="s">
        <v>2116</v>
      </c>
      <c r="F416" s="2" t="str">
        <f t="array" ref="F416">IFERROR(INDEX(Triagem!$I$2:$I$451,MATCH($A416,Triagem!$A$2:$A$451,0))&amp;"","")</f>
        <v>Excluir</v>
      </c>
      <c r="G416" s="2" t="str">
        <f t="array" ref="G416">IFERROR(INDEX('Revisão_Gemini'!$H$7:$H$456,MATCH($A416,'Revisão_Gemini'!$A$7:$A$456,0))&amp;"","")</f>
        <v>Excluir</v>
      </c>
      <c r="H416" s="2" t="str">
        <f t="array" ref="H416">IFERROR(INDEX('Revisão_ChatGPT'!$H$7:$H$456,MATCH($A416,'Revisão_ChatGPT'!$A$7:$A$456,0))&amp;"","")</f>
        <v>Excluir</v>
      </c>
      <c r="I416" s="2" t="str">
        <f t="shared" si="1"/>
        <v>3/3</v>
      </c>
      <c r="J416" s="21"/>
      <c r="K416" s="21"/>
      <c r="L416" s="21"/>
      <c r="M416" s="22" t="b">
        <f t="shared" si="2"/>
        <v>1</v>
      </c>
      <c r="N416" s="21" t="s">
        <v>3413</v>
      </c>
      <c r="O416" s="2" t="str">
        <f t="shared" si="3"/>
        <v>Excluir</v>
      </c>
      <c r="P416" s="2" t="str">
        <f t="array" ref="P416">IF(O416&lt;&gt;"Incluir","",IF(K416&lt;&gt;"",K416,IF(IFERROR(INDEX(Triagem!$J$2:$J$451,MATCH($A416,Triagem!$A$2:$A$451,0))&amp;"","")&lt;&gt;"",IFERROR(INDEX(Triagem!$J$2:$J$451,MATCH($A416,Triagem!$A$2:$A$451,0))&amp;"",""),IF(IFERROR(INDEX('Revisão_Gemini'!$I$7:$I$456,MATCH($A416,'Revisão_Gemini'!$A$7:$A$456,0))&amp;"","")&lt;&gt;"",IFERROR(INDEX('Revisão_Gemini'!$I$7:$I$456,MATCH($A416,'Revisão_Gemini'!$A$7:$A$456,0))&amp;"",""),IFERROR(INDEX('Revisão_ChatGPT'!$I$7:$I$456,MATCH($A416,'Revisão_ChatGPT'!$A$7:$A$456,0))&amp;"","")))))</f>
        <v/>
      </c>
      <c r="Q416" s="2" t="str">
        <f t="array" ref="Q416">IF(O416&lt;&gt;"Excluir","",IF(L416&lt;&gt;"",L416,IF(F416="Excluir",IFERROR(INDEX(Triagem!$K$2:$K$451,MATCH($A416,Triagem!$A$2:$A$451,0))&amp;"",""),IF(G416="Excluir",IFERROR(INDEX('Revisão_Gemini'!$J$7:$J$456,MATCH($A416,'Revisão_Gemini'!$A$7:$A$456,0))&amp;"",""),IFERROR(INDEX('Revisão_ChatGPT'!$J$7:$J$456,MATCH($A416,'Revisão_ChatGPT'!$A$7:$A$456,0))&amp;"","")))))</f>
        <v>E7</v>
      </c>
    </row>
    <row r="417" ht="15.75" customHeight="1">
      <c r="A417" s="2" t="s">
        <v>1066</v>
      </c>
      <c r="B417" s="19" t="str">
        <f t="array" ref="B417">INDEX(Triagem!$N$2:$N451 , MATCH(A417,Triagem!$A$2:$A451,0))</f>
        <v>abrir</v>
      </c>
      <c r="C417" s="20">
        <f t="array" ref="C417">INDEX(Triagem!$B$2:$B451 , MATCH(A417,Triagem!$A$2:$A451,0))</f>
        <v>2025</v>
      </c>
      <c r="D417" s="2" t="s">
        <v>1068</v>
      </c>
      <c r="E417" s="2" t="s">
        <v>1069</v>
      </c>
      <c r="F417" s="2" t="str">
        <f t="array" ref="F417">IFERROR(INDEX(Triagem!$I$2:$I$451,MATCH($A417,Triagem!$A$2:$A$451,0))&amp;"","")</f>
        <v>Excluir</v>
      </c>
      <c r="G417" s="2" t="str">
        <f t="array" ref="G417">IFERROR(INDEX('Revisão_Gemini'!$H$7:$H$456,MATCH($A417,'Revisão_Gemini'!$A$7:$A$456,0))&amp;"","")</f>
        <v>Excluir</v>
      </c>
      <c r="H417" s="2" t="str">
        <f t="array" ref="H417">IFERROR(INDEX('Revisão_ChatGPT'!$H$7:$H$456,MATCH($A417,'Revisão_ChatGPT'!$A$7:$A$456,0))&amp;"","")</f>
        <v>Excluir</v>
      </c>
      <c r="I417" s="2" t="str">
        <f t="shared" si="1"/>
        <v>3/3</v>
      </c>
      <c r="J417" s="21"/>
      <c r="K417" s="21"/>
      <c r="L417" s="21"/>
      <c r="M417" s="22" t="b">
        <f t="shared" si="2"/>
        <v>1</v>
      </c>
      <c r="N417" s="21" t="s">
        <v>3414</v>
      </c>
      <c r="O417" s="2" t="str">
        <f t="shared" si="3"/>
        <v>Excluir</v>
      </c>
      <c r="P417" s="2" t="str">
        <f t="array" ref="P417">IF(O417&lt;&gt;"Incluir","",IF(K417&lt;&gt;"",K417,IF(IFERROR(INDEX(Triagem!$J$2:$J$451,MATCH($A417,Triagem!$A$2:$A$451,0))&amp;"","")&lt;&gt;"",IFERROR(INDEX(Triagem!$J$2:$J$451,MATCH($A417,Triagem!$A$2:$A$451,0))&amp;"",""),IF(IFERROR(INDEX('Revisão_Gemini'!$I$7:$I$456,MATCH($A417,'Revisão_Gemini'!$A$7:$A$456,0))&amp;"","")&lt;&gt;"",IFERROR(INDEX('Revisão_Gemini'!$I$7:$I$456,MATCH($A417,'Revisão_Gemini'!$A$7:$A$456,0))&amp;"",""),IFERROR(INDEX('Revisão_ChatGPT'!$I$7:$I$456,MATCH($A417,'Revisão_ChatGPT'!$A$7:$A$456,0))&amp;"","")))))</f>
        <v/>
      </c>
      <c r="Q417" s="2" t="str">
        <f t="array" ref="Q417">IF(O417&lt;&gt;"Excluir","",IF(L417&lt;&gt;"",L417,IF(F417="Excluir",IFERROR(INDEX(Triagem!$K$2:$K$451,MATCH($A417,Triagem!$A$2:$A$451,0))&amp;"",""),IF(G417="Excluir",IFERROR(INDEX('Revisão_Gemini'!$J$7:$J$456,MATCH($A417,'Revisão_Gemini'!$A$7:$A$456,0))&amp;"",""),IFERROR(INDEX('Revisão_ChatGPT'!$J$7:$J$456,MATCH($A417,'Revisão_ChatGPT'!$A$7:$A$456,0))&amp;"","")))))</f>
        <v>E2</v>
      </c>
    </row>
    <row r="418" ht="15.75" customHeight="1">
      <c r="A418" s="2" t="s">
        <v>1598</v>
      </c>
      <c r="B418" s="19" t="str">
        <f t="array" ref="B418">INDEX(Triagem!$N$2:$N451 , MATCH(A418,Triagem!$A$2:$A451,0))</f>
        <v>abrir</v>
      </c>
      <c r="C418" s="20">
        <f t="array" ref="C418">INDEX(Triagem!$B$2:$B451 , MATCH(A418,Triagem!$A$2:$A451,0))</f>
        <v>2025</v>
      </c>
      <c r="D418" s="2" t="s">
        <v>1600</v>
      </c>
      <c r="E418" s="2" t="s">
        <v>1601</v>
      </c>
      <c r="F418" s="2" t="str">
        <f t="array" ref="F418">IFERROR(INDEX(Triagem!$I$2:$I$451,MATCH($A418,Triagem!$A$2:$A$451,0))&amp;"","")</f>
        <v>Excluir</v>
      </c>
      <c r="G418" s="2" t="str">
        <f t="array" ref="G418">IFERROR(INDEX('Revisão_Gemini'!$H$7:$H$456,MATCH($A418,'Revisão_Gemini'!$A$7:$A$456,0))&amp;"","")</f>
        <v>Excluir</v>
      </c>
      <c r="H418" s="2" t="str">
        <f t="array" ref="H418">IFERROR(INDEX('Revisão_ChatGPT'!$H$7:$H$456,MATCH($A418,'Revisão_ChatGPT'!$A$7:$A$456,0))&amp;"","")</f>
        <v>Excluir</v>
      </c>
      <c r="I418" s="2" t="str">
        <f t="shared" si="1"/>
        <v>3/3</v>
      </c>
      <c r="J418" s="21"/>
      <c r="K418" s="21"/>
      <c r="L418" s="21"/>
      <c r="M418" s="22" t="b">
        <f t="shared" si="2"/>
        <v>1</v>
      </c>
      <c r="N418" s="21"/>
      <c r="O418" s="2" t="str">
        <f t="shared" si="3"/>
        <v>Excluir</v>
      </c>
      <c r="P418" s="2" t="str">
        <f t="array" ref="P418">IF(O418&lt;&gt;"Incluir","",IF(K418&lt;&gt;"",K418,IF(IFERROR(INDEX(Triagem!$J$2:$J$451,MATCH($A418,Triagem!$A$2:$A$451,0))&amp;"","")&lt;&gt;"",IFERROR(INDEX(Triagem!$J$2:$J$451,MATCH($A418,Triagem!$A$2:$A$451,0))&amp;"",""),IF(IFERROR(INDEX('Revisão_Gemini'!$I$7:$I$456,MATCH($A418,'Revisão_Gemini'!$A$7:$A$456,0))&amp;"","")&lt;&gt;"",IFERROR(INDEX('Revisão_Gemini'!$I$7:$I$456,MATCH($A418,'Revisão_Gemini'!$A$7:$A$456,0))&amp;"",""),IFERROR(INDEX('Revisão_ChatGPT'!$I$7:$I$456,MATCH($A418,'Revisão_ChatGPT'!$A$7:$A$456,0))&amp;"","")))))</f>
        <v/>
      </c>
      <c r="Q418" s="2" t="str">
        <f t="array" ref="Q418">IF(O418&lt;&gt;"Excluir","",IF(L418&lt;&gt;"",L418,IF(F418="Excluir",IFERROR(INDEX(Triagem!$K$2:$K$451,MATCH($A418,Triagem!$A$2:$A$451,0))&amp;"",""),IF(G418="Excluir",IFERROR(INDEX('Revisão_Gemini'!$J$7:$J$456,MATCH($A418,'Revisão_Gemini'!$A$7:$A$456,0))&amp;"",""),IFERROR(INDEX('Revisão_ChatGPT'!$J$7:$J$456,MATCH($A418,'Revisão_ChatGPT'!$A$7:$A$456,0))&amp;"","")))))</f>
        <v>E3</v>
      </c>
    </row>
    <row r="419" ht="15.75" customHeight="1">
      <c r="A419" s="2" t="s">
        <v>1070</v>
      </c>
      <c r="B419" s="19" t="str">
        <f t="array" ref="B419">INDEX(Triagem!$N$2:$N451 , MATCH(A419,Triagem!$A$2:$A451,0))</f>
        <v>abrir</v>
      </c>
      <c r="C419" s="20">
        <f t="array" ref="C419">INDEX(Triagem!$B$2:$B451 , MATCH(A419,Triagem!$A$2:$A451,0))</f>
        <v>2025</v>
      </c>
      <c r="D419" s="2" t="s">
        <v>1072</v>
      </c>
      <c r="E419" s="2" t="s">
        <v>1073</v>
      </c>
      <c r="F419" s="2" t="str">
        <f t="array" ref="F419">IFERROR(INDEX(Triagem!$I$2:$I$451,MATCH($A419,Triagem!$A$2:$A$451,0))&amp;"","")</f>
        <v>Excluir</v>
      </c>
      <c r="G419" s="2" t="str">
        <f t="array" ref="G419">IFERROR(INDEX('Revisão_Gemini'!$H$7:$H$456,MATCH($A419,'Revisão_Gemini'!$A$7:$A$456,0))&amp;"","")</f>
        <v>Excluir</v>
      </c>
      <c r="H419" s="2" t="str">
        <f t="array" ref="H419">IFERROR(INDEX('Revisão_ChatGPT'!$H$7:$H$456,MATCH($A419,'Revisão_ChatGPT'!$A$7:$A$456,0))&amp;"","")</f>
        <v>Excluir</v>
      </c>
      <c r="I419" s="2" t="str">
        <f t="shared" si="1"/>
        <v>3/3</v>
      </c>
      <c r="J419" s="21"/>
      <c r="K419" s="21"/>
      <c r="L419" s="21"/>
      <c r="M419" s="22" t="b">
        <f t="shared" si="2"/>
        <v>1</v>
      </c>
      <c r="N419" s="21" t="s">
        <v>3415</v>
      </c>
      <c r="O419" s="2" t="str">
        <f t="shared" si="3"/>
        <v>Excluir</v>
      </c>
      <c r="P419" s="2" t="str">
        <f t="array" ref="P419">IF(O419&lt;&gt;"Incluir","",IF(K419&lt;&gt;"",K419,IF(IFERROR(INDEX(Triagem!$J$2:$J$451,MATCH($A419,Triagem!$A$2:$A$451,0))&amp;"","")&lt;&gt;"",IFERROR(INDEX(Triagem!$J$2:$J$451,MATCH($A419,Triagem!$A$2:$A$451,0))&amp;"",""),IF(IFERROR(INDEX('Revisão_Gemini'!$I$7:$I$456,MATCH($A419,'Revisão_Gemini'!$A$7:$A$456,0))&amp;"","")&lt;&gt;"",IFERROR(INDEX('Revisão_Gemini'!$I$7:$I$456,MATCH($A419,'Revisão_Gemini'!$A$7:$A$456,0))&amp;"",""),IFERROR(INDEX('Revisão_ChatGPT'!$I$7:$I$456,MATCH($A419,'Revisão_ChatGPT'!$A$7:$A$456,0))&amp;"","")))))</f>
        <v/>
      </c>
      <c r="Q419" s="2" t="str">
        <f t="array" ref="Q419">IF(O419&lt;&gt;"Excluir","",IF(L419&lt;&gt;"",L419,IF(F419="Excluir",IFERROR(INDEX(Triagem!$K$2:$K$451,MATCH($A419,Triagem!$A$2:$A$451,0))&amp;"",""),IF(G419="Excluir",IFERROR(INDEX('Revisão_Gemini'!$J$7:$J$456,MATCH($A419,'Revisão_Gemini'!$A$7:$A$456,0))&amp;"",""),IFERROR(INDEX('Revisão_ChatGPT'!$J$7:$J$456,MATCH($A419,'Revisão_ChatGPT'!$A$7:$A$456,0))&amp;"","")))))</f>
        <v>E2</v>
      </c>
    </row>
    <row r="420" ht="15.75" customHeight="1">
      <c r="A420" s="2" t="s">
        <v>1517</v>
      </c>
      <c r="B420" s="19" t="str">
        <f t="array" ref="B420">INDEX(Triagem!$N$2:$N451 , MATCH(A420,Triagem!$A$2:$A451,0))</f>
        <v>abrir</v>
      </c>
      <c r="C420" s="20">
        <f t="array" ref="C420">INDEX(Triagem!$B$2:$B451 , MATCH(A420,Triagem!$A$2:$A451,0))</f>
        <v>2026</v>
      </c>
      <c r="D420" s="2" t="s">
        <v>1519</v>
      </c>
      <c r="E420" s="2" t="s">
        <v>1520</v>
      </c>
      <c r="F420" s="2" t="str">
        <f t="array" ref="F420">IFERROR(INDEX(Triagem!$I$2:$I$451,MATCH($A420,Triagem!$A$2:$A$451,0))&amp;"","")</f>
        <v>Excluir</v>
      </c>
      <c r="G420" s="2" t="str">
        <f t="array" ref="G420">IFERROR(INDEX('Revisão_Gemini'!$H$7:$H$456,MATCH($A420,'Revisão_Gemini'!$A$7:$A$456,0))&amp;"","")</f>
        <v>Excluir</v>
      </c>
      <c r="H420" s="2" t="str">
        <f t="array" ref="H420">IFERROR(INDEX('Revisão_ChatGPT'!$H$7:$H$456,MATCH($A420,'Revisão_ChatGPT'!$A$7:$A$456,0))&amp;"","")</f>
        <v>Excluir</v>
      </c>
      <c r="I420" s="2" t="str">
        <f t="shared" si="1"/>
        <v>3/3</v>
      </c>
      <c r="J420" s="21"/>
      <c r="K420" s="21"/>
      <c r="L420" s="21"/>
      <c r="M420" s="22" t="b">
        <f t="shared" si="2"/>
        <v>1</v>
      </c>
      <c r="N420" s="21" t="s">
        <v>3416</v>
      </c>
      <c r="O420" s="2" t="str">
        <f t="shared" si="3"/>
        <v>Excluir</v>
      </c>
      <c r="P420" s="2" t="str">
        <f t="array" ref="P420">IF(O420&lt;&gt;"Incluir","",IF(K420&lt;&gt;"",K420,IF(IFERROR(INDEX(Triagem!$J$2:$J$451,MATCH($A420,Triagem!$A$2:$A$451,0))&amp;"","")&lt;&gt;"",IFERROR(INDEX(Triagem!$J$2:$J$451,MATCH($A420,Triagem!$A$2:$A$451,0))&amp;"",""),IF(IFERROR(INDEX('Revisão_Gemini'!$I$7:$I$456,MATCH($A420,'Revisão_Gemini'!$A$7:$A$456,0))&amp;"","")&lt;&gt;"",IFERROR(INDEX('Revisão_Gemini'!$I$7:$I$456,MATCH($A420,'Revisão_Gemini'!$A$7:$A$456,0))&amp;"",""),IFERROR(INDEX('Revisão_ChatGPT'!$I$7:$I$456,MATCH($A420,'Revisão_ChatGPT'!$A$7:$A$456,0))&amp;"","")))))</f>
        <v/>
      </c>
      <c r="Q420" s="2" t="str">
        <f t="array" ref="Q420">IF(O420&lt;&gt;"Excluir","",IF(L420&lt;&gt;"",L420,IF(F420="Excluir",IFERROR(INDEX(Triagem!$K$2:$K$451,MATCH($A420,Triagem!$A$2:$A$451,0))&amp;"",""),IF(G420="Excluir",IFERROR(INDEX('Revisão_Gemini'!$J$7:$J$456,MATCH($A420,'Revisão_Gemini'!$A$7:$A$456,0))&amp;"",""),IFERROR(INDEX('Revisão_ChatGPT'!$J$7:$J$456,MATCH($A420,'Revisão_ChatGPT'!$A$7:$A$456,0))&amp;"","")))))</f>
        <v>E3</v>
      </c>
    </row>
    <row r="421" ht="15.75" customHeight="1">
      <c r="A421" s="2" t="s">
        <v>1965</v>
      </c>
      <c r="B421" s="19" t="str">
        <f t="array" ref="B421">INDEX(Triagem!$N$2:$N451 , MATCH(A421,Triagem!$A$2:$A451,0))</f>
        <v>abrir</v>
      </c>
      <c r="C421" s="20">
        <f t="array" ref="C421">INDEX(Triagem!$B$2:$B451 , MATCH(A421,Triagem!$A$2:$A451,0))</f>
        <v>2025</v>
      </c>
      <c r="D421" s="2" t="s">
        <v>1967</v>
      </c>
      <c r="E421" s="2" t="s">
        <v>1968</v>
      </c>
      <c r="F421" s="2" t="str">
        <f t="array" ref="F421">IFERROR(INDEX(Triagem!$I$2:$I$451,MATCH($A421,Triagem!$A$2:$A$451,0))&amp;"","")</f>
        <v>Excluir</v>
      </c>
      <c r="G421" s="2" t="str">
        <f t="array" ref="G421">IFERROR(INDEX('Revisão_Gemini'!$H$7:$H$456,MATCH($A421,'Revisão_Gemini'!$A$7:$A$456,0))&amp;"","")</f>
        <v>Excluir</v>
      </c>
      <c r="H421" s="2" t="str">
        <f t="array" ref="H421">IFERROR(INDEX('Revisão_ChatGPT'!$H$7:$H$456,MATCH($A421,'Revisão_ChatGPT'!$A$7:$A$456,0))&amp;"","")</f>
        <v>Excluir</v>
      </c>
      <c r="I421" s="2" t="str">
        <f t="shared" si="1"/>
        <v>3/3</v>
      </c>
      <c r="J421" s="21"/>
      <c r="K421" s="21"/>
      <c r="L421" s="21"/>
      <c r="M421" s="22" t="b">
        <f t="shared" si="2"/>
        <v>1</v>
      </c>
      <c r="N421" s="21" t="s">
        <v>3417</v>
      </c>
      <c r="O421" s="2" t="str">
        <f t="shared" si="3"/>
        <v>Excluir</v>
      </c>
      <c r="P421" s="2" t="str">
        <f t="array" ref="P421">IF(O421&lt;&gt;"Incluir","",IF(K421&lt;&gt;"",K421,IF(IFERROR(INDEX(Triagem!$J$2:$J$451,MATCH($A421,Triagem!$A$2:$A$451,0))&amp;"","")&lt;&gt;"",IFERROR(INDEX(Triagem!$J$2:$J$451,MATCH($A421,Triagem!$A$2:$A$451,0))&amp;"",""),IF(IFERROR(INDEX('Revisão_Gemini'!$I$7:$I$456,MATCH($A421,'Revisão_Gemini'!$A$7:$A$456,0))&amp;"","")&lt;&gt;"",IFERROR(INDEX('Revisão_Gemini'!$I$7:$I$456,MATCH($A421,'Revisão_Gemini'!$A$7:$A$456,0))&amp;"",""),IFERROR(INDEX('Revisão_ChatGPT'!$I$7:$I$456,MATCH($A421,'Revisão_ChatGPT'!$A$7:$A$456,0))&amp;"","")))))</f>
        <v/>
      </c>
      <c r="Q421" s="2" t="str">
        <f t="array" ref="Q421">IF(O421&lt;&gt;"Excluir","",IF(L421&lt;&gt;"",L421,IF(F421="Excluir",IFERROR(INDEX(Triagem!$K$2:$K$451,MATCH($A421,Triagem!$A$2:$A$451,0))&amp;"",""),IF(G421="Excluir",IFERROR(INDEX('Revisão_Gemini'!$J$7:$J$456,MATCH($A421,'Revisão_Gemini'!$A$7:$A$456,0))&amp;"",""),IFERROR(INDEX('Revisão_ChatGPT'!$J$7:$J$456,MATCH($A421,'Revisão_ChatGPT'!$A$7:$A$456,0))&amp;"","")))))</f>
        <v>E5</v>
      </c>
    </row>
    <row r="422" ht="15.75" customHeight="1">
      <c r="A422" s="2" t="s">
        <v>707</v>
      </c>
      <c r="B422" s="19" t="str">
        <f t="array" ref="B422">INDEX(Triagem!$N$2:$N451 , MATCH(A422,Triagem!$A$2:$A451,0))</f>
        <v>abrir</v>
      </c>
      <c r="C422" s="20">
        <f t="array" ref="C422">INDEX(Triagem!$B$2:$B451 , MATCH(A422,Triagem!$A$2:$A451,0))</f>
        <v>2025</v>
      </c>
      <c r="D422" s="2" t="s">
        <v>709</v>
      </c>
      <c r="E422" s="2" t="s">
        <v>710</v>
      </c>
      <c r="F422" s="2" t="str">
        <f t="array" ref="F422">IFERROR(INDEX(Triagem!$I$2:$I$451,MATCH($A422,Triagem!$A$2:$A$451,0))&amp;"","")</f>
        <v>Apoio</v>
      </c>
      <c r="G422" s="2" t="str">
        <f t="array" ref="G422">IFERROR(INDEX('Revisão_Gemini'!$H$7:$H$456,MATCH($A422,'Revisão_Gemini'!$A$7:$A$456,0))&amp;"","")</f>
        <v>Apoio</v>
      </c>
      <c r="H422" s="2" t="str">
        <f t="array" ref="H422">IFERROR(INDEX('Revisão_ChatGPT'!$H$7:$H$456,MATCH($A422,'Revisão_ChatGPT'!$A$7:$A$456,0))&amp;"","")</f>
        <v>Apoio</v>
      </c>
      <c r="I422" s="2" t="str">
        <f t="shared" si="1"/>
        <v>3/3</v>
      </c>
      <c r="J422" s="21"/>
      <c r="K422" s="21"/>
      <c r="L422" s="21"/>
      <c r="M422" s="22" t="b">
        <f t="shared" si="2"/>
        <v>1</v>
      </c>
      <c r="N422" s="21"/>
      <c r="O422" s="2" t="str">
        <f t="shared" si="3"/>
        <v>Apoio</v>
      </c>
      <c r="P422" s="2" t="str">
        <f t="array" ref="P422">IF(O422&lt;&gt;"Incluir","",IF(K422&lt;&gt;"",K422,IF(IFERROR(INDEX(Triagem!$J$2:$J$451,MATCH($A422,Triagem!$A$2:$A$451,0))&amp;"","")&lt;&gt;"",IFERROR(INDEX(Triagem!$J$2:$J$451,MATCH($A422,Triagem!$A$2:$A$451,0))&amp;"",""),IF(IFERROR(INDEX('Revisão_Gemini'!$I$7:$I$456,MATCH($A422,'Revisão_Gemini'!$A$7:$A$456,0))&amp;"","")&lt;&gt;"",IFERROR(INDEX('Revisão_Gemini'!$I$7:$I$456,MATCH($A422,'Revisão_Gemini'!$A$7:$A$456,0))&amp;"",""),IFERROR(INDEX('Revisão_ChatGPT'!$I$7:$I$456,MATCH($A422,'Revisão_ChatGPT'!$A$7:$A$456,0))&amp;"","")))))</f>
        <v/>
      </c>
      <c r="Q422" s="2" t="str">
        <f t="array" ref="Q422">IF(O422&lt;&gt;"Excluir","",IF(L422&lt;&gt;"",L422,IF(F422="Excluir",IFERROR(INDEX(Triagem!$K$2:$K$451,MATCH($A422,Triagem!$A$2:$A$451,0))&amp;"",""),IF(G422="Excluir",IFERROR(INDEX('Revisão_Gemini'!$J$7:$J$456,MATCH($A422,'Revisão_Gemini'!$A$7:$A$456,0))&amp;"",""),IFERROR(INDEX('Revisão_ChatGPT'!$J$7:$J$456,MATCH($A422,'Revisão_ChatGPT'!$A$7:$A$456,0))&amp;"","")))))</f>
        <v/>
      </c>
    </row>
    <row r="423" ht="15.75" customHeight="1">
      <c r="A423" s="2" t="s">
        <v>714</v>
      </c>
      <c r="B423" s="19" t="str">
        <f t="array" ref="B423">INDEX(Triagem!$N$2:$N451 , MATCH(A423,Triagem!$A$2:$A451,0))</f>
        <v>abrir</v>
      </c>
      <c r="C423" s="20">
        <f t="array" ref="C423">INDEX(Triagem!$B$2:$B451 , MATCH(A423,Triagem!$A$2:$A451,0))</f>
        <v>2025</v>
      </c>
      <c r="D423" s="2" t="s">
        <v>716</v>
      </c>
      <c r="E423" s="2" t="s">
        <v>717</v>
      </c>
      <c r="F423" s="2" t="str">
        <f t="array" ref="F423">IFERROR(INDEX(Triagem!$I$2:$I$451,MATCH($A423,Triagem!$A$2:$A$451,0))&amp;"","")</f>
        <v>Apoio</v>
      </c>
      <c r="G423" s="2" t="str">
        <f t="array" ref="G423">IFERROR(INDEX('Revisão_Gemini'!$H$7:$H$456,MATCH($A423,'Revisão_Gemini'!$A$7:$A$456,0))&amp;"","")</f>
        <v>Apoio</v>
      </c>
      <c r="H423" s="2" t="str">
        <f t="array" ref="H423">IFERROR(INDEX('Revisão_ChatGPT'!$H$7:$H$456,MATCH($A423,'Revisão_ChatGPT'!$A$7:$A$456,0))&amp;"","")</f>
        <v>Apoio</v>
      </c>
      <c r="I423" s="2" t="str">
        <f t="shared" si="1"/>
        <v>3/3</v>
      </c>
      <c r="J423" s="21"/>
      <c r="K423" s="21"/>
      <c r="L423" s="21"/>
      <c r="M423" s="22" t="b">
        <f t="shared" si="2"/>
        <v>1</v>
      </c>
      <c r="N423" s="21" t="s">
        <v>3418</v>
      </c>
      <c r="O423" s="2" t="str">
        <f t="shared" si="3"/>
        <v>Apoio</v>
      </c>
      <c r="P423" s="2" t="str">
        <f t="array" ref="P423">IF(O423&lt;&gt;"Incluir","",IF(K423&lt;&gt;"",K423,IF(IFERROR(INDEX(Triagem!$J$2:$J$451,MATCH($A423,Triagem!$A$2:$A$451,0))&amp;"","")&lt;&gt;"",IFERROR(INDEX(Triagem!$J$2:$J$451,MATCH($A423,Triagem!$A$2:$A$451,0))&amp;"",""),IF(IFERROR(INDEX('Revisão_Gemini'!$I$7:$I$456,MATCH($A423,'Revisão_Gemini'!$A$7:$A$456,0))&amp;"","")&lt;&gt;"",IFERROR(INDEX('Revisão_Gemini'!$I$7:$I$456,MATCH($A423,'Revisão_Gemini'!$A$7:$A$456,0))&amp;"",""),IFERROR(INDEX('Revisão_ChatGPT'!$I$7:$I$456,MATCH($A423,'Revisão_ChatGPT'!$A$7:$A$456,0))&amp;"","")))))</f>
        <v/>
      </c>
      <c r="Q423" s="2" t="str">
        <f t="array" ref="Q423">IF(O423&lt;&gt;"Excluir","",IF(L423&lt;&gt;"",L423,IF(F423="Excluir",IFERROR(INDEX(Triagem!$K$2:$K$451,MATCH($A423,Triagem!$A$2:$A$451,0))&amp;"",""),IF(G423="Excluir",IFERROR(INDEX('Revisão_Gemini'!$J$7:$J$456,MATCH($A423,'Revisão_Gemini'!$A$7:$A$456,0))&amp;"",""),IFERROR(INDEX('Revisão_ChatGPT'!$J$7:$J$456,MATCH($A423,'Revisão_ChatGPT'!$A$7:$A$456,0))&amp;"","")))))</f>
        <v/>
      </c>
    </row>
    <row r="424" ht="15.75" customHeight="1">
      <c r="A424" s="2" t="s">
        <v>1905</v>
      </c>
      <c r="B424" s="19" t="str">
        <f t="array" ref="B424">INDEX(Triagem!$N$2:$N451 , MATCH(A424,Triagem!$A$2:$A451,0))</f>
        <v>abrir</v>
      </c>
      <c r="C424" s="20">
        <f t="array" ref="C424">INDEX(Triagem!$B$2:$B451 , MATCH(A424,Triagem!$A$2:$A451,0))</f>
        <v>2025</v>
      </c>
      <c r="D424" s="2" t="s">
        <v>1907</v>
      </c>
      <c r="E424" s="2" t="s">
        <v>1908</v>
      </c>
      <c r="F424" s="2" t="str">
        <f t="array" ref="F424">IFERROR(INDEX(Triagem!$I$2:$I$451,MATCH($A424,Triagem!$A$2:$A$451,0))&amp;"","")</f>
        <v>Excluir</v>
      </c>
      <c r="G424" s="2" t="str">
        <f t="array" ref="G424">IFERROR(INDEX('Revisão_Gemini'!$H$7:$H$456,MATCH($A424,'Revisão_Gemini'!$A$7:$A$456,0))&amp;"","")</f>
        <v>Apoio</v>
      </c>
      <c r="H424" s="2" t="str">
        <f t="array" ref="H424">IFERROR(INDEX('Revisão_ChatGPT'!$H$7:$H$456,MATCH($A424,'Revisão_ChatGPT'!$A$7:$A$456,0))&amp;"","")</f>
        <v>Apoio</v>
      </c>
      <c r="I424" s="2" t="str">
        <f t="shared" si="1"/>
        <v>2/3</v>
      </c>
      <c r="J424" s="24" t="s">
        <v>906</v>
      </c>
      <c r="K424" s="21"/>
      <c r="L424" s="21"/>
      <c r="M424" s="22" t="b">
        <f t="shared" si="2"/>
        <v>1</v>
      </c>
      <c r="N424" s="21"/>
      <c r="O424" s="2" t="str">
        <f t="shared" si="3"/>
        <v>Excluir</v>
      </c>
      <c r="P424" s="2" t="str">
        <f t="array" ref="P424">IF(O424&lt;&gt;"Incluir","",IF(K424&lt;&gt;"",K424,IF(IFERROR(INDEX(Triagem!$J$2:$J$451,MATCH($A424,Triagem!$A$2:$A$451,0))&amp;"","")&lt;&gt;"",IFERROR(INDEX(Triagem!$J$2:$J$451,MATCH($A424,Triagem!$A$2:$A$451,0))&amp;"",""),IF(IFERROR(INDEX('Revisão_Gemini'!$I$7:$I$456,MATCH($A424,'Revisão_Gemini'!$A$7:$A$456,0))&amp;"","")&lt;&gt;"",IFERROR(INDEX('Revisão_Gemini'!$I$7:$I$456,MATCH($A424,'Revisão_Gemini'!$A$7:$A$456,0))&amp;"",""),IFERROR(INDEX('Revisão_ChatGPT'!$I$7:$I$456,MATCH($A424,'Revisão_ChatGPT'!$A$7:$A$456,0))&amp;"","")))))</f>
        <v/>
      </c>
      <c r="Q424" s="2" t="str">
        <f t="array" ref="Q424">IF(O424&lt;&gt;"Excluir","",IF(L424&lt;&gt;"",L424,IF(F424="Excluir",IFERROR(INDEX(Triagem!$K$2:$K$451,MATCH($A424,Triagem!$A$2:$A$451,0))&amp;"",""),IF(G424="Excluir",IFERROR(INDEX('Revisão_Gemini'!$J$7:$J$456,MATCH($A424,'Revisão_Gemini'!$A$7:$A$456,0))&amp;"",""),IFERROR(INDEX('Revisão_ChatGPT'!$J$7:$J$456,MATCH($A424,'Revisão_ChatGPT'!$A$7:$A$456,0))&amp;"","")))))</f>
        <v>E4</v>
      </c>
    </row>
    <row r="425" ht="15.75" customHeight="1">
      <c r="A425" s="2" t="s">
        <v>186</v>
      </c>
      <c r="B425" s="19" t="str">
        <f t="array" ref="B425">INDEX(Triagem!$N$2:$N451 , MATCH(A425,Triagem!$A$2:$A451,0))</f>
        <v>abrir</v>
      </c>
      <c r="C425" s="20">
        <f t="array" ref="C425">INDEX(Triagem!$B$2:$B451 , MATCH(A425,Triagem!$A$2:$A451,0))</f>
        <v>2025</v>
      </c>
      <c r="D425" s="2" t="s">
        <v>188</v>
      </c>
      <c r="E425" s="2" t="s">
        <v>189</v>
      </c>
      <c r="F425" s="2" t="str">
        <f t="array" ref="F425">IFERROR(INDEX(Triagem!$I$2:$I$451,MATCH($A425,Triagem!$A$2:$A$451,0))&amp;"","")</f>
        <v>Incluir</v>
      </c>
      <c r="G425" s="2" t="str">
        <f t="array" ref="G425">IFERROR(INDEX('Revisão_Gemini'!$H$7:$H$456,MATCH($A425,'Revisão_Gemini'!$A$7:$A$456,0))&amp;"","")</f>
        <v>Incluir</v>
      </c>
      <c r="H425" s="2" t="str">
        <f t="array" ref="H425">IFERROR(INDEX('Revisão_ChatGPT'!$H$7:$H$456,MATCH($A425,'Revisão_ChatGPT'!$A$7:$A$456,0))&amp;"","")</f>
        <v>Incluir</v>
      </c>
      <c r="I425" s="2" t="str">
        <f t="shared" si="1"/>
        <v>3/3</v>
      </c>
      <c r="J425" s="21"/>
      <c r="K425" s="21"/>
      <c r="L425" s="21"/>
      <c r="M425" s="22" t="b">
        <f t="shared" si="2"/>
        <v>1</v>
      </c>
      <c r="N425" s="21" t="s">
        <v>3419</v>
      </c>
      <c r="O425" s="2" t="str">
        <f t="shared" si="3"/>
        <v>Incluir</v>
      </c>
      <c r="P425" s="2" t="str">
        <f t="array" ref="P425">IF(O425&lt;&gt;"Incluir","",IF(K425&lt;&gt;"",K425,IF(IFERROR(INDEX(Triagem!$J$2:$J$451,MATCH($A425,Triagem!$A$2:$A$451,0))&amp;"","")&lt;&gt;"",IFERROR(INDEX(Triagem!$J$2:$J$451,MATCH($A425,Triagem!$A$2:$A$451,0))&amp;"",""),IF(IFERROR(INDEX('Revisão_Gemini'!$I$7:$I$456,MATCH($A425,'Revisão_Gemini'!$A$7:$A$456,0))&amp;"","")&lt;&gt;"",IFERROR(INDEX('Revisão_Gemini'!$I$7:$I$456,MATCH($A425,'Revisão_Gemini'!$A$7:$A$456,0))&amp;"",""),IFERROR(INDEX('Revisão_ChatGPT'!$I$7:$I$456,MATCH($A425,'Revisão_ChatGPT'!$A$7:$A$456,0))&amp;"","")))))</f>
        <v>A+B</v>
      </c>
      <c r="Q425" s="2" t="str">
        <f t="array" ref="Q425">IF(O425&lt;&gt;"Excluir","",IF(L425&lt;&gt;"",L425,IF(F425="Excluir",IFERROR(INDEX(Triagem!$K$2:$K$451,MATCH($A425,Triagem!$A$2:$A$451,0))&amp;"",""),IF(G425="Excluir",IFERROR(INDEX('Revisão_Gemini'!$J$7:$J$456,MATCH($A425,'Revisão_Gemini'!$A$7:$A$456,0))&amp;"",""),IFERROR(INDEX('Revisão_ChatGPT'!$J$7:$J$456,MATCH($A425,'Revisão_ChatGPT'!$A$7:$A$456,0))&amp;"","")))))</f>
        <v/>
      </c>
    </row>
    <row r="426" ht="15.75" customHeight="1">
      <c r="A426" s="2" t="s">
        <v>99</v>
      </c>
      <c r="B426" s="19" t="str">
        <f t="array" ref="B426">INDEX(Triagem!$N$2:$N451 , MATCH(A426,Triagem!$A$2:$A451,0))</f>
        <v>abrir</v>
      </c>
      <c r="C426" s="20">
        <f t="array" ref="C426">INDEX(Triagem!$B$2:$B451 , MATCH(A426,Triagem!$A$2:$A451,0))</f>
        <v>2026</v>
      </c>
      <c r="D426" s="2" t="s">
        <v>101</v>
      </c>
      <c r="E426" s="2" t="s">
        <v>102</v>
      </c>
      <c r="F426" s="2" t="str">
        <f t="array" ref="F426">IFERROR(INDEX(Triagem!$I$2:$I$451,MATCH($A426,Triagem!$A$2:$A$451,0))&amp;"","")</f>
        <v>Incluir</v>
      </c>
      <c r="G426" s="2" t="str">
        <f t="array" ref="G426">IFERROR(INDEX('Revisão_Gemini'!$H$7:$H$456,MATCH($A426,'Revisão_Gemini'!$A$7:$A$456,0))&amp;"","")</f>
        <v>Incluir</v>
      </c>
      <c r="H426" s="2" t="str">
        <f t="array" ref="H426">IFERROR(INDEX('Revisão_ChatGPT'!$H$7:$H$456,MATCH($A426,'Revisão_ChatGPT'!$A$7:$A$456,0))&amp;"","")</f>
        <v>Incluir</v>
      </c>
      <c r="I426" s="2" t="str">
        <f t="shared" si="1"/>
        <v>3/3</v>
      </c>
      <c r="J426" s="21"/>
      <c r="K426" s="21"/>
      <c r="L426" s="21"/>
      <c r="M426" s="22" t="b">
        <f t="shared" si="2"/>
        <v>1</v>
      </c>
      <c r="N426" s="21"/>
      <c r="O426" s="2" t="str">
        <f t="shared" si="3"/>
        <v>Incluir</v>
      </c>
      <c r="P426" s="2" t="str">
        <f t="array" ref="P426">IF(O426&lt;&gt;"Incluir","",IF(K426&lt;&gt;"",K426,IF(IFERROR(INDEX(Triagem!$J$2:$J$451,MATCH($A426,Triagem!$A$2:$A$451,0))&amp;"","")&lt;&gt;"",IFERROR(INDEX(Triagem!$J$2:$J$451,MATCH($A426,Triagem!$A$2:$A$451,0))&amp;"",""),IF(IFERROR(INDEX('Revisão_Gemini'!$I$7:$I$456,MATCH($A426,'Revisão_Gemini'!$A$7:$A$456,0))&amp;"","")&lt;&gt;"",IFERROR(INDEX('Revisão_Gemini'!$I$7:$I$456,MATCH($A426,'Revisão_Gemini'!$A$7:$A$456,0))&amp;"",""),IFERROR(INDEX('Revisão_ChatGPT'!$I$7:$I$456,MATCH($A426,'Revisão_ChatGPT'!$A$7:$A$456,0))&amp;"","")))))</f>
        <v>A</v>
      </c>
      <c r="Q426" s="2" t="str">
        <f t="array" ref="Q426">IF(O426&lt;&gt;"Excluir","",IF(L426&lt;&gt;"",L426,IF(F426="Excluir",IFERROR(INDEX(Triagem!$K$2:$K$451,MATCH($A426,Triagem!$A$2:$A$451,0))&amp;"",""),IF(G426="Excluir",IFERROR(INDEX('Revisão_Gemini'!$J$7:$J$456,MATCH($A426,'Revisão_Gemini'!$A$7:$A$456,0))&amp;"",""),IFERROR(INDEX('Revisão_ChatGPT'!$J$7:$J$456,MATCH($A426,'Revisão_ChatGPT'!$A$7:$A$456,0))&amp;"","")))))</f>
        <v/>
      </c>
    </row>
    <row r="427" ht="15.75" customHeight="1">
      <c r="A427" s="2" t="s">
        <v>1603</v>
      </c>
      <c r="B427" s="19" t="str">
        <f t="array" ref="B427">INDEX(Triagem!$N$2:$N451 , MATCH(A427,Triagem!$A$2:$A451,0))</f>
        <v>abrir</v>
      </c>
      <c r="C427" s="20">
        <f t="array" ref="C427">INDEX(Triagem!$B$2:$B451 , MATCH(A427,Triagem!$A$2:$A451,0))</f>
        <v>2025</v>
      </c>
      <c r="D427" s="2" t="s">
        <v>1605</v>
      </c>
      <c r="E427" s="2" t="s">
        <v>1606</v>
      </c>
      <c r="F427" s="2" t="str">
        <f t="array" ref="F427">IFERROR(INDEX(Triagem!$I$2:$I$451,MATCH($A427,Triagem!$A$2:$A$451,0))&amp;"","")</f>
        <v>Excluir</v>
      </c>
      <c r="G427" s="2" t="str">
        <f t="array" ref="G427">IFERROR(INDEX('Revisão_Gemini'!$H$7:$H$456,MATCH($A427,'Revisão_Gemini'!$A$7:$A$456,0))&amp;"","")</f>
        <v>Excluir</v>
      </c>
      <c r="H427" s="2" t="str">
        <f t="array" ref="H427">IFERROR(INDEX('Revisão_ChatGPT'!$H$7:$H$456,MATCH($A427,'Revisão_ChatGPT'!$A$7:$A$456,0))&amp;"","")</f>
        <v>Excluir</v>
      </c>
      <c r="I427" s="2" t="str">
        <f t="shared" si="1"/>
        <v>3/3</v>
      </c>
      <c r="J427" s="21"/>
      <c r="K427" s="21"/>
      <c r="L427" s="21"/>
      <c r="M427" s="22" t="b">
        <f t="shared" si="2"/>
        <v>1</v>
      </c>
      <c r="N427" s="21" t="s">
        <v>3420</v>
      </c>
      <c r="O427" s="2" t="str">
        <f t="shared" si="3"/>
        <v>Excluir</v>
      </c>
      <c r="P427" s="2" t="str">
        <f t="array" ref="P427">IF(O427&lt;&gt;"Incluir","",IF(K427&lt;&gt;"",K427,IF(IFERROR(INDEX(Triagem!$J$2:$J$451,MATCH($A427,Triagem!$A$2:$A$451,0))&amp;"","")&lt;&gt;"",IFERROR(INDEX(Triagem!$J$2:$J$451,MATCH($A427,Triagem!$A$2:$A$451,0))&amp;"",""),IF(IFERROR(INDEX('Revisão_Gemini'!$I$7:$I$456,MATCH($A427,'Revisão_Gemini'!$A$7:$A$456,0))&amp;"","")&lt;&gt;"",IFERROR(INDEX('Revisão_Gemini'!$I$7:$I$456,MATCH($A427,'Revisão_Gemini'!$A$7:$A$456,0))&amp;"",""),IFERROR(INDEX('Revisão_ChatGPT'!$I$7:$I$456,MATCH($A427,'Revisão_ChatGPT'!$A$7:$A$456,0))&amp;"","")))))</f>
        <v/>
      </c>
      <c r="Q427" s="2" t="str">
        <f t="array" ref="Q427">IF(O427&lt;&gt;"Excluir","",IF(L427&lt;&gt;"",L427,IF(F427="Excluir",IFERROR(INDEX(Triagem!$K$2:$K$451,MATCH($A427,Triagem!$A$2:$A$451,0))&amp;"",""),IF(G427="Excluir",IFERROR(INDEX('Revisão_Gemini'!$J$7:$J$456,MATCH($A427,'Revisão_Gemini'!$A$7:$A$456,0))&amp;"",""),IFERROR(INDEX('Revisão_ChatGPT'!$J$7:$J$456,MATCH($A427,'Revisão_ChatGPT'!$A$7:$A$456,0))&amp;"","")))))</f>
        <v>E3</v>
      </c>
    </row>
    <row r="428" ht="15.75" customHeight="1">
      <c r="A428" s="2" t="s">
        <v>1524</v>
      </c>
      <c r="B428" s="19" t="str">
        <f t="array" ref="B428">INDEX(Triagem!$N$2:$N451 , MATCH(A428,Triagem!$A$2:$A451,0))</f>
        <v>abrir</v>
      </c>
      <c r="C428" s="20">
        <f t="array" ref="C428">INDEX(Triagem!$B$2:$B451 , MATCH(A428,Triagem!$A$2:$A451,0))</f>
        <v>2026</v>
      </c>
      <c r="D428" s="2" t="s">
        <v>1526</v>
      </c>
      <c r="E428" s="2" t="s">
        <v>1527</v>
      </c>
      <c r="F428" s="2" t="str">
        <f t="array" ref="F428">IFERROR(INDEX(Triagem!$I$2:$I$451,MATCH($A428,Triagem!$A$2:$A$451,0))&amp;"","")</f>
        <v>Excluir</v>
      </c>
      <c r="G428" s="2" t="str">
        <f t="array" ref="G428">IFERROR(INDEX('Revisão_Gemini'!$H$7:$H$456,MATCH($A428,'Revisão_Gemini'!$A$7:$A$456,0))&amp;"","")</f>
        <v>Excluir</v>
      </c>
      <c r="H428" s="2" t="str">
        <f t="array" ref="H428">IFERROR(INDEX('Revisão_ChatGPT'!$H$7:$H$456,MATCH($A428,'Revisão_ChatGPT'!$A$7:$A$456,0))&amp;"","")</f>
        <v>Excluir</v>
      </c>
      <c r="I428" s="2" t="str">
        <f t="shared" si="1"/>
        <v>3/3</v>
      </c>
      <c r="J428" s="21"/>
      <c r="K428" s="21"/>
      <c r="L428" s="21"/>
      <c r="M428" s="22" t="b">
        <f t="shared" si="2"/>
        <v>1</v>
      </c>
      <c r="N428" s="21" t="s">
        <v>3421</v>
      </c>
      <c r="O428" s="2" t="str">
        <f t="shared" si="3"/>
        <v>Excluir</v>
      </c>
      <c r="P428" s="2" t="str">
        <f t="array" ref="P428">IF(O428&lt;&gt;"Incluir","",IF(K428&lt;&gt;"",K428,IF(IFERROR(INDEX(Triagem!$J$2:$J$451,MATCH($A428,Triagem!$A$2:$A$451,0))&amp;"","")&lt;&gt;"",IFERROR(INDEX(Triagem!$J$2:$J$451,MATCH($A428,Triagem!$A$2:$A$451,0))&amp;"",""),IF(IFERROR(INDEX('Revisão_Gemini'!$I$7:$I$456,MATCH($A428,'Revisão_Gemini'!$A$7:$A$456,0))&amp;"","")&lt;&gt;"",IFERROR(INDEX('Revisão_Gemini'!$I$7:$I$456,MATCH($A428,'Revisão_Gemini'!$A$7:$A$456,0))&amp;"",""),IFERROR(INDEX('Revisão_ChatGPT'!$I$7:$I$456,MATCH($A428,'Revisão_ChatGPT'!$A$7:$A$456,0))&amp;"","")))))</f>
        <v/>
      </c>
      <c r="Q428" s="2" t="str">
        <f t="array" ref="Q428">IF(O428&lt;&gt;"Excluir","",IF(L428&lt;&gt;"",L428,IF(F428="Excluir",IFERROR(INDEX(Triagem!$K$2:$K$451,MATCH($A428,Triagem!$A$2:$A$451,0))&amp;"",""),IF(G428="Excluir",IFERROR(INDEX('Revisão_Gemini'!$J$7:$J$456,MATCH($A428,'Revisão_Gemini'!$A$7:$A$456,0))&amp;"",""),IFERROR(INDEX('Revisão_ChatGPT'!$J$7:$J$456,MATCH($A428,'Revisão_ChatGPT'!$A$7:$A$456,0))&amp;"","")))))</f>
        <v>E3</v>
      </c>
    </row>
    <row r="429" ht="15.75" customHeight="1">
      <c r="A429" s="2" t="s">
        <v>2078</v>
      </c>
      <c r="B429" s="19" t="str">
        <f t="array" ref="B429">INDEX(Triagem!$N$2:$N451 , MATCH(A429,Triagem!$A$2:$A451,0))</f>
        <v>abrir</v>
      </c>
      <c r="C429" s="20">
        <f t="array" ref="C429">INDEX(Triagem!$B$2:$B451 , MATCH(A429,Triagem!$A$2:$A451,0))</f>
        <v>2026</v>
      </c>
      <c r="D429" s="2" t="s">
        <v>2080</v>
      </c>
      <c r="E429" s="2" t="s">
        <v>2081</v>
      </c>
      <c r="F429" s="2" t="str">
        <f t="array" ref="F429">IFERROR(INDEX(Triagem!$I$2:$I$451,MATCH($A429,Triagem!$A$2:$A$451,0))&amp;"","")</f>
        <v>Excluir</v>
      </c>
      <c r="G429" s="2" t="str">
        <f t="array" ref="G429">IFERROR(INDEX('Revisão_Gemini'!$H$7:$H$456,MATCH($A429,'Revisão_Gemini'!$A$7:$A$456,0))&amp;"","")</f>
        <v>Excluir</v>
      </c>
      <c r="H429" s="2" t="str">
        <f t="array" ref="H429">IFERROR(INDEX('Revisão_ChatGPT'!$H$7:$H$456,MATCH($A429,'Revisão_ChatGPT'!$A$7:$A$456,0))&amp;"","")</f>
        <v>Excluir</v>
      </c>
      <c r="I429" s="2" t="str">
        <f t="shared" si="1"/>
        <v>3/3</v>
      </c>
      <c r="J429" s="21"/>
      <c r="K429" s="21"/>
      <c r="L429" s="21"/>
      <c r="M429" s="22" t="b">
        <f t="shared" si="2"/>
        <v>1</v>
      </c>
      <c r="N429" s="21"/>
      <c r="O429" s="2" t="str">
        <f t="shared" si="3"/>
        <v>Excluir</v>
      </c>
      <c r="P429" s="2" t="str">
        <f t="array" ref="P429">IF(O429&lt;&gt;"Incluir","",IF(K429&lt;&gt;"",K429,IF(IFERROR(INDEX(Triagem!$J$2:$J$451,MATCH($A429,Triagem!$A$2:$A$451,0))&amp;"","")&lt;&gt;"",IFERROR(INDEX(Triagem!$J$2:$J$451,MATCH($A429,Triagem!$A$2:$A$451,0))&amp;"",""),IF(IFERROR(INDEX('Revisão_Gemini'!$I$7:$I$456,MATCH($A429,'Revisão_Gemini'!$A$7:$A$456,0))&amp;"","")&lt;&gt;"",IFERROR(INDEX('Revisão_Gemini'!$I$7:$I$456,MATCH($A429,'Revisão_Gemini'!$A$7:$A$456,0))&amp;"",""),IFERROR(INDEX('Revisão_ChatGPT'!$I$7:$I$456,MATCH($A429,'Revisão_ChatGPT'!$A$7:$A$456,0))&amp;"","")))))</f>
        <v/>
      </c>
      <c r="Q429" s="2" t="str">
        <f t="array" ref="Q429">IF(O429&lt;&gt;"Excluir","",IF(L429&lt;&gt;"",L429,IF(F429="Excluir",IFERROR(INDEX(Triagem!$K$2:$K$451,MATCH($A429,Triagem!$A$2:$A$451,0))&amp;"",""),IF(G429="Excluir",IFERROR(INDEX('Revisão_Gemini'!$J$7:$J$456,MATCH($A429,'Revisão_Gemini'!$A$7:$A$456,0))&amp;"",""),IFERROR(INDEX('Revisão_ChatGPT'!$J$7:$J$456,MATCH($A429,'Revisão_ChatGPT'!$A$7:$A$456,0))&amp;"","")))))</f>
        <v>E6</v>
      </c>
    </row>
    <row r="430" ht="15.75" customHeight="1">
      <c r="A430" s="2" t="s">
        <v>104</v>
      </c>
      <c r="B430" s="19" t="str">
        <f t="array" ref="B430">INDEX(Triagem!$N$2:$N451 , MATCH(A430,Triagem!$A$2:$A451,0))</f>
        <v>abrir</v>
      </c>
      <c r="C430" s="20">
        <f t="array" ref="C430">INDEX(Triagem!$B$2:$B451 , MATCH(A430,Triagem!$A$2:$A451,0))</f>
        <v>2026</v>
      </c>
      <c r="D430" s="2" t="s">
        <v>106</v>
      </c>
      <c r="E430" s="2" t="s">
        <v>107</v>
      </c>
      <c r="F430" s="2" t="str">
        <f t="array" ref="F430">IFERROR(INDEX(Triagem!$I$2:$I$451,MATCH($A430,Triagem!$A$2:$A$451,0))&amp;"","")</f>
        <v>Incluir</v>
      </c>
      <c r="G430" s="2" t="str">
        <f t="array" ref="G430">IFERROR(INDEX('Revisão_Gemini'!$H$7:$H$456,MATCH($A430,'Revisão_Gemini'!$A$7:$A$456,0))&amp;"","")</f>
        <v>Incluir</v>
      </c>
      <c r="H430" s="2" t="str">
        <f t="array" ref="H430">IFERROR(INDEX('Revisão_ChatGPT'!$H$7:$H$456,MATCH($A430,'Revisão_ChatGPT'!$A$7:$A$456,0))&amp;"","")</f>
        <v>Incluir</v>
      </c>
      <c r="I430" s="2" t="str">
        <f t="shared" si="1"/>
        <v>3/3</v>
      </c>
      <c r="J430" s="21"/>
      <c r="K430" s="21"/>
      <c r="L430" s="21"/>
      <c r="M430" s="22" t="b">
        <f t="shared" si="2"/>
        <v>1</v>
      </c>
      <c r="N430" s="21"/>
      <c r="O430" s="2" t="str">
        <f t="shared" si="3"/>
        <v>Incluir</v>
      </c>
      <c r="P430" s="2" t="str">
        <f t="array" ref="P430">IF(O430&lt;&gt;"Incluir","",IF(K430&lt;&gt;"",K430,IF(IFERROR(INDEX(Triagem!$J$2:$J$451,MATCH($A430,Triagem!$A$2:$A$451,0))&amp;"","")&lt;&gt;"",IFERROR(INDEX(Triagem!$J$2:$J$451,MATCH($A430,Triagem!$A$2:$A$451,0))&amp;"",""),IF(IFERROR(INDEX('Revisão_Gemini'!$I$7:$I$456,MATCH($A430,'Revisão_Gemini'!$A$7:$A$456,0))&amp;"","")&lt;&gt;"",IFERROR(INDEX('Revisão_Gemini'!$I$7:$I$456,MATCH($A430,'Revisão_Gemini'!$A$7:$A$456,0))&amp;"",""),IFERROR(INDEX('Revisão_ChatGPT'!$I$7:$I$456,MATCH($A430,'Revisão_ChatGPT'!$A$7:$A$456,0))&amp;"","")))))</f>
        <v>A</v>
      </c>
      <c r="Q430" s="2" t="str">
        <f t="array" ref="Q430">IF(O430&lt;&gt;"Excluir","",IF(L430&lt;&gt;"",L430,IF(F430="Excluir",IFERROR(INDEX(Triagem!$K$2:$K$451,MATCH($A430,Triagem!$A$2:$A$451,0))&amp;"",""),IF(G430="Excluir",IFERROR(INDEX('Revisão_Gemini'!$J$7:$J$456,MATCH($A430,'Revisão_Gemini'!$A$7:$A$456,0))&amp;"",""),IFERROR(INDEX('Revisão_ChatGPT'!$J$7:$J$456,MATCH($A430,'Revisão_ChatGPT'!$A$7:$A$456,0))&amp;"","")))))</f>
        <v/>
      </c>
    </row>
    <row r="431" ht="15.75" customHeight="1">
      <c r="A431" s="2" t="s">
        <v>1528</v>
      </c>
      <c r="B431" s="19" t="str">
        <f t="array" ref="B431">INDEX(Triagem!$N$2:$N451 , MATCH(A431,Triagem!$A$2:$A451,0))</f>
        <v>abrir</v>
      </c>
      <c r="C431" s="20">
        <f t="array" ref="C431">INDEX(Triagem!$B$2:$B451 , MATCH(A431,Triagem!$A$2:$A451,0))</f>
        <v>2026</v>
      </c>
      <c r="D431" s="2" t="s">
        <v>1530</v>
      </c>
      <c r="E431" s="2" t="s">
        <v>1531</v>
      </c>
      <c r="F431" s="2" t="str">
        <f t="array" ref="F431">IFERROR(INDEX(Triagem!$I$2:$I$451,MATCH($A431,Triagem!$A$2:$A$451,0))&amp;"","")</f>
        <v>Excluir</v>
      </c>
      <c r="G431" s="2" t="str">
        <f t="array" ref="G431">IFERROR(INDEX('Revisão_Gemini'!$H$7:$H$456,MATCH($A431,'Revisão_Gemini'!$A$7:$A$456,0))&amp;"","")</f>
        <v>Excluir</v>
      </c>
      <c r="H431" s="2" t="str">
        <f t="array" ref="H431">IFERROR(INDEX('Revisão_ChatGPT'!$H$7:$H$456,MATCH($A431,'Revisão_ChatGPT'!$A$7:$A$456,0))&amp;"","")</f>
        <v>Excluir</v>
      </c>
      <c r="I431" s="2" t="str">
        <f t="shared" si="1"/>
        <v>3/3</v>
      </c>
      <c r="J431" s="21"/>
      <c r="K431" s="21"/>
      <c r="L431" s="21"/>
      <c r="M431" s="22" t="b">
        <f t="shared" si="2"/>
        <v>1</v>
      </c>
      <c r="N431" s="21" t="s">
        <v>3422</v>
      </c>
      <c r="O431" s="2" t="str">
        <f t="shared" si="3"/>
        <v>Excluir</v>
      </c>
      <c r="P431" s="2" t="str">
        <f t="array" ref="P431">IF(O431&lt;&gt;"Incluir","",IF(K431&lt;&gt;"",K431,IF(IFERROR(INDEX(Triagem!$J$2:$J$451,MATCH($A431,Triagem!$A$2:$A$451,0))&amp;"","")&lt;&gt;"",IFERROR(INDEX(Triagem!$J$2:$J$451,MATCH($A431,Triagem!$A$2:$A$451,0))&amp;"",""),IF(IFERROR(INDEX('Revisão_Gemini'!$I$7:$I$456,MATCH($A431,'Revisão_Gemini'!$A$7:$A$456,0))&amp;"","")&lt;&gt;"",IFERROR(INDEX('Revisão_Gemini'!$I$7:$I$456,MATCH($A431,'Revisão_Gemini'!$A$7:$A$456,0))&amp;"",""),IFERROR(INDEX('Revisão_ChatGPT'!$I$7:$I$456,MATCH($A431,'Revisão_ChatGPT'!$A$7:$A$456,0))&amp;"","")))))</f>
        <v/>
      </c>
      <c r="Q431" s="2" t="str">
        <f t="array" ref="Q431">IF(O431&lt;&gt;"Excluir","",IF(L431&lt;&gt;"",L431,IF(F431="Excluir",IFERROR(INDEX(Triagem!$K$2:$K$451,MATCH($A431,Triagem!$A$2:$A$451,0))&amp;"",""),IF(G431="Excluir",IFERROR(INDEX('Revisão_Gemini'!$J$7:$J$456,MATCH($A431,'Revisão_Gemini'!$A$7:$A$456,0))&amp;"",""),IFERROR(INDEX('Revisão_ChatGPT'!$J$7:$J$456,MATCH($A431,'Revisão_ChatGPT'!$A$7:$A$456,0))&amp;"","")))))</f>
        <v>E3</v>
      </c>
    </row>
    <row r="432" ht="15.75" customHeight="1">
      <c r="A432" s="2" t="s">
        <v>109</v>
      </c>
      <c r="B432" s="19" t="str">
        <f t="array" ref="B432">INDEX(Triagem!$N$2:$N451 , MATCH(A432,Triagem!$A$2:$A451,0))</f>
        <v>abrir</v>
      </c>
      <c r="C432" s="20">
        <f t="array" ref="C432">INDEX(Triagem!$B$2:$B451 , MATCH(A432,Triagem!$A$2:$A451,0))</f>
        <v>2026</v>
      </c>
      <c r="D432" s="2" t="s">
        <v>111</v>
      </c>
      <c r="E432" s="2" t="s">
        <v>112</v>
      </c>
      <c r="F432" s="2" t="str">
        <f t="array" ref="F432">IFERROR(INDEX(Triagem!$I$2:$I$451,MATCH($A432,Triagem!$A$2:$A$451,0))&amp;"","")</f>
        <v>Incluir</v>
      </c>
      <c r="G432" s="2" t="str">
        <f t="array" ref="G432">IFERROR(INDEX('Revisão_Gemini'!$H$7:$H$456,MATCH($A432,'Revisão_Gemini'!$A$7:$A$456,0))&amp;"","")</f>
        <v>Incluir</v>
      </c>
      <c r="H432" s="2" t="str">
        <f t="array" ref="H432">IFERROR(INDEX('Revisão_ChatGPT'!$H$7:$H$456,MATCH($A432,'Revisão_ChatGPT'!$A$7:$A$456,0))&amp;"","")</f>
        <v>Excluir</v>
      </c>
      <c r="I432" s="2" t="str">
        <f t="shared" si="1"/>
        <v>2/3</v>
      </c>
      <c r="J432" s="24" t="s">
        <v>98</v>
      </c>
      <c r="K432" s="21"/>
      <c r="L432" s="21"/>
      <c r="M432" s="22" t="b">
        <f t="shared" si="2"/>
        <v>1</v>
      </c>
      <c r="N432" s="21" t="s">
        <v>3423</v>
      </c>
      <c r="O432" s="2" t="str">
        <f t="shared" si="3"/>
        <v>Incluir</v>
      </c>
      <c r="P432" s="2" t="str">
        <f t="array" ref="P432">IF(O432&lt;&gt;"Incluir","",IF(K432&lt;&gt;"",K432,IF(IFERROR(INDEX(Triagem!$J$2:$J$451,MATCH($A432,Triagem!$A$2:$A$451,0))&amp;"","")&lt;&gt;"",IFERROR(INDEX(Triagem!$J$2:$J$451,MATCH($A432,Triagem!$A$2:$A$451,0))&amp;"",""),IF(IFERROR(INDEX('Revisão_Gemini'!$I$7:$I$456,MATCH($A432,'Revisão_Gemini'!$A$7:$A$456,0))&amp;"","")&lt;&gt;"",IFERROR(INDEX('Revisão_Gemini'!$I$7:$I$456,MATCH($A432,'Revisão_Gemini'!$A$7:$A$456,0))&amp;"",""),IFERROR(INDEX('Revisão_ChatGPT'!$I$7:$I$456,MATCH($A432,'Revisão_ChatGPT'!$A$7:$A$456,0))&amp;"","")))))</f>
        <v>A</v>
      </c>
      <c r="Q432" s="2" t="str">
        <f t="array" ref="Q432">IF(O432&lt;&gt;"Excluir","",IF(L432&lt;&gt;"",L432,IF(F432="Excluir",IFERROR(INDEX(Triagem!$K$2:$K$451,MATCH($A432,Triagem!$A$2:$A$451,0))&amp;"",""),IF(G432="Excluir",IFERROR(INDEX('Revisão_Gemini'!$J$7:$J$456,MATCH($A432,'Revisão_Gemini'!$A$7:$A$456,0))&amp;"",""),IFERROR(INDEX('Revisão_ChatGPT'!$J$7:$J$456,MATCH($A432,'Revisão_ChatGPT'!$A$7:$A$456,0))&amp;"","")))))</f>
        <v/>
      </c>
    </row>
    <row r="433" ht="15.75" customHeight="1">
      <c r="A433" s="2" t="s">
        <v>1533</v>
      </c>
      <c r="B433" s="19" t="str">
        <f t="array" ref="B433">INDEX(Triagem!$N$2:$N451 , MATCH(A433,Triagem!$A$2:$A451,0))</f>
        <v>abrir</v>
      </c>
      <c r="C433" s="20">
        <f t="array" ref="C433">INDEX(Triagem!$B$2:$B451 , MATCH(A433,Triagem!$A$2:$A451,0))</f>
        <v>2026</v>
      </c>
      <c r="D433" s="2" t="s">
        <v>1535</v>
      </c>
      <c r="E433" s="2" t="s">
        <v>1536</v>
      </c>
      <c r="F433" s="2" t="str">
        <f t="array" ref="F433">IFERROR(INDEX(Triagem!$I$2:$I$451,MATCH($A433,Triagem!$A$2:$A$451,0))&amp;"","")</f>
        <v>Excluir</v>
      </c>
      <c r="G433" s="2" t="str">
        <f t="array" ref="G433">IFERROR(INDEX('Revisão_Gemini'!$H$7:$H$456,MATCH($A433,'Revisão_Gemini'!$A$7:$A$456,0))&amp;"","")</f>
        <v>Excluir</v>
      </c>
      <c r="H433" s="2" t="str">
        <f t="array" ref="H433">IFERROR(INDEX('Revisão_ChatGPT'!$H$7:$H$456,MATCH($A433,'Revisão_ChatGPT'!$A$7:$A$456,0))&amp;"","")</f>
        <v>Excluir</v>
      </c>
      <c r="I433" s="2" t="str">
        <f t="shared" si="1"/>
        <v>3/3</v>
      </c>
      <c r="J433" s="21"/>
      <c r="K433" s="21"/>
      <c r="L433" s="21"/>
      <c r="M433" s="22" t="b">
        <f t="shared" si="2"/>
        <v>1</v>
      </c>
      <c r="N433" s="21" t="s">
        <v>3424</v>
      </c>
      <c r="O433" s="2" t="str">
        <f t="shared" si="3"/>
        <v>Excluir</v>
      </c>
      <c r="P433" s="2" t="str">
        <f t="array" ref="P433">IF(O433&lt;&gt;"Incluir","",IF(K433&lt;&gt;"",K433,IF(IFERROR(INDEX(Triagem!$J$2:$J$451,MATCH($A433,Triagem!$A$2:$A$451,0))&amp;"","")&lt;&gt;"",IFERROR(INDEX(Triagem!$J$2:$J$451,MATCH($A433,Triagem!$A$2:$A$451,0))&amp;"",""),IF(IFERROR(INDEX('Revisão_Gemini'!$I$7:$I$456,MATCH($A433,'Revisão_Gemini'!$A$7:$A$456,0))&amp;"","")&lt;&gt;"",IFERROR(INDEX('Revisão_Gemini'!$I$7:$I$456,MATCH($A433,'Revisão_Gemini'!$A$7:$A$456,0))&amp;"",""),IFERROR(INDEX('Revisão_ChatGPT'!$I$7:$I$456,MATCH($A433,'Revisão_ChatGPT'!$A$7:$A$456,0))&amp;"","")))))</f>
        <v/>
      </c>
      <c r="Q433" s="2" t="str">
        <f t="array" ref="Q433">IF(O433&lt;&gt;"Excluir","",IF(L433&lt;&gt;"",L433,IF(F433="Excluir",IFERROR(INDEX(Triagem!$K$2:$K$451,MATCH($A433,Triagem!$A$2:$A$451,0))&amp;"",""),IF(G433="Excluir",IFERROR(INDEX('Revisão_Gemini'!$J$7:$J$456,MATCH($A433,'Revisão_Gemini'!$A$7:$A$456,0))&amp;"",""),IFERROR(INDEX('Revisão_ChatGPT'!$J$7:$J$456,MATCH($A433,'Revisão_ChatGPT'!$A$7:$A$456,0))&amp;"","")))))</f>
        <v>E3</v>
      </c>
    </row>
    <row r="434" ht="15.75" customHeight="1">
      <c r="A434" s="2" t="s">
        <v>1018</v>
      </c>
      <c r="B434" s="19" t="str">
        <f t="array" ref="B434">INDEX(Triagem!$N$2:$N451 , MATCH(A434,Triagem!$A$2:$A451,0))</f>
        <v>abrir</v>
      </c>
      <c r="C434" s="20">
        <f t="array" ref="C434">INDEX(Triagem!$B$2:$B451 , MATCH(A434,Triagem!$A$2:$A451,0))</f>
        <v>2026</v>
      </c>
      <c r="D434" s="2" t="s">
        <v>1020</v>
      </c>
      <c r="E434" s="2" t="s">
        <v>1021</v>
      </c>
      <c r="F434" s="2" t="str">
        <f t="array" ref="F434">IFERROR(INDEX(Triagem!$I$2:$I$451,MATCH($A434,Triagem!$A$2:$A$451,0))&amp;"","")</f>
        <v>Excluir</v>
      </c>
      <c r="G434" s="2" t="str">
        <f t="array" ref="G434">IFERROR(INDEX('Revisão_Gemini'!$H$7:$H$456,MATCH($A434,'Revisão_Gemini'!$A$7:$A$456,0))&amp;"","")</f>
        <v>Excluir</v>
      </c>
      <c r="H434" s="2" t="str">
        <f t="array" ref="H434">IFERROR(INDEX('Revisão_ChatGPT'!$H$7:$H$456,MATCH($A434,'Revisão_ChatGPT'!$A$7:$A$456,0))&amp;"","")</f>
        <v>Excluir</v>
      </c>
      <c r="I434" s="2" t="str">
        <f t="shared" si="1"/>
        <v>3/3</v>
      </c>
      <c r="J434" s="21"/>
      <c r="K434" s="21"/>
      <c r="L434" s="21"/>
      <c r="M434" s="22" t="b">
        <f t="shared" si="2"/>
        <v>1</v>
      </c>
      <c r="N434" s="21" t="s">
        <v>3425</v>
      </c>
      <c r="O434" s="2" t="str">
        <f t="shared" si="3"/>
        <v>Excluir</v>
      </c>
      <c r="P434" s="2" t="str">
        <f t="array" ref="P434">IF(O434&lt;&gt;"Incluir","",IF(K434&lt;&gt;"",K434,IF(IFERROR(INDEX(Triagem!$J$2:$J$451,MATCH($A434,Triagem!$A$2:$A$451,0))&amp;"","")&lt;&gt;"",IFERROR(INDEX(Triagem!$J$2:$J$451,MATCH($A434,Triagem!$A$2:$A$451,0))&amp;"",""),IF(IFERROR(INDEX('Revisão_Gemini'!$I$7:$I$456,MATCH($A434,'Revisão_Gemini'!$A$7:$A$456,0))&amp;"","")&lt;&gt;"",IFERROR(INDEX('Revisão_Gemini'!$I$7:$I$456,MATCH($A434,'Revisão_Gemini'!$A$7:$A$456,0))&amp;"",""),IFERROR(INDEX('Revisão_ChatGPT'!$I$7:$I$456,MATCH($A434,'Revisão_ChatGPT'!$A$7:$A$456,0))&amp;"","")))))</f>
        <v/>
      </c>
      <c r="Q434" s="2" t="str">
        <f t="array" ref="Q434">IF(O434&lt;&gt;"Excluir","",IF(L434&lt;&gt;"",L434,IF(F434="Excluir",IFERROR(INDEX(Triagem!$K$2:$K$451,MATCH($A434,Triagem!$A$2:$A$451,0))&amp;"",""),IF(G434="Excluir",IFERROR(INDEX('Revisão_Gemini'!$J$7:$J$456,MATCH($A434,'Revisão_Gemini'!$A$7:$A$456,0))&amp;"",""),IFERROR(INDEX('Revisão_ChatGPT'!$J$7:$J$456,MATCH($A434,'Revisão_ChatGPT'!$A$7:$A$456,0))&amp;"","")))))</f>
        <v>E2</v>
      </c>
    </row>
    <row r="435" ht="15.75" customHeight="1">
      <c r="A435" s="2" t="s">
        <v>1895</v>
      </c>
      <c r="B435" s="19" t="str">
        <f t="array" ref="B435">INDEX(Triagem!$N$2:$N451 , MATCH(A435,Triagem!$A$2:$A451,0))</f>
        <v>abrir</v>
      </c>
      <c r="C435" s="20">
        <f t="array" ref="C435">INDEX(Triagem!$B$2:$B451 , MATCH(A435,Triagem!$A$2:$A451,0))</f>
        <v>2026</v>
      </c>
      <c r="D435" s="2" t="s">
        <v>1897</v>
      </c>
      <c r="E435" s="2" t="s">
        <v>1898</v>
      </c>
      <c r="F435" s="2" t="str">
        <f t="array" ref="F435">IFERROR(INDEX(Triagem!$I$2:$I$451,MATCH($A435,Triagem!$A$2:$A$451,0))&amp;"","")</f>
        <v>Excluir</v>
      </c>
      <c r="G435" s="2" t="str">
        <f t="array" ref="G435">IFERROR(INDEX('Revisão_Gemini'!$H$7:$H$456,MATCH($A435,'Revisão_Gemini'!$A$7:$A$456,0))&amp;"","")</f>
        <v>Excluir</v>
      </c>
      <c r="H435" s="2" t="str">
        <f t="array" ref="H435">IFERROR(INDEX('Revisão_ChatGPT'!$H$7:$H$456,MATCH($A435,'Revisão_ChatGPT'!$A$7:$A$456,0))&amp;"","")</f>
        <v>Apoio</v>
      </c>
      <c r="I435" s="2" t="str">
        <f t="shared" si="1"/>
        <v>2/3</v>
      </c>
      <c r="J435" s="24" t="s">
        <v>906</v>
      </c>
      <c r="K435" s="21"/>
      <c r="L435" s="21"/>
      <c r="M435" s="22" t="b">
        <f t="shared" si="2"/>
        <v>1</v>
      </c>
      <c r="N435" s="21"/>
      <c r="O435" s="2" t="str">
        <f t="shared" si="3"/>
        <v>Excluir</v>
      </c>
      <c r="P435" s="2" t="str">
        <f t="array" ref="P435">IF(O435&lt;&gt;"Incluir","",IF(K435&lt;&gt;"",K435,IF(IFERROR(INDEX(Triagem!$J$2:$J$451,MATCH($A435,Triagem!$A$2:$A$451,0))&amp;"","")&lt;&gt;"",IFERROR(INDEX(Triagem!$J$2:$J$451,MATCH($A435,Triagem!$A$2:$A$451,0))&amp;"",""),IF(IFERROR(INDEX('Revisão_Gemini'!$I$7:$I$456,MATCH($A435,'Revisão_Gemini'!$A$7:$A$456,0))&amp;"","")&lt;&gt;"",IFERROR(INDEX('Revisão_Gemini'!$I$7:$I$456,MATCH($A435,'Revisão_Gemini'!$A$7:$A$456,0))&amp;"",""),IFERROR(INDEX('Revisão_ChatGPT'!$I$7:$I$456,MATCH($A435,'Revisão_ChatGPT'!$A$7:$A$456,0))&amp;"","")))))</f>
        <v/>
      </c>
      <c r="Q435" s="2" t="str">
        <f t="array" ref="Q435">IF(O435&lt;&gt;"Excluir","",IF(L435&lt;&gt;"",L435,IF(F435="Excluir",IFERROR(INDEX(Triagem!$K$2:$K$451,MATCH($A435,Triagem!$A$2:$A$451,0))&amp;"",""),IF(G435="Excluir",IFERROR(INDEX('Revisão_Gemini'!$J$7:$J$456,MATCH($A435,'Revisão_Gemini'!$A$7:$A$456,0))&amp;"",""),IFERROR(INDEX('Revisão_ChatGPT'!$J$7:$J$456,MATCH($A435,'Revisão_ChatGPT'!$A$7:$A$456,0))&amp;"","")))))</f>
        <v>E4</v>
      </c>
    </row>
    <row r="436" ht="15.75" customHeight="1">
      <c r="A436" s="2" t="s">
        <v>1949</v>
      </c>
      <c r="B436" s="19" t="str">
        <f t="array" ref="B436">INDEX(Triagem!$N$2:$N451 , MATCH(A436,Triagem!$A$2:$A451,0))</f>
        <v>abrir</v>
      </c>
      <c r="C436" s="20">
        <f t="array" ref="C436">INDEX(Triagem!$B$2:$B451 , MATCH(A436,Triagem!$A$2:$A451,0))</f>
        <v>2026</v>
      </c>
      <c r="D436" s="2" t="s">
        <v>1951</v>
      </c>
      <c r="E436" s="2" t="s">
        <v>1952</v>
      </c>
      <c r="F436" s="2" t="str">
        <f t="array" ref="F436">IFERROR(INDEX(Triagem!$I$2:$I$451,MATCH($A436,Triagem!$A$2:$A$451,0))&amp;"","")</f>
        <v>Excluir</v>
      </c>
      <c r="G436" s="2" t="str">
        <f t="array" ref="G436">IFERROR(INDEX('Revisão_Gemini'!$H$7:$H$456,MATCH($A436,'Revisão_Gemini'!$A$7:$A$456,0))&amp;"","")</f>
        <v>Excluir</v>
      </c>
      <c r="H436" s="2" t="str">
        <f t="array" ref="H436">IFERROR(INDEX('Revisão_ChatGPT'!$H$7:$H$456,MATCH($A436,'Revisão_ChatGPT'!$A$7:$A$456,0))&amp;"","")</f>
        <v>Excluir</v>
      </c>
      <c r="I436" s="2" t="str">
        <f t="shared" si="1"/>
        <v>3/3</v>
      </c>
      <c r="J436" s="21"/>
      <c r="K436" s="21"/>
      <c r="L436" s="21"/>
      <c r="M436" s="22" t="b">
        <f t="shared" si="2"/>
        <v>1</v>
      </c>
      <c r="N436" s="21" t="s">
        <v>3426</v>
      </c>
      <c r="O436" s="2" t="str">
        <f t="shared" si="3"/>
        <v>Excluir</v>
      </c>
      <c r="P436" s="2" t="str">
        <f t="array" ref="P436">IF(O436&lt;&gt;"Incluir","",IF(K436&lt;&gt;"",K436,IF(IFERROR(INDEX(Triagem!$J$2:$J$451,MATCH($A436,Triagem!$A$2:$A$451,0))&amp;"","")&lt;&gt;"",IFERROR(INDEX(Triagem!$J$2:$J$451,MATCH($A436,Triagem!$A$2:$A$451,0))&amp;"",""),IF(IFERROR(INDEX('Revisão_Gemini'!$I$7:$I$456,MATCH($A436,'Revisão_Gemini'!$A$7:$A$456,0))&amp;"","")&lt;&gt;"",IFERROR(INDEX('Revisão_Gemini'!$I$7:$I$456,MATCH($A436,'Revisão_Gemini'!$A$7:$A$456,0))&amp;"",""),IFERROR(INDEX('Revisão_ChatGPT'!$I$7:$I$456,MATCH($A436,'Revisão_ChatGPT'!$A$7:$A$456,0))&amp;"","")))))</f>
        <v/>
      </c>
      <c r="Q436" s="2" t="str">
        <f t="array" ref="Q436">IF(O436&lt;&gt;"Excluir","",IF(L436&lt;&gt;"",L436,IF(F436="Excluir",IFERROR(INDEX(Triagem!$K$2:$K$451,MATCH($A436,Triagem!$A$2:$A$451,0))&amp;"",""),IF(G436="Excluir",IFERROR(INDEX('Revisão_Gemini'!$J$7:$J$456,MATCH($A436,'Revisão_Gemini'!$A$7:$A$456,0))&amp;"",""),IFERROR(INDEX('Revisão_ChatGPT'!$J$7:$J$456,MATCH($A436,'Revisão_ChatGPT'!$A$7:$A$456,0))&amp;"","")))))</f>
        <v>E5</v>
      </c>
    </row>
    <row r="437" ht="15.75" customHeight="1">
      <c r="A437" s="2" t="s">
        <v>1955</v>
      </c>
      <c r="B437" s="19" t="str">
        <f t="array" ref="B437">INDEX(Triagem!$N$2:$N451 , MATCH(A437,Triagem!$A$2:$A451,0))</f>
        <v>abrir</v>
      </c>
      <c r="C437" s="20">
        <f t="array" ref="C437">INDEX(Triagem!$B$2:$B451 , MATCH(A437,Triagem!$A$2:$A451,0))</f>
        <v>2026</v>
      </c>
      <c r="D437" s="2" t="s">
        <v>1957</v>
      </c>
      <c r="E437" s="2" t="s">
        <v>1958</v>
      </c>
      <c r="F437" s="2" t="str">
        <f t="array" ref="F437">IFERROR(INDEX(Triagem!$I$2:$I$451,MATCH($A437,Triagem!$A$2:$A$451,0))&amp;"","")</f>
        <v>Excluir</v>
      </c>
      <c r="G437" s="2" t="str">
        <f t="array" ref="G437">IFERROR(INDEX('Revisão_Gemini'!$H$7:$H$456,MATCH($A437,'Revisão_Gemini'!$A$7:$A$456,0))&amp;"","")</f>
        <v>Apoio</v>
      </c>
      <c r="H437" s="2" t="str">
        <f t="array" ref="H437">IFERROR(INDEX('Revisão_ChatGPT'!$H$7:$H$456,MATCH($A437,'Revisão_ChatGPT'!$A$7:$A$456,0))&amp;"","")</f>
        <v>Apoio</v>
      </c>
      <c r="I437" s="2" t="str">
        <f t="shared" si="1"/>
        <v>2/3</v>
      </c>
      <c r="J437" s="21" t="s">
        <v>906</v>
      </c>
      <c r="K437" s="21"/>
      <c r="L437" s="21"/>
      <c r="M437" s="22" t="b">
        <f t="shared" si="2"/>
        <v>1</v>
      </c>
      <c r="N437" s="21" t="s">
        <v>3427</v>
      </c>
      <c r="O437" s="2" t="str">
        <f t="shared" si="3"/>
        <v>Excluir</v>
      </c>
      <c r="P437" s="2" t="str">
        <f t="array" ref="P437">IF(O437&lt;&gt;"Incluir","",IF(K437&lt;&gt;"",K437,IF(IFERROR(INDEX(Triagem!$J$2:$J$451,MATCH($A437,Triagem!$A$2:$A$451,0))&amp;"","")&lt;&gt;"",IFERROR(INDEX(Triagem!$J$2:$J$451,MATCH($A437,Triagem!$A$2:$A$451,0))&amp;"",""),IF(IFERROR(INDEX('Revisão_Gemini'!$I$7:$I$456,MATCH($A437,'Revisão_Gemini'!$A$7:$A$456,0))&amp;"","")&lt;&gt;"",IFERROR(INDEX('Revisão_Gemini'!$I$7:$I$456,MATCH($A437,'Revisão_Gemini'!$A$7:$A$456,0))&amp;"",""),IFERROR(INDEX('Revisão_ChatGPT'!$I$7:$I$456,MATCH($A437,'Revisão_ChatGPT'!$A$7:$A$456,0))&amp;"","")))))</f>
        <v/>
      </c>
      <c r="Q437" s="2" t="str">
        <f t="array" ref="Q437">IF(O437&lt;&gt;"Excluir","",IF(L437&lt;&gt;"",L437,IF(F437="Excluir",IFERROR(INDEX(Triagem!$K$2:$K$451,MATCH($A437,Triagem!$A$2:$A$451,0))&amp;"",""),IF(G437="Excluir",IFERROR(INDEX('Revisão_Gemini'!$J$7:$J$456,MATCH($A437,'Revisão_Gemini'!$A$7:$A$456,0))&amp;"",""),IFERROR(INDEX('Revisão_ChatGPT'!$J$7:$J$456,MATCH($A437,'Revisão_ChatGPT'!$A$7:$A$456,0))&amp;"","")))))</f>
        <v>E5</v>
      </c>
    </row>
    <row r="438" ht="15.75" customHeight="1">
      <c r="A438" s="2" t="s">
        <v>1538</v>
      </c>
      <c r="B438" s="19" t="str">
        <f t="array" ref="B438">INDEX(Triagem!$N$2:$N451 , MATCH(A438,Triagem!$A$2:$A451,0))</f>
        <v>abrir</v>
      </c>
      <c r="C438" s="20">
        <f t="array" ref="C438">INDEX(Triagem!$B$2:$B451 , MATCH(A438,Triagem!$A$2:$A451,0))</f>
        <v>2026</v>
      </c>
      <c r="D438" s="2" t="s">
        <v>1540</v>
      </c>
      <c r="E438" s="2" t="s">
        <v>1541</v>
      </c>
      <c r="F438" s="2" t="str">
        <f t="array" ref="F438">IFERROR(INDEX(Triagem!$I$2:$I$451,MATCH($A438,Triagem!$A$2:$A$451,0))&amp;"","")</f>
        <v>Excluir</v>
      </c>
      <c r="G438" s="2" t="str">
        <f t="array" ref="G438">IFERROR(INDEX('Revisão_Gemini'!$H$7:$H$456,MATCH($A438,'Revisão_Gemini'!$A$7:$A$456,0))&amp;"","")</f>
        <v>Excluir</v>
      </c>
      <c r="H438" s="2" t="str">
        <f t="array" ref="H438">IFERROR(INDEX('Revisão_ChatGPT'!$H$7:$H$456,MATCH($A438,'Revisão_ChatGPT'!$A$7:$A$456,0))&amp;"","")</f>
        <v>Excluir</v>
      </c>
      <c r="I438" s="2" t="str">
        <f t="shared" si="1"/>
        <v>3/3</v>
      </c>
      <c r="J438" s="21"/>
      <c r="K438" s="21"/>
      <c r="L438" s="21"/>
      <c r="M438" s="22" t="b">
        <f t="shared" si="2"/>
        <v>1</v>
      </c>
      <c r="N438" s="21" t="s">
        <v>3428</v>
      </c>
      <c r="O438" s="2" t="str">
        <f t="shared" si="3"/>
        <v>Excluir</v>
      </c>
      <c r="P438" s="2" t="str">
        <f t="array" ref="P438">IF(O438&lt;&gt;"Incluir","",IF(K438&lt;&gt;"",K438,IF(IFERROR(INDEX(Triagem!$J$2:$J$451,MATCH($A438,Triagem!$A$2:$A$451,0))&amp;"","")&lt;&gt;"",IFERROR(INDEX(Triagem!$J$2:$J$451,MATCH($A438,Triagem!$A$2:$A$451,0))&amp;"",""),IF(IFERROR(INDEX('Revisão_Gemini'!$I$7:$I$456,MATCH($A438,'Revisão_Gemini'!$A$7:$A$456,0))&amp;"","")&lt;&gt;"",IFERROR(INDEX('Revisão_Gemini'!$I$7:$I$456,MATCH($A438,'Revisão_Gemini'!$A$7:$A$456,0))&amp;"",""),IFERROR(INDEX('Revisão_ChatGPT'!$I$7:$I$456,MATCH($A438,'Revisão_ChatGPT'!$A$7:$A$456,0))&amp;"","")))))</f>
        <v/>
      </c>
      <c r="Q438" s="2" t="str">
        <f t="array" ref="Q438">IF(O438&lt;&gt;"Excluir","",IF(L438&lt;&gt;"",L438,IF(F438="Excluir",IFERROR(INDEX(Triagem!$K$2:$K$451,MATCH($A438,Triagem!$A$2:$A$451,0))&amp;"",""),IF(G438="Excluir",IFERROR(INDEX('Revisão_Gemini'!$J$7:$J$456,MATCH($A438,'Revisão_Gemini'!$A$7:$A$456,0))&amp;"",""),IFERROR(INDEX('Revisão_ChatGPT'!$J$7:$J$456,MATCH($A438,'Revisão_ChatGPT'!$A$7:$A$456,0))&amp;"","")))))</f>
        <v>E3</v>
      </c>
    </row>
    <row r="439" ht="15.75" customHeight="1">
      <c r="A439" s="2" t="s">
        <v>1543</v>
      </c>
      <c r="B439" s="19" t="str">
        <f t="array" ref="B439">INDEX(Triagem!$N$2:$N451 , MATCH(A439,Triagem!$A$2:$A451,0))</f>
        <v>abrir</v>
      </c>
      <c r="C439" s="20">
        <f t="array" ref="C439">INDEX(Triagem!$B$2:$B451 , MATCH(A439,Triagem!$A$2:$A451,0))</f>
        <v>2026</v>
      </c>
      <c r="D439" s="2" t="s">
        <v>1545</v>
      </c>
      <c r="E439" s="2" t="s">
        <v>1546</v>
      </c>
      <c r="F439" s="2" t="str">
        <f t="array" ref="F439">IFERROR(INDEX(Triagem!$I$2:$I$451,MATCH($A439,Triagem!$A$2:$A$451,0))&amp;"","")</f>
        <v>Excluir</v>
      </c>
      <c r="G439" s="2" t="str">
        <f t="array" ref="G439">IFERROR(INDEX('Revisão_Gemini'!$H$7:$H$456,MATCH($A439,'Revisão_Gemini'!$A$7:$A$456,0))&amp;"","")</f>
        <v>Excluir</v>
      </c>
      <c r="H439" s="2" t="str">
        <f t="array" ref="H439">IFERROR(INDEX('Revisão_ChatGPT'!$H$7:$H$456,MATCH($A439,'Revisão_ChatGPT'!$A$7:$A$456,0))&amp;"","")</f>
        <v>Excluir</v>
      </c>
      <c r="I439" s="2" t="str">
        <f t="shared" si="1"/>
        <v>3/3</v>
      </c>
      <c r="J439" s="21"/>
      <c r="K439" s="21"/>
      <c r="L439" s="21"/>
      <c r="M439" s="22" t="b">
        <f t="shared" si="2"/>
        <v>1</v>
      </c>
      <c r="N439" s="21" t="s">
        <v>3429</v>
      </c>
      <c r="O439" s="2" t="str">
        <f t="shared" si="3"/>
        <v>Excluir</v>
      </c>
      <c r="P439" s="2" t="str">
        <f t="array" ref="P439">IF(O439&lt;&gt;"Incluir","",IF(K439&lt;&gt;"",K439,IF(IFERROR(INDEX(Triagem!$J$2:$J$451,MATCH($A439,Triagem!$A$2:$A$451,0))&amp;"","")&lt;&gt;"",IFERROR(INDEX(Triagem!$J$2:$J$451,MATCH($A439,Triagem!$A$2:$A$451,0))&amp;"",""),IF(IFERROR(INDEX('Revisão_Gemini'!$I$7:$I$456,MATCH($A439,'Revisão_Gemini'!$A$7:$A$456,0))&amp;"","")&lt;&gt;"",IFERROR(INDEX('Revisão_Gemini'!$I$7:$I$456,MATCH($A439,'Revisão_Gemini'!$A$7:$A$456,0))&amp;"",""),IFERROR(INDEX('Revisão_ChatGPT'!$I$7:$I$456,MATCH($A439,'Revisão_ChatGPT'!$A$7:$A$456,0))&amp;"","")))))</f>
        <v/>
      </c>
      <c r="Q439" s="2" t="str">
        <f t="array" ref="Q439">IF(O439&lt;&gt;"Excluir","",IF(L439&lt;&gt;"",L439,IF(F439="Excluir",IFERROR(INDEX(Triagem!$K$2:$K$451,MATCH($A439,Triagem!$A$2:$A$451,0))&amp;"",""),IF(G439="Excluir",IFERROR(INDEX('Revisão_Gemini'!$J$7:$J$456,MATCH($A439,'Revisão_Gemini'!$A$7:$A$456,0))&amp;"",""),IFERROR(INDEX('Revisão_ChatGPT'!$J$7:$J$456,MATCH($A439,'Revisão_ChatGPT'!$A$7:$A$456,0))&amp;"","")))))</f>
        <v>E3</v>
      </c>
    </row>
    <row r="440" ht="15.75" customHeight="1">
      <c r="A440" s="2" t="s">
        <v>1548</v>
      </c>
      <c r="B440" s="19" t="str">
        <f t="array" ref="B440">INDEX(Triagem!$N$2:$N451 , MATCH(A440,Triagem!$A$2:$A451,0))</f>
        <v>abrir</v>
      </c>
      <c r="C440" s="20">
        <f t="array" ref="C440">INDEX(Triagem!$B$2:$B451 , MATCH(A440,Triagem!$A$2:$A451,0))</f>
        <v>2026</v>
      </c>
      <c r="D440" s="2" t="s">
        <v>1550</v>
      </c>
      <c r="E440" s="2" t="s">
        <v>1551</v>
      </c>
      <c r="F440" s="2" t="str">
        <f t="array" ref="F440">IFERROR(INDEX(Triagem!$I$2:$I$451,MATCH($A440,Triagem!$A$2:$A$451,0))&amp;"","")</f>
        <v>Excluir</v>
      </c>
      <c r="G440" s="2" t="str">
        <f t="array" ref="G440">IFERROR(INDEX('Revisão_Gemini'!$H$7:$H$456,MATCH($A440,'Revisão_Gemini'!$A$7:$A$456,0))&amp;"","")</f>
        <v>Excluir</v>
      </c>
      <c r="H440" s="2" t="str">
        <f t="array" ref="H440">IFERROR(INDEX('Revisão_ChatGPT'!$H$7:$H$456,MATCH($A440,'Revisão_ChatGPT'!$A$7:$A$456,0))&amp;"","")</f>
        <v>Excluir</v>
      </c>
      <c r="I440" s="2" t="str">
        <f t="shared" si="1"/>
        <v>3/3</v>
      </c>
      <c r="J440" s="21"/>
      <c r="K440" s="21"/>
      <c r="L440" s="21"/>
      <c r="M440" s="22" t="b">
        <f t="shared" si="2"/>
        <v>1</v>
      </c>
      <c r="N440" s="21" t="s">
        <v>3430</v>
      </c>
      <c r="O440" s="2" t="str">
        <f t="shared" si="3"/>
        <v>Excluir</v>
      </c>
      <c r="P440" s="2" t="str">
        <f t="array" ref="P440">IF(O440&lt;&gt;"Incluir","",IF(K440&lt;&gt;"",K440,IF(IFERROR(INDEX(Triagem!$J$2:$J$451,MATCH($A440,Triagem!$A$2:$A$451,0))&amp;"","")&lt;&gt;"",IFERROR(INDEX(Triagem!$J$2:$J$451,MATCH($A440,Triagem!$A$2:$A$451,0))&amp;"",""),IF(IFERROR(INDEX('Revisão_Gemini'!$I$7:$I$456,MATCH($A440,'Revisão_Gemini'!$A$7:$A$456,0))&amp;"","")&lt;&gt;"",IFERROR(INDEX('Revisão_Gemini'!$I$7:$I$456,MATCH($A440,'Revisão_Gemini'!$A$7:$A$456,0))&amp;"",""),IFERROR(INDEX('Revisão_ChatGPT'!$I$7:$I$456,MATCH($A440,'Revisão_ChatGPT'!$A$7:$A$456,0))&amp;"","")))))</f>
        <v/>
      </c>
      <c r="Q440" s="2" t="str">
        <f t="array" ref="Q440">IF(O440&lt;&gt;"Excluir","",IF(L440&lt;&gt;"",L440,IF(F440="Excluir",IFERROR(INDEX(Triagem!$K$2:$K$451,MATCH($A440,Triagem!$A$2:$A$451,0))&amp;"",""),IF(G440="Excluir",IFERROR(INDEX('Revisão_Gemini'!$J$7:$J$456,MATCH($A440,'Revisão_Gemini'!$A$7:$A$456,0))&amp;"",""),IFERROR(INDEX('Revisão_ChatGPT'!$J$7:$J$456,MATCH($A440,'Revisão_ChatGPT'!$A$7:$A$456,0))&amp;"","")))))</f>
        <v>E3</v>
      </c>
    </row>
    <row r="441" ht="15.75" customHeight="1">
      <c r="A441" s="2" t="s">
        <v>115</v>
      </c>
      <c r="B441" s="19" t="str">
        <f t="array" ref="B441">INDEX(Triagem!$N$2:$N451 , MATCH(A441,Triagem!$A$2:$A451,0))</f>
        <v>abrir</v>
      </c>
      <c r="C441" s="20">
        <f t="array" ref="C441">INDEX(Triagem!$B$2:$B451 , MATCH(A441,Triagem!$A$2:$A451,0))</f>
        <v>2026</v>
      </c>
      <c r="D441" s="2" t="s">
        <v>117</v>
      </c>
      <c r="E441" s="2" t="s">
        <v>118</v>
      </c>
      <c r="F441" s="2" t="str">
        <f t="array" ref="F441">IFERROR(INDEX(Triagem!$I$2:$I$451,MATCH($A441,Triagem!$A$2:$A$451,0))&amp;"","")</f>
        <v>Incluir</v>
      </c>
      <c r="G441" s="2" t="str">
        <f t="array" ref="G441">IFERROR(INDEX('Revisão_Gemini'!$H$7:$H$456,MATCH($A441,'Revisão_Gemini'!$A$7:$A$456,0))&amp;"","")</f>
        <v>Incluir</v>
      </c>
      <c r="H441" s="2" t="str">
        <f t="array" ref="H441">IFERROR(INDEX('Revisão_ChatGPT'!$H$7:$H$456,MATCH($A441,'Revisão_ChatGPT'!$A$7:$A$456,0))&amp;"","")</f>
        <v>Incluir</v>
      </c>
      <c r="I441" s="2" t="str">
        <f t="shared" si="1"/>
        <v>3/3</v>
      </c>
      <c r="J441" s="21"/>
      <c r="K441" s="21"/>
      <c r="L441" s="21"/>
      <c r="M441" s="22" t="b">
        <f t="shared" si="2"/>
        <v>1</v>
      </c>
      <c r="N441" s="21" t="s">
        <v>3431</v>
      </c>
      <c r="O441" s="2" t="str">
        <f t="shared" si="3"/>
        <v>Incluir</v>
      </c>
      <c r="P441" s="2" t="str">
        <f t="array" ref="P441">IF(O441&lt;&gt;"Incluir","",IF(K441&lt;&gt;"",K441,IF(IFERROR(INDEX(Triagem!$J$2:$J$451,MATCH($A441,Triagem!$A$2:$A$451,0))&amp;"","")&lt;&gt;"",IFERROR(INDEX(Triagem!$J$2:$J$451,MATCH($A441,Triagem!$A$2:$A$451,0))&amp;"",""),IF(IFERROR(INDEX('Revisão_Gemini'!$I$7:$I$456,MATCH($A441,'Revisão_Gemini'!$A$7:$A$456,0))&amp;"","")&lt;&gt;"",IFERROR(INDEX('Revisão_Gemini'!$I$7:$I$456,MATCH($A441,'Revisão_Gemini'!$A$7:$A$456,0))&amp;"",""),IFERROR(INDEX('Revisão_ChatGPT'!$I$7:$I$456,MATCH($A441,'Revisão_ChatGPT'!$A$7:$A$456,0))&amp;"","")))))</f>
        <v>A</v>
      </c>
      <c r="Q441" s="2" t="str">
        <f t="array" ref="Q441">IF(O441&lt;&gt;"Excluir","",IF(L441&lt;&gt;"",L441,IF(F441="Excluir",IFERROR(INDEX(Triagem!$K$2:$K$451,MATCH($A441,Triagem!$A$2:$A$451,0))&amp;"",""),IF(G441="Excluir",IFERROR(INDEX('Revisão_Gemini'!$J$7:$J$456,MATCH($A441,'Revisão_Gemini'!$A$7:$A$456,0))&amp;"",""),IFERROR(INDEX('Revisão_ChatGPT'!$J$7:$J$456,MATCH($A441,'Revisão_ChatGPT'!$A$7:$A$456,0))&amp;"","")))))</f>
        <v/>
      </c>
    </row>
    <row r="442" ht="15.75" customHeight="1">
      <c r="A442" s="2" t="s">
        <v>120</v>
      </c>
      <c r="B442" s="19" t="str">
        <f t="array" ref="B442">INDEX(Triagem!$N$2:$N451 , MATCH(A442,Triagem!$A$2:$A451,0))</f>
        <v>abrir</v>
      </c>
      <c r="C442" s="20">
        <f t="array" ref="C442">INDEX(Triagem!$B$2:$B451 , MATCH(A442,Triagem!$A$2:$A451,0))</f>
        <v>2026</v>
      </c>
      <c r="D442" s="2" t="s">
        <v>122</v>
      </c>
      <c r="E442" s="2" t="s">
        <v>123</v>
      </c>
      <c r="F442" s="2" t="str">
        <f t="array" ref="F442">IFERROR(INDEX(Triagem!$I$2:$I$451,MATCH($A442,Triagem!$A$2:$A$451,0))&amp;"","")</f>
        <v>Incluir</v>
      </c>
      <c r="G442" s="2" t="str">
        <f t="array" ref="G442">IFERROR(INDEX('Revisão_Gemini'!$H$7:$H$456,MATCH($A442,'Revisão_Gemini'!$A$7:$A$456,0))&amp;"","")</f>
        <v>Incluir</v>
      </c>
      <c r="H442" s="2" t="str">
        <f t="array" ref="H442">IFERROR(INDEX('Revisão_ChatGPT'!$H$7:$H$456,MATCH($A442,'Revisão_ChatGPT'!$A$7:$A$456,0))&amp;"","")</f>
        <v>Incluir</v>
      </c>
      <c r="I442" s="2" t="str">
        <f t="shared" si="1"/>
        <v>3/3</v>
      </c>
      <c r="J442" s="21"/>
      <c r="K442" s="21"/>
      <c r="L442" s="21"/>
      <c r="M442" s="22" t="b">
        <f t="shared" si="2"/>
        <v>1</v>
      </c>
      <c r="N442" s="21" t="s">
        <v>3432</v>
      </c>
      <c r="O442" s="2" t="str">
        <f t="shared" si="3"/>
        <v>Incluir</v>
      </c>
      <c r="P442" s="2" t="str">
        <f t="array" ref="P442">IF(O442&lt;&gt;"Incluir","",IF(K442&lt;&gt;"",K442,IF(IFERROR(INDEX(Triagem!$J$2:$J$451,MATCH($A442,Triagem!$A$2:$A$451,0))&amp;"","")&lt;&gt;"",IFERROR(INDEX(Triagem!$J$2:$J$451,MATCH($A442,Triagem!$A$2:$A$451,0))&amp;"",""),IF(IFERROR(INDEX('Revisão_Gemini'!$I$7:$I$456,MATCH($A442,'Revisão_Gemini'!$A$7:$A$456,0))&amp;"","")&lt;&gt;"",IFERROR(INDEX('Revisão_Gemini'!$I$7:$I$456,MATCH($A442,'Revisão_Gemini'!$A$7:$A$456,0))&amp;"",""),IFERROR(INDEX('Revisão_ChatGPT'!$I$7:$I$456,MATCH($A442,'Revisão_ChatGPT'!$A$7:$A$456,0))&amp;"","")))))</f>
        <v>A</v>
      </c>
      <c r="Q442" s="2" t="str">
        <f t="array" ref="Q442">IF(O442&lt;&gt;"Excluir","",IF(L442&lt;&gt;"",L442,IF(F442="Excluir",IFERROR(INDEX(Triagem!$K$2:$K$451,MATCH($A442,Triagem!$A$2:$A$451,0))&amp;"",""),IF(G442="Excluir",IFERROR(INDEX('Revisão_Gemini'!$J$7:$J$456,MATCH($A442,'Revisão_Gemini'!$A$7:$A$456,0))&amp;"",""),IFERROR(INDEX('Revisão_ChatGPT'!$J$7:$J$456,MATCH($A442,'Revisão_ChatGPT'!$A$7:$A$456,0))&amp;"","")))))</f>
        <v/>
      </c>
    </row>
    <row r="443" ht="15.75" customHeight="1">
      <c r="A443" s="2" t="s">
        <v>1553</v>
      </c>
      <c r="B443" s="19" t="str">
        <f t="array" ref="B443">INDEX(Triagem!$N$2:$N451 , MATCH(A443,Triagem!$A$2:$A451,0))</f>
        <v>abrir</v>
      </c>
      <c r="C443" s="20">
        <f t="array" ref="C443">INDEX(Triagem!$B$2:$B451 , MATCH(A443,Triagem!$A$2:$A451,0))</f>
        <v>2026</v>
      </c>
      <c r="D443" s="2" t="s">
        <v>1555</v>
      </c>
      <c r="E443" s="2" t="s">
        <v>1556</v>
      </c>
      <c r="F443" s="2" t="str">
        <f t="array" ref="F443">IFERROR(INDEX(Triagem!$I$2:$I$451,MATCH($A443,Triagem!$A$2:$A$451,0))&amp;"","")</f>
        <v>Excluir</v>
      </c>
      <c r="G443" s="2" t="str">
        <f t="array" ref="G443">IFERROR(INDEX('Revisão_Gemini'!$H$7:$H$456,MATCH($A443,'Revisão_Gemini'!$A$7:$A$456,0))&amp;"","")</f>
        <v>Excluir</v>
      </c>
      <c r="H443" s="2" t="str">
        <f t="array" ref="H443">IFERROR(INDEX('Revisão_ChatGPT'!$H$7:$H$456,MATCH($A443,'Revisão_ChatGPT'!$A$7:$A$456,0))&amp;"","")</f>
        <v>Excluir</v>
      </c>
      <c r="I443" s="2" t="str">
        <f t="shared" si="1"/>
        <v>3/3</v>
      </c>
      <c r="J443" s="21"/>
      <c r="K443" s="21"/>
      <c r="L443" s="21"/>
      <c r="M443" s="22" t="b">
        <f t="shared" si="2"/>
        <v>1</v>
      </c>
      <c r="N443" s="21" t="s">
        <v>3433</v>
      </c>
      <c r="O443" s="2" t="str">
        <f t="shared" si="3"/>
        <v>Excluir</v>
      </c>
      <c r="P443" s="2" t="str">
        <f t="array" ref="P443">IF(O443&lt;&gt;"Incluir","",IF(K443&lt;&gt;"",K443,IF(IFERROR(INDEX(Triagem!$J$2:$J$451,MATCH($A443,Triagem!$A$2:$A$451,0))&amp;"","")&lt;&gt;"",IFERROR(INDEX(Triagem!$J$2:$J$451,MATCH($A443,Triagem!$A$2:$A$451,0))&amp;"",""),IF(IFERROR(INDEX('Revisão_Gemini'!$I$7:$I$456,MATCH($A443,'Revisão_Gemini'!$A$7:$A$456,0))&amp;"","")&lt;&gt;"",IFERROR(INDEX('Revisão_Gemini'!$I$7:$I$456,MATCH($A443,'Revisão_Gemini'!$A$7:$A$456,0))&amp;"",""),IFERROR(INDEX('Revisão_ChatGPT'!$I$7:$I$456,MATCH($A443,'Revisão_ChatGPT'!$A$7:$A$456,0))&amp;"","")))))</f>
        <v/>
      </c>
      <c r="Q443" s="2" t="str">
        <f t="array" ref="Q443">IF(O443&lt;&gt;"Excluir","",IF(L443&lt;&gt;"",L443,IF(F443="Excluir",IFERROR(INDEX(Triagem!$K$2:$K$451,MATCH($A443,Triagem!$A$2:$A$451,0))&amp;"",""),IF(G443="Excluir",IFERROR(INDEX('Revisão_Gemini'!$J$7:$J$456,MATCH($A443,'Revisão_Gemini'!$A$7:$A$456,0))&amp;"",""),IFERROR(INDEX('Revisão_ChatGPT'!$J$7:$J$456,MATCH($A443,'Revisão_ChatGPT'!$A$7:$A$456,0))&amp;"","")))))</f>
        <v>E3</v>
      </c>
    </row>
    <row r="444" ht="15.75" customHeight="1">
      <c r="A444" s="2" t="s">
        <v>1557</v>
      </c>
      <c r="B444" s="19" t="str">
        <f t="array" ref="B444">INDEX(Triagem!$N$2:$N451 , MATCH(A444,Triagem!$A$2:$A451,0))</f>
        <v>abrir</v>
      </c>
      <c r="C444" s="20">
        <f t="array" ref="C444">INDEX(Triagem!$B$2:$B451 , MATCH(A444,Triagem!$A$2:$A451,0))</f>
        <v>2026</v>
      </c>
      <c r="D444" s="2" t="s">
        <v>1559</v>
      </c>
      <c r="E444" s="2" t="s">
        <v>1560</v>
      </c>
      <c r="F444" s="2" t="str">
        <f t="array" ref="F444">IFERROR(INDEX(Triagem!$I$2:$I$451,MATCH($A444,Triagem!$A$2:$A$451,0))&amp;"","")</f>
        <v>Excluir</v>
      </c>
      <c r="G444" s="2" t="str">
        <f t="array" ref="G444">IFERROR(INDEX('Revisão_Gemini'!$H$7:$H$456,MATCH($A444,'Revisão_Gemini'!$A$7:$A$456,0))&amp;"","")</f>
        <v>Excluir</v>
      </c>
      <c r="H444" s="2" t="str">
        <f t="array" ref="H444">IFERROR(INDEX('Revisão_ChatGPT'!$H$7:$H$456,MATCH($A444,'Revisão_ChatGPT'!$A$7:$A$456,0))&amp;"","")</f>
        <v>Excluir</v>
      </c>
      <c r="I444" s="2" t="str">
        <f t="shared" si="1"/>
        <v>3/3</v>
      </c>
      <c r="J444" s="21"/>
      <c r="K444" s="21"/>
      <c r="L444" s="21"/>
      <c r="M444" s="22" t="b">
        <f t="shared" si="2"/>
        <v>1</v>
      </c>
      <c r="N444" s="21" t="s">
        <v>3434</v>
      </c>
      <c r="O444" s="2" t="str">
        <f t="shared" si="3"/>
        <v>Excluir</v>
      </c>
      <c r="P444" s="2" t="str">
        <f t="array" ref="P444">IF(O444&lt;&gt;"Incluir","",IF(K444&lt;&gt;"",K444,IF(IFERROR(INDEX(Triagem!$J$2:$J$451,MATCH($A444,Triagem!$A$2:$A$451,0))&amp;"","")&lt;&gt;"",IFERROR(INDEX(Triagem!$J$2:$J$451,MATCH($A444,Triagem!$A$2:$A$451,0))&amp;"",""),IF(IFERROR(INDEX('Revisão_Gemini'!$I$7:$I$456,MATCH($A444,'Revisão_Gemini'!$A$7:$A$456,0))&amp;"","")&lt;&gt;"",IFERROR(INDEX('Revisão_Gemini'!$I$7:$I$456,MATCH($A444,'Revisão_Gemini'!$A$7:$A$456,0))&amp;"",""),IFERROR(INDEX('Revisão_ChatGPT'!$I$7:$I$456,MATCH($A444,'Revisão_ChatGPT'!$A$7:$A$456,0))&amp;"","")))))</f>
        <v/>
      </c>
      <c r="Q444" s="2" t="str">
        <f t="array" ref="Q444">IF(O444&lt;&gt;"Excluir","",IF(L444&lt;&gt;"",L444,IF(F444="Excluir",IFERROR(INDEX(Triagem!$K$2:$K$451,MATCH($A444,Triagem!$A$2:$A$451,0))&amp;"",""),IF(G444="Excluir",IFERROR(INDEX('Revisão_Gemini'!$J$7:$J$456,MATCH($A444,'Revisão_Gemini'!$A$7:$A$456,0))&amp;"",""),IFERROR(INDEX('Revisão_ChatGPT'!$J$7:$J$456,MATCH($A444,'Revisão_ChatGPT'!$A$7:$A$456,0))&amp;"","")))))</f>
        <v>E3</v>
      </c>
    </row>
    <row r="445" ht="15.75" customHeight="1">
      <c r="A445" s="2" t="s">
        <v>128</v>
      </c>
      <c r="B445" s="19" t="str">
        <f t="array" ref="B445">INDEX(Triagem!$N$2:$N451 , MATCH(A445,Triagem!$A$2:$A451,0))</f>
        <v>abrir</v>
      </c>
      <c r="C445" s="20">
        <f t="array" ref="C445">INDEX(Triagem!$B$2:$B451 , MATCH(A445,Triagem!$A$2:$A451,0))</f>
        <v>2026</v>
      </c>
      <c r="D445" s="2" t="s">
        <v>130</v>
      </c>
      <c r="E445" s="2" t="s">
        <v>131</v>
      </c>
      <c r="F445" s="2" t="str">
        <f t="array" ref="F445">IFERROR(INDEX(Triagem!$I$2:$I$451,MATCH($A445,Triagem!$A$2:$A$451,0))&amp;"","")</f>
        <v>Incluir</v>
      </c>
      <c r="G445" s="2" t="str">
        <f t="array" ref="G445">IFERROR(INDEX('Revisão_Gemini'!$H$7:$H$456,MATCH($A445,'Revisão_Gemini'!$A$7:$A$456,0))&amp;"","")</f>
        <v>Incluir</v>
      </c>
      <c r="H445" s="2" t="str">
        <f t="array" ref="H445">IFERROR(INDEX('Revisão_ChatGPT'!$H$7:$H$456,MATCH($A445,'Revisão_ChatGPT'!$A$7:$A$456,0))&amp;"","")</f>
        <v>Incluir</v>
      </c>
      <c r="I445" s="2" t="str">
        <f t="shared" si="1"/>
        <v>3/3</v>
      </c>
      <c r="J445" s="21"/>
      <c r="K445" s="21"/>
      <c r="L445" s="21"/>
      <c r="M445" s="22" t="b">
        <f t="shared" si="2"/>
        <v>1</v>
      </c>
      <c r="N445" s="21" t="s">
        <v>3435</v>
      </c>
      <c r="O445" s="2" t="str">
        <f t="shared" si="3"/>
        <v>Incluir</v>
      </c>
      <c r="P445" s="2" t="str">
        <f t="array" ref="P445">IF(O445&lt;&gt;"Incluir","",IF(K445&lt;&gt;"",K445,IF(IFERROR(INDEX(Triagem!$J$2:$J$451,MATCH($A445,Triagem!$A$2:$A$451,0))&amp;"","")&lt;&gt;"",IFERROR(INDEX(Triagem!$J$2:$J$451,MATCH($A445,Triagem!$A$2:$A$451,0))&amp;"",""),IF(IFERROR(INDEX('Revisão_Gemini'!$I$7:$I$456,MATCH($A445,'Revisão_Gemini'!$A$7:$A$456,0))&amp;"","")&lt;&gt;"",IFERROR(INDEX('Revisão_Gemini'!$I$7:$I$456,MATCH($A445,'Revisão_Gemini'!$A$7:$A$456,0))&amp;"",""),IFERROR(INDEX('Revisão_ChatGPT'!$I$7:$I$456,MATCH($A445,'Revisão_ChatGPT'!$A$7:$A$456,0))&amp;"","")))))</f>
        <v>A</v>
      </c>
      <c r="Q445" s="2" t="str">
        <f t="array" ref="Q445">IF(O445&lt;&gt;"Excluir","",IF(L445&lt;&gt;"",L445,IF(F445="Excluir",IFERROR(INDEX(Triagem!$K$2:$K$451,MATCH($A445,Triagem!$A$2:$A$451,0))&amp;"",""),IF(G445="Excluir",IFERROR(INDEX('Revisão_Gemini'!$J$7:$J$456,MATCH($A445,'Revisão_Gemini'!$A$7:$A$456,0))&amp;"",""),IFERROR(INDEX('Revisão_ChatGPT'!$J$7:$J$456,MATCH($A445,'Revisão_ChatGPT'!$A$7:$A$456,0))&amp;"","")))))</f>
        <v/>
      </c>
    </row>
    <row r="446" ht="15.75" customHeight="1">
      <c r="A446" s="2" t="s">
        <v>1960</v>
      </c>
      <c r="B446" s="19" t="str">
        <f t="array" ref="B446">INDEX(Triagem!$N$2:$N451 , MATCH(A446,Triagem!$A$2:$A451,0))</f>
        <v>abrir</v>
      </c>
      <c r="C446" s="20">
        <f t="array" ref="C446">INDEX(Triagem!$B$2:$B451 , MATCH(A446,Triagem!$A$2:$A451,0))</f>
        <v>2026</v>
      </c>
      <c r="D446" s="2" t="s">
        <v>1962</v>
      </c>
      <c r="E446" s="2" t="s">
        <v>1963</v>
      </c>
      <c r="F446" s="2" t="str">
        <f t="array" ref="F446">IFERROR(INDEX(Triagem!$I$2:$I$451,MATCH($A446,Triagem!$A$2:$A$451,0))&amp;"","")</f>
        <v>Excluir</v>
      </c>
      <c r="G446" s="2" t="str">
        <f t="array" ref="G446">IFERROR(INDEX('Revisão_Gemini'!$H$7:$H$456,MATCH($A446,'Revisão_Gemini'!$A$7:$A$456,0))&amp;"","")</f>
        <v>Incluir</v>
      </c>
      <c r="H446" s="2" t="str">
        <f t="array" ref="H446">IFERROR(INDEX('Revisão_ChatGPT'!$H$7:$H$456,MATCH($A446,'Revisão_ChatGPT'!$A$7:$A$456,0))&amp;"","")</f>
        <v>Incluir</v>
      </c>
      <c r="I446" s="2" t="str">
        <f t="shared" si="1"/>
        <v>2/3</v>
      </c>
      <c r="J446" s="21" t="s">
        <v>906</v>
      </c>
      <c r="K446" s="21"/>
      <c r="L446" s="21"/>
      <c r="M446" s="22" t="b">
        <f t="shared" si="2"/>
        <v>1</v>
      </c>
      <c r="N446" s="21" t="s">
        <v>3436</v>
      </c>
      <c r="O446" s="2" t="str">
        <f t="shared" si="3"/>
        <v>Excluir</v>
      </c>
      <c r="P446" s="2" t="str">
        <f t="array" ref="P446">IF(O446&lt;&gt;"Incluir","",IF(K446&lt;&gt;"",K446,IF(IFERROR(INDEX(Triagem!$J$2:$J$451,MATCH($A446,Triagem!$A$2:$A$451,0))&amp;"","")&lt;&gt;"",IFERROR(INDEX(Triagem!$J$2:$J$451,MATCH($A446,Triagem!$A$2:$A$451,0))&amp;"",""),IF(IFERROR(INDEX('Revisão_Gemini'!$I$7:$I$456,MATCH($A446,'Revisão_Gemini'!$A$7:$A$456,0))&amp;"","")&lt;&gt;"",IFERROR(INDEX('Revisão_Gemini'!$I$7:$I$456,MATCH($A446,'Revisão_Gemini'!$A$7:$A$456,0))&amp;"",""),IFERROR(INDEX('Revisão_ChatGPT'!$I$7:$I$456,MATCH($A446,'Revisão_ChatGPT'!$A$7:$A$456,0))&amp;"","")))))</f>
        <v/>
      </c>
      <c r="Q446" s="2" t="str">
        <f t="array" ref="Q446">IF(O446&lt;&gt;"Excluir","",IF(L446&lt;&gt;"",L446,IF(F446="Excluir",IFERROR(INDEX(Triagem!$K$2:$K$451,MATCH($A446,Triagem!$A$2:$A$451,0))&amp;"",""),IF(G446="Excluir",IFERROR(INDEX('Revisão_Gemini'!$J$7:$J$456,MATCH($A446,'Revisão_Gemini'!$A$7:$A$456,0))&amp;"",""),IFERROR(INDEX('Revisão_ChatGPT'!$J$7:$J$456,MATCH($A446,'Revisão_ChatGPT'!$A$7:$A$456,0))&amp;"","")))))</f>
        <v>E5</v>
      </c>
    </row>
    <row r="447" ht="15.75" customHeight="1">
      <c r="A447" s="2" t="s">
        <v>1025</v>
      </c>
      <c r="B447" s="19" t="str">
        <f t="array" ref="B447">INDEX(Triagem!$N$2:$N451 , MATCH(A447,Triagem!$A$2:$A451,0))</f>
        <v>abrir</v>
      </c>
      <c r="C447" s="20">
        <f t="array" ref="C447">INDEX(Triagem!$B$2:$B451 , MATCH(A447,Triagem!$A$2:$A451,0))</f>
        <v>2026</v>
      </c>
      <c r="D447" s="2" t="s">
        <v>1027</v>
      </c>
      <c r="E447" s="2" t="s">
        <v>1028</v>
      </c>
      <c r="F447" s="2" t="str">
        <f t="array" ref="F447">IFERROR(INDEX(Triagem!$I$2:$I$451,MATCH($A447,Triagem!$A$2:$A$451,0))&amp;"","")</f>
        <v>Excluir</v>
      </c>
      <c r="G447" s="2" t="str">
        <f t="array" ref="G447">IFERROR(INDEX('Revisão_Gemini'!$H$7:$H$456,MATCH($A447,'Revisão_Gemini'!$A$7:$A$456,0))&amp;"","")</f>
        <v>Excluir</v>
      </c>
      <c r="H447" s="2" t="str">
        <f t="array" ref="H447">IFERROR(INDEX('Revisão_ChatGPT'!$H$7:$H$456,MATCH($A447,'Revisão_ChatGPT'!$A$7:$A$456,0))&amp;"","")</f>
        <v>Excluir</v>
      </c>
      <c r="I447" s="2" t="str">
        <f t="shared" si="1"/>
        <v>3/3</v>
      </c>
      <c r="J447" s="21"/>
      <c r="K447" s="21"/>
      <c r="L447" s="21"/>
      <c r="M447" s="22" t="b">
        <f t="shared" si="2"/>
        <v>1</v>
      </c>
      <c r="N447" s="21" t="s">
        <v>3437</v>
      </c>
      <c r="O447" s="2" t="str">
        <f t="shared" si="3"/>
        <v>Excluir</v>
      </c>
      <c r="P447" s="2" t="str">
        <f t="array" ref="P447">IF(O447&lt;&gt;"Incluir","",IF(K447&lt;&gt;"",K447,IF(IFERROR(INDEX(Triagem!$J$2:$J$451,MATCH($A447,Triagem!$A$2:$A$451,0))&amp;"","")&lt;&gt;"",IFERROR(INDEX(Triagem!$J$2:$J$451,MATCH($A447,Triagem!$A$2:$A$451,0))&amp;"",""),IF(IFERROR(INDEX('Revisão_Gemini'!$I$7:$I$456,MATCH($A447,'Revisão_Gemini'!$A$7:$A$456,0))&amp;"","")&lt;&gt;"",IFERROR(INDEX('Revisão_Gemini'!$I$7:$I$456,MATCH($A447,'Revisão_Gemini'!$A$7:$A$456,0))&amp;"",""),IFERROR(INDEX('Revisão_ChatGPT'!$I$7:$I$456,MATCH($A447,'Revisão_ChatGPT'!$A$7:$A$456,0))&amp;"","")))))</f>
        <v/>
      </c>
      <c r="Q447" s="2" t="str">
        <f t="array" ref="Q447">IF(O447&lt;&gt;"Excluir","",IF(L447&lt;&gt;"",L447,IF(F447="Excluir",IFERROR(INDEX(Triagem!$K$2:$K$451,MATCH($A447,Triagem!$A$2:$A$451,0))&amp;"",""),IF(G447="Excluir",IFERROR(INDEX('Revisão_Gemini'!$J$7:$J$456,MATCH($A447,'Revisão_Gemini'!$A$7:$A$456,0))&amp;"",""),IFERROR(INDEX('Revisão_ChatGPT'!$J$7:$J$456,MATCH($A447,'Revisão_ChatGPT'!$A$7:$A$456,0))&amp;"","")))))</f>
        <v>E2</v>
      </c>
    </row>
    <row r="448" ht="15.75" customHeight="1">
      <c r="A448" s="2" t="s">
        <v>133</v>
      </c>
      <c r="B448" s="19" t="str">
        <f t="array" ref="B448">INDEX(Triagem!$N$2:$N451 , MATCH(A448,Triagem!$A$2:$A451,0))</f>
        <v>abrir</v>
      </c>
      <c r="C448" s="20">
        <f t="array" ref="C448">INDEX(Triagem!$B$2:$B451 , MATCH(A448,Triagem!$A$2:$A451,0))</f>
        <v>2026</v>
      </c>
      <c r="D448" s="2" t="s">
        <v>135</v>
      </c>
      <c r="E448" s="2" t="s">
        <v>136</v>
      </c>
      <c r="F448" s="2" t="str">
        <f t="array" ref="F448">IFERROR(INDEX(Triagem!$I$2:$I$451,MATCH($A448,Triagem!$A$2:$A$451,0))&amp;"","")</f>
        <v>Incluir</v>
      </c>
      <c r="G448" s="2" t="str">
        <f t="array" ref="G448">IFERROR(INDEX('Revisão_Gemini'!$H$7:$H$456,MATCH($A448,'Revisão_Gemini'!$A$7:$A$456,0))&amp;"","")</f>
        <v>Excluir</v>
      </c>
      <c r="H448" s="2" t="str">
        <f t="array" ref="H448">IFERROR(INDEX('Revisão_ChatGPT'!$H$7:$H$456,MATCH($A448,'Revisão_ChatGPT'!$A$7:$A$456,0))&amp;"","")</f>
        <v>Excluir</v>
      </c>
      <c r="I448" s="2" t="str">
        <f t="shared" si="1"/>
        <v>2/3</v>
      </c>
      <c r="J448" s="21" t="s">
        <v>694</v>
      </c>
      <c r="K448" s="21"/>
      <c r="L448" s="21"/>
      <c r="M448" s="22" t="b">
        <f t="shared" si="2"/>
        <v>1</v>
      </c>
      <c r="N448" s="21"/>
      <c r="O448" s="2" t="str">
        <f t="shared" si="3"/>
        <v>Apoio</v>
      </c>
      <c r="P448" s="2" t="str">
        <f t="array" ref="P448">IF(O448&lt;&gt;"Incluir","",IF(K448&lt;&gt;"",K448,IF(IFERROR(INDEX(Triagem!$J$2:$J$451,MATCH($A448,Triagem!$A$2:$A$451,0))&amp;"","")&lt;&gt;"",IFERROR(INDEX(Triagem!$J$2:$J$451,MATCH($A448,Triagem!$A$2:$A$451,0))&amp;"",""),IF(IFERROR(INDEX('Revisão_Gemini'!$I$7:$I$456,MATCH($A448,'Revisão_Gemini'!$A$7:$A$456,0))&amp;"","")&lt;&gt;"",IFERROR(INDEX('Revisão_Gemini'!$I$7:$I$456,MATCH($A448,'Revisão_Gemini'!$A$7:$A$456,0))&amp;"",""),IFERROR(INDEX('Revisão_ChatGPT'!$I$7:$I$456,MATCH($A448,'Revisão_ChatGPT'!$A$7:$A$456,0))&amp;"","")))))</f>
        <v/>
      </c>
      <c r="Q448" s="2" t="str">
        <f t="array" ref="Q448">IF(O448&lt;&gt;"Excluir","",IF(L448&lt;&gt;"",L448,IF(F448="Excluir",IFERROR(INDEX(Triagem!$K$2:$K$451,MATCH($A448,Triagem!$A$2:$A$451,0))&amp;"",""),IF(G448="Excluir",IFERROR(INDEX('Revisão_Gemini'!$J$7:$J$456,MATCH($A448,'Revisão_Gemini'!$A$7:$A$456,0))&amp;"",""),IFERROR(INDEX('Revisão_ChatGPT'!$J$7:$J$456,MATCH($A448,'Revisão_ChatGPT'!$A$7:$A$456,0))&amp;"","")))))</f>
        <v/>
      </c>
    </row>
    <row r="449" ht="15.75" customHeight="1">
      <c r="A449" s="2" t="s">
        <v>1030</v>
      </c>
      <c r="B449" s="19" t="str">
        <f t="array" ref="B449">INDEX(Triagem!$N$2:$N451 , MATCH(A449,Triagem!$A$2:$A451,0))</f>
        <v>abrir</v>
      </c>
      <c r="C449" s="20">
        <f t="array" ref="C449">INDEX(Triagem!$B$2:$B451 , MATCH(A449,Triagem!$A$2:$A451,0))</f>
        <v>2026</v>
      </c>
      <c r="D449" s="2" t="s">
        <v>1032</v>
      </c>
      <c r="E449" s="2" t="s">
        <v>1033</v>
      </c>
      <c r="F449" s="2" t="str">
        <f t="array" ref="F449">IFERROR(INDEX(Triagem!$I$2:$I$451,MATCH($A449,Triagem!$A$2:$A$451,0))&amp;"","")</f>
        <v>Excluir</v>
      </c>
      <c r="G449" s="2" t="str">
        <f t="array" ref="G449">IFERROR(INDEX('Revisão_Gemini'!$H$7:$H$456,MATCH($A449,'Revisão_Gemini'!$A$7:$A$456,0))&amp;"","")</f>
        <v>Excluir</v>
      </c>
      <c r="H449" s="2" t="str">
        <f t="array" ref="H449">IFERROR(INDEX('Revisão_ChatGPT'!$H$7:$H$456,MATCH($A449,'Revisão_ChatGPT'!$A$7:$A$456,0))&amp;"","")</f>
        <v>Excluir</v>
      </c>
      <c r="I449" s="2" t="str">
        <f t="shared" si="1"/>
        <v>3/3</v>
      </c>
      <c r="J449" s="21"/>
      <c r="K449" s="21"/>
      <c r="L449" s="21"/>
      <c r="M449" s="22" t="b">
        <f t="shared" si="2"/>
        <v>1</v>
      </c>
      <c r="N449" s="21"/>
      <c r="O449" s="2" t="str">
        <f t="shared" si="3"/>
        <v>Excluir</v>
      </c>
      <c r="P449" s="2" t="str">
        <f t="array" ref="P449">IF(O449&lt;&gt;"Incluir","",IF(K449&lt;&gt;"",K449,IF(IFERROR(INDEX(Triagem!$J$2:$J$451,MATCH($A449,Triagem!$A$2:$A$451,0))&amp;"","")&lt;&gt;"",IFERROR(INDEX(Triagem!$J$2:$J$451,MATCH($A449,Triagem!$A$2:$A$451,0))&amp;"",""),IF(IFERROR(INDEX('Revisão_Gemini'!$I$7:$I$456,MATCH($A449,'Revisão_Gemini'!$A$7:$A$456,0))&amp;"","")&lt;&gt;"",IFERROR(INDEX('Revisão_Gemini'!$I$7:$I$456,MATCH($A449,'Revisão_Gemini'!$A$7:$A$456,0))&amp;"",""),IFERROR(INDEX('Revisão_ChatGPT'!$I$7:$I$456,MATCH($A449,'Revisão_ChatGPT'!$A$7:$A$456,0))&amp;"","")))))</f>
        <v/>
      </c>
      <c r="Q449" s="2" t="str">
        <f t="array" ref="Q449">IF(O449&lt;&gt;"Excluir","",IF(L449&lt;&gt;"",L449,IF(F449="Excluir",IFERROR(INDEX(Triagem!$K$2:$K$451,MATCH($A449,Triagem!$A$2:$A$451,0))&amp;"",""),IF(G449="Excluir",IFERROR(INDEX('Revisão_Gemini'!$J$7:$J$456,MATCH($A449,'Revisão_Gemini'!$A$7:$A$456,0))&amp;"",""),IFERROR(INDEX('Revisão_ChatGPT'!$J$7:$J$456,MATCH($A449,'Revisão_ChatGPT'!$A$7:$A$456,0))&amp;"","")))))</f>
        <v>E2</v>
      </c>
    </row>
    <row r="450" ht="15.75" customHeight="1">
      <c r="A450" s="2" t="s">
        <v>139</v>
      </c>
      <c r="B450" s="19" t="str">
        <f t="array" ref="B450">INDEX(Triagem!$N$2:$N451 , MATCH(A450,Triagem!$A$2:$A451,0))</f>
        <v>abrir</v>
      </c>
      <c r="C450" s="20">
        <f t="array" ref="C450">INDEX(Triagem!$B$2:$B451 , MATCH(A450,Triagem!$A$2:$A451,0))</f>
        <v>2026</v>
      </c>
      <c r="D450" s="2" t="s">
        <v>141</v>
      </c>
      <c r="E450" s="2" t="s">
        <v>142</v>
      </c>
      <c r="F450" s="2" t="str">
        <f t="array" ref="F450">IFERROR(INDEX(Triagem!$I$2:$I$451,MATCH($A450,Triagem!$A$2:$A$451,0))&amp;"","")</f>
        <v>Incluir</v>
      </c>
      <c r="G450" s="2" t="str">
        <f t="array" ref="G450">IFERROR(INDEX('Revisão_Gemini'!$H$7:$H$456,MATCH($A450,'Revisão_Gemini'!$A$7:$A$456,0))&amp;"","")</f>
        <v>Incluir</v>
      </c>
      <c r="H450" s="2" t="str">
        <f t="array" ref="H450">IFERROR(INDEX('Revisão_ChatGPT'!$H$7:$H$456,MATCH($A450,'Revisão_ChatGPT'!$A$7:$A$456,0))&amp;"","")</f>
        <v>Incluir</v>
      </c>
      <c r="I450" s="2" t="str">
        <f t="shared" si="1"/>
        <v>3/3</v>
      </c>
      <c r="J450" s="21"/>
      <c r="K450" s="21"/>
      <c r="L450" s="21"/>
      <c r="M450" s="22" t="b">
        <f t="shared" si="2"/>
        <v>1</v>
      </c>
      <c r="N450" s="21" t="s">
        <v>3438</v>
      </c>
      <c r="O450" s="2" t="str">
        <f t="shared" si="3"/>
        <v>Incluir</v>
      </c>
      <c r="P450" s="2" t="str">
        <f t="array" ref="P450">IF(O450&lt;&gt;"Incluir","",IF(K450&lt;&gt;"",K450,IF(IFERROR(INDEX(Triagem!$J$2:$J$451,MATCH($A450,Triagem!$A$2:$A$451,0))&amp;"","")&lt;&gt;"",IFERROR(INDEX(Triagem!$J$2:$J$451,MATCH($A450,Triagem!$A$2:$A$451,0))&amp;"",""),IF(IFERROR(INDEX('Revisão_Gemini'!$I$7:$I$456,MATCH($A450,'Revisão_Gemini'!$A$7:$A$456,0))&amp;"","")&lt;&gt;"",IFERROR(INDEX('Revisão_Gemini'!$I$7:$I$456,MATCH($A450,'Revisão_Gemini'!$A$7:$A$456,0))&amp;"",""),IFERROR(INDEX('Revisão_ChatGPT'!$I$7:$I$456,MATCH($A450,'Revisão_ChatGPT'!$A$7:$A$456,0))&amp;"","")))))</f>
        <v>A</v>
      </c>
      <c r="Q450" s="2" t="str">
        <f t="array" ref="Q450">IF(O450&lt;&gt;"Excluir","",IF(L450&lt;&gt;"",L450,IF(F450="Excluir",IFERROR(INDEX(Triagem!$K$2:$K$451,MATCH($A450,Triagem!$A$2:$A$451,0))&amp;"",""),IF(G450="Excluir",IFERROR(INDEX('Revisão_Gemini'!$J$7:$J$456,MATCH($A450,'Revisão_Gemini'!$A$7:$A$456,0))&amp;"",""),IFERROR(INDEX('Revisão_ChatGPT'!$J$7:$J$456,MATCH($A450,'Revisão_ChatGPT'!$A$7:$A$456,0))&amp;"","")))))</f>
        <v/>
      </c>
    </row>
    <row r="451" ht="15.75" customHeight="1">
      <c r="A451" s="2" t="s">
        <v>146</v>
      </c>
      <c r="B451" s="19" t="str">
        <f t="array" ref="B451">INDEX(Triagem!$N$2:$N451 , MATCH(A451,Triagem!$A$2:$A451,0))</f>
        <v>abrir</v>
      </c>
      <c r="C451" s="20">
        <f t="array" ref="C451">INDEX(Triagem!$B$2:$B451 , MATCH(A451,Triagem!$A$2:$A451,0))</f>
        <v>2026</v>
      </c>
      <c r="D451" s="2" t="s">
        <v>148</v>
      </c>
      <c r="E451" s="2" t="s">
        <v>149</v>
      </c>
      <c r="F451" s="2" t="str">
        <f t="array" ref="F451">IFERROR(INDEX(Triagem!$I$2:$I$451,MATCH($A451,Triagem!$A$2:$A$451,0))&amp;"","")</f>
        <v>Incluir</v>
      </c>
      <c r="G451" s="2" t="str">
        <f t="array" ref="G451">IFERROR(INDEX('Revisão_Gemini'!$H$7:$H$456,MATCH($A451,'Revisão_Gemini'!$A$7:$A$456,0))&amp;"","")</f>
        <v>Incluir</v>
      </c>
      <c r="H451" s="2" t="str">
        <f t="array" ref="H451">IFERROR(INDEX('Revisão_ChatGPT'!$H$7:$H$456,MATCH($A451,'Revisão_ChatGPT'!$A$7:$A$456,0))&amp;"","")</f>
        <v>Incluir</v>
      </c>
      <c r="I451" s="2" t="str">
        <f t="shared" si="1"/>
        <v>3/3</v>
      </c>
      <c r="J451" s="21"/>
      <c r="K451" s="21"/>
      <c r="L451" s="21"/>
      <c r="M451" s="22" t="b">
        <f t="shared" si="2"/>
        <v>1</v>
      </c>
      <c r="N451" s="21"/>
      <c r="O451" s="2" t="str">
        <f t="shared" si="3"/>
        <v>Incluir</v>
      </c>
      <c r="P451" s="2" t="str">
        <f t="array" ref="P451">IF(O451&lt;&gt;"Incluir","",IF(K451&lt;&gt;"",K451,IF(IFERROR(INDEX(Triagem!$J$2:$J$451,MATCH($A451,Triagem!$A$2:$A$451,0))&amp;"","")&lt;&gt;"",IFERROR(INDEX(Triagem!$J$2:$J$451,MATCH($A451,Triagem!$A$2:$A$451,0))&amp;"",""),IF(IFERROR(INDEX('Revisão_Gemini'!$I$7:$I$456,MATCH($A451,'Revisão_Gemini'!$A$7:$A$456,0))&amp;"","")&lt;&gt;"",IFERROR(INDEX('Revisão_Gemini'!$I$7:$I$456,MATCH($A451,'Revisão_Gemini'!$A$7:$A$456,0))&amp;"",""),IFERROR(INDEX('Revisão_ChatGPT'!$I$7:$I$456,MATCH($A451,'Revisão_ChatGPT'!$A$7:$A$456,0))&amp;"","")))))</f>
        <v>A</v>
      </c>
      <c r="Q451" s="2" t="str">
        <f t="array" ref="Q451">IF(O451&lt;&gt;"Excluir","",IF(L451&lt;&gt;"",L451,IF(F451="Excluir",IFERROR(INDEX(Triagem!$K$2:$K$451,MATCH($A451,Triagem!$A$2:$A$451,0))&amp;"",""),IF(G451="Excluir",IFERROR(INDEX('Revisão_Gemini'!$J$7:$J$456,MATCH($A451,'Revisão_Gemini'!$A$7:$A$456,0))&amp;"",""),IFERROR(INDEX('Revisão_ChatGPT'!$J$7:$J$456,MATCH($A451,'Revisão_ChatGPT'!$A$7:$A$456,0))&amp;"","")))))</f>
        <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451"/>
  <dataValidations>
    <dataValidation type="list" allowBlank="1" sqref="K2:K451">
      <formula1>"A,B,A+B"</formula1>
    </dataValidation>
    <dataValidation type="list" allowBlank="1" sqref="J2:J451">
      <formula1>"Incluir,Excluir,Apoio"</formula1>
    </dataValidation>
    <dataValidation type="list" allowBlank="1" sqref="L2:L451">
      <formula1>"E1,E2,E3,E4,E5,E6,E7,E8,E9"</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0"/>
    <col customWidth="1" min="2" max="2" width="60.0"/>
    <col customWidth="1" min="3" max="6" width="14.43"/>
  </cols>
  <sheetData>
    <row r="1" ht="15.0" customHeight="1">
      <c r="A1" s="5" t="s">
        <v>3439</v>
      </c>
      <c r="B1" s="4"/>
    </row>
    <row r="2" ht="15.0" customHeight="1">
      <c r="A2" s="15" t="s">
        <v>3440</v>
      </c>
      <c r="B2" s="15" t="s">
        <v>3441</v>
      </c>
    </row>
    <row r="3" ht="15.0" customHeight="1">
      <c r="A3" s="15" t="s">
        <v>3442</v>
      </c>
      <c r="B3" s="15" t="s">
        <v>3443</v>
      </c>
    </row>
    <row r="4" ht="15.0" customHeight="1">
      <c r="A4" s="15" t="s">
        <v>3444</v>
      </c>
      <c r="B4" s="15" t="s">
        <v>3445</v>
      </c>
    </row>
    <row r="5" ht="15.0" customHeight="1">
      <c r="A5" s="15" t="s">
        <v>3446</v>
      </c>
      <c r="B5" s="15" t="s">
        <v>3447</v>
      </c>
    </row>
    <row r="6" ht="15.0" customHeight="1">
      <c r="A6" s="15" t="s">
        <v>3448</v>
      </c>
      <c r="B6" s="15" t="s">
        <v>3449</v>
      </c>
    </row>
    <row r="7" ht="15.0" customHeight="1">
      <c r="A7" s="15" t="s">
        <v>3450</v>
      </c>
      <c r="B7" s="15">
        <f>COUNTIF(Triagem!$H$2:$H$451,"A")+COUNTIF(Triagem!$H$2:$H$451,"A+B")</f>
        <v>253</v>
      </c>
    </row>
    <row r="8" ht="15.0" customHeight="1">
      <c r="A8" s="15" t="s">
        <v>3451</v>
      </c>
      <c r="B8" s="15">
        <f>COUNTIF(Triagem!$H$2:$H$451,"B")+COUNTIF(Triagem!$H$2:$H$451,"A+B")</f>
        <v>241</v>
      </c>
    </row>
    <row r="9" ht="15.0" customHeight="1">
      <c r="A9" s="15" t="s">
        <v>3452</v>
      </c>
      <c r="B9" s="15">
        <f>COUNTIF(Triagem!$H$2:$H$451,"A+B")</f>
        <v>45</v>
      </c>
    </row>
    <row r="10" ht="15.0" customHeight="1">
      <c r="A10" s="15" t="s">
        <v>3453</v>
      </c>
      <c r="B10" s="15">
        <f>COUNTIF(Triagem!$H$2:$H$451,"Outras fontes")</f>
        <v>1</v>
      </c>
    </row>
    <row r="11" ht="15.0" customHeight="1">
      <c r="A11" s="15" t="s">
        <v>3454</v>
      </c>
      <c r="B11" s="15">
        <f>COUNTA(Triagem!$A$2:$A$451)</f>
        <v>450</v>
      </c>
    </row>
    <row r="12" ht="15.0" customHeight="1">
      <c r="A12" s="5"/>
      <c r="B12" s="4"/>
    </row>
    <row r="13" ht="15.0" customHeight="1">
      <c r="A13" s="5" t="s">
        <v>3455</v>
      </c>
      <c r="B13" s="4"/>
    </row>
    <row r="14" ht="15.0" customHeight="1">
      <c r="A14" s="15" t="s">
        <v>3456</v>
      </c>
      <c r="B14" s="15">
        <f>COUNTIF(Consenso!$I$2:$I$451,"aguardando")</f>
        <v>0</v>
      </c>
    </row>
    <row r="15" ht="15.0" customHeight="1">
      <c r="A15" s="15" t="s">
        <v>3457</v>
      </c>
      <c r="B15" s="15">
        <f>COUNTIF(Consenso!$I$2:$I$451,"3/3")</f>
        <v>386</v>
      </c>
    </row>
    <row r="16" ht="15.0" customHeight="1">
      <c r="A16" s="15" t="s">
        <v>3458</v>
      </c>
      <c r="B16" s="15">
        <f>COUNTIF(Consenso!$I$2:$I$451,"2/3")</f>
        <v>62</v>
      </c>
    </row>
    <row r="17" ht="15.0" customHeight="1">
      <c r="A17" s="15" t="s">
        <v>3459</v>
      </c>
      <c r="B17" s="15">
        <f>COUNTIF(Consenso!$I$2:$I$451,"divergente")</f>
        <v>2</v>
      </c>
    </row>
    <row r="18" ht="15.0" customHeight="1">
      <c r="A18" s="15" t="s">
        <v>3460</v>
      </c>
      <c r="B18" s="25">
        <f>IFERROR(COUNTIF(Consenso!$I$2:$I$451,"3/3")/(COUNTA(Consenso!$A$2:$A$451)-COUNTIF(Consenso!$I$2:$I$451,"aguardando")),"")</f>
        <v>0.8577777778</v>
      </c>
    </row>
    <row r="19" ht="15.0" customHeight="1">
      <c r="A19" s="5"/>
      <c r="B19" s="4"/>
    </row>
    <row r="20" ht="15.0" customHeight="1">
      <c r="A20" s="5" t="s">
        <v>3461</v>
      </c>
      <c r="B20" s="4"/>
    </row>
    <row r="21" ht="15.75" customHeight="1">
      <c r="A21" s="15" t="s">
        <v>3462</v>
      </c>
      <c r="B21" s="15">
        <f>COUNTIF(Consenso!$O$2:$O$451,"PENDENTE")</f>
        <v>0</v>
      </c>
    </row>
    <row r="22" ht="15.75" customHeight="1">
      <c r="A22" s="15" t="s">
        <v>3463</v>
      </c>
      <c r="B22" s="15">
        <f>COUNTIF(Consenso!$O$2:$O$451,"Excluir")</f>
        <v>64</v>
      </c>
    </row>
    <row r="23" ht="15.75" customHeight="1">
      <c r="A23" s="15" t="s">
        <v>3464</v>
      </c>
      <c r="B23" s="15">
        <f>COUNTIFS(Consenso!$O$2:$O$451,"Excluir",Consenso!$Q$2:$Q$451,"E1")</f>
        <v>2</v>
      </c>
    </row>
    <row r="24" ht="15.75" customHeight="1">
      <c r="A24" s="15" t="s">
        <v>3465</v>
      </c>
      <c r="B24" s="15">
        <f>COUNTIFS(Consenso!$O$2:$O$451,"Excluir",Consenso!$Q$2:$Q$451,"E2")</f>
        <v>18</v>
      </c>
    </row>
    <row r="25" ht="15.75" customHeight="1">
      <c r="A25" s="15" t="s">
        <v>3466</v>
      </c>
      <c r="B25" s="15">
        <f>COUNTIFS(Consenso!$O$2:$O$451,"Excluir",Consenso!$Q$2:$Q$451,"E3")</f>
        <v>27</v>
      </c>
    </row>
    <row r="26" ht="15.75" customHeight="1">
      <c r="A26" s="15" t="s">
        <v>3467</v>
      </c>
      <c r="B26" s="15">
        <f>COUNTIFS(Consenso!$O$2:$O$451,"Excluir",Consenso!$Q$2:$Q$451,"E4")</f>
        <v>4</v>
      </c>
    </row>
    <row r="27" ht="15.75" customHeight="1">
      <c r="A27" s="15" t="s">
        <v>3468</v>
      </c>
      <c r="B27" s="15">
        <f>COUNTIFS(Consenso!$O$2:$O$451,"Excluir",Consenso!$Q$2:$Q$451,"E5")</f>
        <v>7</v>
      </c>
    </row>
    <row r="28" ht="15.75" customHeight="1">
      <c r="A28" s="15" t="s">
        <v>3469</v>
      </c>
      <c r="B28" s="15">
        <f>COUNTIFS(Consenso!$O$2:$O$451,"Excluir",Consenso!$Q$2:$Q$451,"E6")</f>
        <v>3</v>
      </c>
    </row>
    <row r="29" ht="15.75" customHeight="1">
      <c r="A29" s="15" t="s">
        <v>3470</v>
      </c>
      <c r="B29" s="15">
        <f>COUNTIFS(Consenso!$O$2:$O$451,"Excluir",Consenso!$Q$2:$Q$451,"E7")</f>
        <v>2</v>
      </c>
    </row>
    <row r="30" ht="15.75" customHeight="1">
      <c r="A30" s="15" t="s">
        <v>3471</v>
      </c>
      <c r="B30" s="15">
        <f>COUNTIFS(Consenso!$O$2:$O$451,"Excluir",Consenso!$Q$2:$Q$451,"E8")</f>
        <v>1</v>
      </c>
    </row>
    <row r="31" ht="15.75" customHeight="1">
      <c r="A31" s="15" t="s">
        <v>3472</v>
      </c>
      <c r="B31" s="15">
        <f>COUNTIFS(Consenso!$O$2:$O$451,"Excluir",Consenso!$Q$2:$Q$451,"E9")</f>
        <v>0</v>
      </c>
    </row>
    <row r="32" ht="15.75" customHeight="1">
      <c r="A32" s="15" t="s">
        <v>3473</v>
      </c>
      <c r="B32" s="15">
        <f>COUNTIF(Consenso!$O$2:$O$451,"Apoio")</f>
        <v>11</v>
      </c>
    </row>
    <row r="33" ht="15.75" customHeight="1">
      <c r="A33" s="15" t="s">
        <v>3474</v>
      </c>
      <c r="B33" s="15">
        <f>COUNTIF(Consenso!$O$2:$O$451,"Incluir")</f>
        <v>22</v>
      </c>
    </row>
    <row r="34" ht="15.75" customHeight="1">
      <c r="A34" s="15" t="s">
        <v>3475</v>
      </c>
      <c r="B34" s="15">
        <f>COUNTIFS(Consenso!$O$2:$O$451,"Incluir",Consenso!$P$2:$P$451,"A")</f>
        <v>20</v>
      </c>
    </row>
    <row r="35" ht="15.75" customHeight="1">
      <c r="A35" s="15" t="s">
        <v>3476</v>
      </c>
      <c r="B35" s="15">
        <f>COUNTIFS(Consenso!$O$2:$O$451,"Incluir",Consenso!$P$2:$P$451,"B")</f>
        <v>0</v>
      </c>
    </row>
    <row r="36" ht="15.75" customHeight="1">
      <c r="A36" s="15" t="s">
        <v>3477</v>
      </c>
      <c r="B36" s="15">
        <f>COUNTIFS(Consenso!$O$2:$O$451,"Incluir",Consenso!$P$2:$P$451,"A+B")</f>
        <v>2</v>
      </c>
    </row>
    <row r="37" ht="15.75" customHeight="1">
      <c r="A37" s="4"/>
      <c r="B37" s="4"/>
    </row>
    <row r="38" ht="15.75" customHeight="1">
      <c r="A38" s="15" t="s">
        <v>3478</v>
      </c>
      <c r="B38" s="15" t="b">
        <f>B21+B22+B32+B33+B39+B40=B11</f>
        <v>1</v>
      </c>
    </row>
    <row r="39" ht="15.75" customHeight="1">
      <c r="A39" s="15" t="s">
        <v>3479</v>
      </c>
      <c r="B39" s="15">
        <f>COUNTIF(Consenso!$M$2:$M$451,FALSE())</f>
        <v>353</v>
      </c>
    </row>
    <row r="40" ht="15.75" customHeight="1">
      <c r="A40" s="15"/>
      <c r="B40" s="1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5.0"/>
    <col customWidth="1" min="2" max="2" width="20.0"/>
    <col customWidth="1" min="3" max="3" width="42.0"/>
    <col customWidth="1" min="4" max="4" width="11.0"/>
    <col customWidth="1" min="5" max="5" width="24.0"/>
    <col customWidth="1" min="6" max="6" width="55.0"/>
    <col customWidth="1" min="7" max="7" width="45.0"/>
    <col customWidth="1" min="8" max="8" width="35.0"/>
    <col customWidth="1" min="9" max="9" width="32.0"/>
    <col customWidth="1" min="10" max="10" width="22.0"/>
    <col customWidth="1" min="11" max="11" width="16.0"/>
    <col customWidth="1" min="12" max="12" width="12.0"/>
    <col customWidth="1" min="13" max="13" width="30.0"/>
    <col customWidth="1" min="14" max="26" width="8.71"/>
  </cols>
  <sheetData>
    <row r="1">
      <c r="A1" s="26" t="s">
        <v>3480</v>
      </c>
    </row>
    <row r="2">
      <c r="A2" s="15" t="s">
        <v>3481</v>
      </c>
    </row>
    <row r="4">
      <c r="A4" s="27" t="s">
        <v>3482</v>
      </c>
      <c r="B4" s="27" t="s">
        <v>3483</v>
      </c>
      <c r="C4" s="27" t="s">
        <v>3484</v>
      </c>
      <c r="D4" s="27" t="s">
        <v>89</v>
      </c>
      <c r="E4" s="27" t="s">
        <v>3485</v>
      </c>
      <c r="F4" s="27" t="s">
        <v>3486</v>
      </c>
      <c r="G4" s="27" t="s">
        <v>3487</v>
      </c>
      <c r="H4" s="27" t="s">
        <v>3488</v>
      </c>
      <c r="I4" s="27" t="s">
        <v>3489</v>
      </c>
      <c r="J4" s="27" t="s">
        <v>3490</v>
      </c>
      <c r="K4" s="27" t="s">
        <v>3491</v>
      </c>
      <c r="L4" s="27" t="s">
        <v>3492</v>
      </c>
      <c r="M4" s="27" t="s">
        <v>3138</v>
      </c>
    </row>
    <row r="5" ht="120.0" customHeight="1">
      <c r="A5" s="2">
        <v>1.0</v>
      </c>
      <c r="B5" s="2" t="s">
        <v>3493</v>
      </c>
      <c r="C5" s="2" t="s">
        <v>3494</v>
      </c>
      <c r="D5" s="9" t="str">
        <f>HYPERLINK("https://pubmed.ncbi.nlm.nih.gov/40920381/","40920381")</f>
        <v>40920381</v>
      </c>
      <c r="E5" s="2" t="s">
        <v>3495</v>
      </c>
      <c r="F5" s="2" t="s">
        <v>3496</v>
      </c>
      <c r="G5" s="2" t="s">
        <v>3497</v>
      </c>
      <c r="H5" s="2" t="s">
        <v>3498</v>
      </c>
      <c r="I5" s="2" t="s">
        <v>3499</v>
      </c>
      <c r="J5" s="2" t="s">
        <v>3500</v>
      </c>
      <c r="K5" s="2" t="str">
        <f t="array" ref="K5">IFERROR(INDEX(Consenso!$O$2:$O$451,MATCH("40920381",Consenso!$A$2:$A$451&amp;"",0)),"")</f>
        <v>Incluir</v>
      </c>
      <c r="L5" s="21"/>
      <c r="M5" s="21"/>
    </row>
    <row r="6" ht="120.0" customHeight="1">
      <c r="A6" s="2">
        <v>2.0</v>
      </c>
      <c r="B6" s="2" t="s">
        <v>3501</v>
      </c>
      <c r="C6" s="2" t="s">
        <v>3502</v>
      </c>
      <c r="D6" s="9" t="str">
        <f>HYPERLINK("https://pubmed.ncbi.nlm.nih.gov/42746679/","42746679")</f>
        <v>42746679</v>
      </c>
      <c r="E6" s="2" t="s">
        <v>3503</v>
      </c>
      <c r="F6" s="2" t="s">
        <v>3504</v>
      </c>
      <c r="G6" s="2" t="s">
        <v>3505</v>
      </c>
      <c r="H6" s="2" t="s">
        <v>3506</v>
      </c>
      <c r="I6" s="2" t="s">
        <v>3507</v>
      </c>
      <c r="J6" s="2" t="s">
        <v>3508</v>
      </c>
      <c r="K6" s="2" t="str">
        <f t="array" ref="K6">IFERROR(INDEX(Consenso!$O$2:$O$451,MATCH("42746679",Consenso!$A$2:$A$451&amp;"",0)),"")</f>
        <v>Incluir</v>
      </c>
      <c r="L6" s="21"/>
      <c r="M6" s="21"/>
    </row>
    <row r="7" ht="120.0" customHeight="1">
      <c r="A7" s="2">
        <v>3.0</v>
      </c>
      <c r="B7" s="2" t="s">
        <v>3509</v>
      </c>
      <c r="C7" s="2" t="s">
        <v>3510</v>
      </c>
      <c r="D7" s="9" t="str">
        <f>HYPERLINK("https://pubmed.ncbi.nlm.nih.gov/40537699/","40537699")</f>
        <v>40537699</v>
      </c>
      <c r="E7" s="2" t="s">
        <v>3511</v>
      </c>
      <c r="F7" s="2" t="s">
        <v>3512</v>
      </c>
      <c r="G7" s="2" t="s">
        <v>3513</v>
      </c>
      <c r="H7" s="2" t="s">
        <v>3514</v>
      </c>
      <c r="I7" s="2" t="s">
        <v>3515</v>
      </c>
      <c r="J7" s="2" t="s">
        <v>3508</v>
      </c>
      <c r="K7" s="2" t="str">
        <f t="array" ref="K7">IFERROR(INDEX(Consenso!$O$2:$O$451,MATCH("40537699",Consenso!$A$2:$A$451&amp;"",0)),"")</f>
        <v>Incluir</v>
      </c>
      <c r="L7" s="21"/>
      <c r="M7" s="21"/>
    </row>
    <row r="8" ht="120.0" customHeight="1">
      <c r="A8" s="2">
        <v>4.0</v>
      </c>
      <c r="B8" s="2" t="s">
        <v>3516</v>
      </c>
      <c r="C8" s="2" t="s">
        <v>3517</v>
      </c>
      <c r="D8" s="9" t="str">
        <f>HYPERLINK("https://pubmed.ncbi.nlm.nih.gov/40685149/","40685149")</f>
        <v>40685149</v>
      </c>
      <c r="E8" s="2" t="s">
        <v>3518</v>
      </c>
      <c r="F8" s="2" t="s">
        <v>3519</v>
      </c>
      <c r="G8" s="2" t="s">
        <v>3520</v>
      </c>
      <c r="H8" s="2" t="s">
        <v>3521</v>
      </c>
      <c r="I8" s="2" t="s">
        <v>3522</v>
      </c>
      <c r="J8" s="2" t="s">
        <v>3500</v>
      </c>
      <c r="K8" s="2" t="str">
        <f t="array" ref="K8">IFERROR(INDEX(Consenso!$O$2:$O$451,MATCH("40685149",Consenso!$A$2:$A$451&amp;"",0)),"")</f>
        <v>Apoio</v>
      </c>
      <c r="L8" s="21"/>
      <c r="M8" s="21"/>
    </row>
    <row r="9" ht="120.0" customHeight="1">
      <c r="A9" s="2">
        <v>5.0</v>
      </c>
      <c r="B9" s="2" t="s">
        <v>3516</v>
      </c>
      <c r="C9" s="2" t="s">
        <v>3523</v>
      </c>
      <c r="D9" s="9" t="str">
        <f>HYPERLINK("https://pubmed.ncbi.nlm.nih.gov/38284966/","38284966")</f>
        <v>38284966</v>
      </c>
      <c r="E9" s="2" t="s">
        <v>731</v>
      </c>
      <c r="F9" s="2" t="s">
        <v>3524</v>
      </c>
      <c r="G9" s="2" t="s">
        <v>3525</v>
      </c>
      <c r="H9" s="2" t="s">
        <v>3526</v>
      </c>
      <c r="I9" s="2" t="s">
        <v>3527</v>
      </c>
      <c r="J9" s="2" t="s">
        <v>3508</v>
      </c>
      <c r="K9" s="2" t="str">
        <f t="array" ref="K9">IFERROR(INDEX(Consenso!$O$2:$O$451,MATCH("38284966",Consenso!$A$2:$A$451&amp;"",0)),"")</f>
        <v>Apoio</v>
      </c>
      <c r="L9" s="21"/>
      <c r="M9" s="21"/>
    </row>
    <row r="10" ht="120.0" customHeight="1">
      <c r="A10" s="2">
        <v>6.0</v>
      </c>
      <c r="B10" s="28" t="s">
        <v>3528</v>
      </c>
      <c r="C10" s="2" t="s">
        <v>3529</v>
      </c>
      <c r="D10" s="9" t="str">
        <f>HYPERLINK("https://pubmed.ncbi.nlm.nih.gov/41319979/","41319979")</f>
        <v>41319979</v>
      </c>
      <c r="E10" s="2" t="s">
        <v>3530</v>
      </c>
      <c r="F10" s="2" t="s">
        <v>3531</v>
      </c>
      <c r="G10" s="2" t="s">
        <v>3532</v>
      </c>
      <c r="H10" s="2" t="s">
        <v>3533</v>
      </c>
      <c r="I10" s="2" t="s">
        <v>3534</v>
      </c>
      <c r="J10" s="2" t="s">
        <v>3500</v>
      </c>
      <c r="K10" s="2" t="str">
        <f t="array" ref="K10">IFERROR(INDEX(Consenso!$O$2:$O$451,MATCH("41319979",Consenso!$A$2:$A$451&amp;"",0)),"")</f>
        <v>Apoio</v>
      </c>
      <c r="L10" s="21"/>
      <c r="M10" s="21"/>
    </row>
    <row r="11" ht="120.0" customHeight="1">
      <c r="A11" s="2">
        <v>7.0</v>
      </c>
      <c r="B11" s="2" t="s">
        <v>3535</v>
      </c>
      <c r="C11" s="2" t="s">
        <v>3536</v>
      </c>
      <c r="D11" s="9" t="str">
        <f>HYPERLINK("https://pubmed.ncbi.nlm.nih.gov/41420650/","41420650")</f>
        <v>41420650</v>
      </c>
      <c r="E11" s="2" t="s">
        <v>3537</v>
      </c>
      <c r="F11" s="2" t="s">
        <v>3538</v>
      </c>
      <c r="G11" s="2" t="s">
        <v>3539</v>
      </c>
      <c r="H11" s="2" t="s">
        <v>3540</v>
      </c>
      <c r="I11" s="2" t="s">
        <v>3541</v>
      </c>
      <c r="J11" s="2" t="s">
        <v>3542</v>
      </c>
      <c r="K11" s="2" t="str">
        <f t="array" ref="K11">IFERROR(INDEX(Consenso!$O$2:$O$451,MATCH("41420650",Consenso!$A$2:$A$451&amp;"",0)),"")</f>
        <v>Incluir</v>
      </c>
      <c r="L11" s="21"/>
      <c r="M11" s="21"/>
    </row>
    <row r="12" ht="120.0" customHeight="1">
      <c r="A12" s="2">
        <v>8.0</v>
      </c>
      <c r="B12" s="2" t="s">
        <v>3535</v>
      </c>
      <c r="C12" s="2" t="s">
        <v>3543</v>
      </c>
      <c r="D12" s="9" t="str">
        <f>HYPERLINK("https://pubmed.ncbi.nlm.nih.gov/40599664/","40599664")</f>
        <v>40599664</v>
      </c>
      <c r="E12" s="2" t="s">
        <v>3544</v>
      </c>
      <c r="F12" s="2" t="s">
        <v>3545</v>
      </c>
      <c r="G12" s="2" t="s">
        <v>3546</v>
      </c>
      <c r="H12" s="2" t="s">
        <v>3547</v>
      </c>
      <c r="I12" s="2" t="s">
        <v>3548</v>
      </c>
      <c r="J12" s="2" t="s">
        <v>3500</v>
      </c>
      <c r="K12" s="2" t="str">
        <f t="array" ref="K12">IFERROR(INDEX(Consenso!$O$2:$O$451,MATCH("40599664",Consenso!$A$2:$A$451&amp;"",0)),"")</f>
        <v>Incluir</v>
      </c>
      <c r="L12" s="21"/>
      <c r="M12" s="21"/>
    </row>
    <row r="13" ht="120.0" customHeight="1">
      <c r="A13" s="2">
        <v>9.0</v>
      </c>
      <c r="B13" s="2" t="s">
        <v>3535</v>
      </c>
      <c r="C13" s="2" t="s">
        <v>3549</v>
      </c>
      <c r="D13" s="9" t="str">
        <f>HYPERLINK("https://pubmed.ncbi.nlm.nih.gov/40016985/","40016985")</f>
        <v>40016985</v>
      </c>
      <c r="E13" s="2" t="s">
        <v>3550</v>
      </c>
      <c r="F13" s="2" t="s">
        <v>3551</v>
      </c>
      <c r="G13" s="2" t="s">
        <v>3552</v>
      </c>
      <c r="H13" s="2" t="s">
        <v>3553</v>
      </c>
      <c r="I13" s="2" t="s">
        <v>3554</v>
      </c>
      <c r="J13" s="2" t="s">
        <v>3508</v>
      </c>
      <c r="K13" s="2" t="str">
        <f t="array" ref="K13">IFERROR(INDEX(Consenso!$O$2:$O$451,MATCH("40016985",Consenso!$A$2:$A$451&amp;"",0)),"")</f>
        <v>Incluir</v>
      </c>
      <c r="L13" s="21"/>
      <c r="M13" s="21"/>
    </row>
    <row r="14" ht="120.0" customHeight="1">
      <c r="A14" s="2">
        <v>10.0</v>
      </c>
      <c r="B14" s="2" t="s">
        <v>3555</v>
      </c>
      <c r="C14" s="2" t="s">
        <v>3556</v>
      </c>
      <c r="D14" s="9" t="str">
        <f>HYPERLINK("https://pubmed.ncbi.nlm.nih.gov/42437037/","42437037")</f>
        <v>42437037</v>
      </c>
      <c r="E14" s="2" t="s">
        <v>3557</v>
      </c>
      <c r="F14" s="2" t="s">
        <v>3558</v>
      </c>
      <c r="G14" s="2" t="s">
        <v>3559</v>
      </c>
      <c r="H14" s="2" t="s">
        <v>3560</v>
      </c>
      <c r="I14" s="2" t="s">
        <v>3561</v>
      </c>
      <c r="J14" s="2" t="s">
        <v>3508</v>
      </c>
      <c r="K14" s="2" t="str">
        <f t="array" ref="K14">IFERROR(INDEX(Consenso!$O$2:$O$451,MATCH("42437037",Consenso!$A$2:$A$451&amp;"",0)),"")</f>
        <v>Incluir</v>
      </c>
      <c r="L14" s="21"/>
      <c r="M14" s="21"/>
    </row>
    <row r="15" ht="120.0" customHeight="1">
      <c r="A15" s="2">
        <v>11.0</v>
      </c>
      <c r="B15" s="2" t="s">
        <v>3562</v>
      </c>
      <c r="C15" s="2" t="s">
        <v>3563</v>
      </c>
      <c r="D15" s="9" t="str">
        <f>HYPERLINK("https://pubmed.ncbi.nlm.nih.gov/41321028/","41321028")</f>
        <v>41321028</v>
      </c>
      <c r="E15" s="2" t="s">
        <v>3564</v>
      </c>
      <c r="F15" s="2" t="s">
        <v>3565</v>
      </c>
      <c r="G15" s="2" t="s">
        <v>3566</v>
      </c>
      <c r="H15" s="2" t="s">
        <v>3567</v>
      </c>
      <c r="I15" s="2" t="s">
        <v>3568</v>
      </c>
      <c r="J15" s="2" t="s">
        <v>3569</v>
      </c>
      <c r="K15" s="2" t="str">
        <f t="array" ref="K15">IFERROR(INDEX(Consenso!$O$2:$O$451,MATCH("41321028",Consenso!$A$2:$A$451&amp;"",0)),"")</f>
        <v>Apoio</v>
      </c>
      <c r="L15" s="21"/>
      <c r="M15" s="21"/>
    </row>
    <row r="16" ht="120.0" customHeight="1">
      <c r="A16" s="2">
        <v>12.0</v>
      </c>
      <c r="B16" s="28" t="s">
        <v>3570</v>
      </c>
      <c r="C16" s="2" t="s">
        <v>3571</v>
      </c>
      <c r="D16" s="9" t="str">
        <f>HYPERLINK("https://pubmed.ncbi.nlm.nih.gov/41840151/","41840151")</f>
        <v>41840151</v>
      </c>
      <c r="E16" s="2" t="s">
        <v>3572</v>
      </c>
      <c r="F16" s="2" t="s">
        <v>3423</v>
      </c>
      <c r="G16" s="2" t="s">
        <v>3573</v>
      </c>
      <c r="H16" s="2" t="s">
        <v>3574</v>
      </c>
      <c r="I16" s="2" t="s">
        <v>3575</v>
      </c>
      <c r="J16" s="2" t="s">
        <v>3508</v>
      </c>
      <c r="K16" s="2" t="str">
        <f t="array" ref="K16">IFERROR(INDEX(Consenso!$O$2:$O$451,MATCH("41840151",Consenso!$A$2:$A$451&amp;"",0)),"")</f>
        <v>Incluir</v>
      </c>
      <c r="L16" s="21"/>
      <c r="M16" s="21"/>
    </row>
    <row r="17" ht="120.0" customHeight="1">
      <c r="A17" s="2">
        <v>13.0</v>
      </c>
      <c r="B17" s="2" t="s">
        <v>3555</v>
      </c>
      <c r="C17" s="2" t="s">
        <v>3576</v>
      </c>
      <c r="D17" s="9" t="str">
        <f>HYPERLINK("https://pubmed.ncbi.nlm.nih.gov/39821650/","39821650")</f>
        <v>39821650</v>
      </c>
      <c r="E17" s="2" t="s">
        <v>3577</v>
      </c>
      <c r="F17" s="2" t="s">
        <v>3578</v>
      </c>
      <c r="G17" s="2" t="s">
        <v>3579</v>
      </c>
      <c r="H17" s="2" t="s">
        <v>3580</v>
      </c>
      <c r="I17" s="2" t="s">
        <v>3581</v>
      </c>
      <c r="J17" s="2" t="s">
        <v>3500</v>
      </c>
      <c r="K17" s="2" t="str">
        <f t="array" ref="K17">IFERROR(INDEX(Consenso!$O$2:$O$451,MATCH("39821650",Consenso!$A$2:$A$451&amp;"",0)),"")</f>
        <v>Incluir</v>
      </c>
      <c r="L17" s="21"/>
      <c r="M17" s="21"/>
    </row>
    <row r="18" ht="120.0" customHeight="1">
      <c r="A18" s="2">
        <v>14.0</v>
      </c>
      <c r="B18" s="2" t="s">
        <v>3535</v>
      </c>
      <c r="C18" s="2" t="s">
        <v>3582</v>
      </c>
      <c r="D18" s="9" t="str">
        <f>HYPERLINK("https://pubmed.ncbi.nlm.nih.gov/41485045/","41485045")</f>
        <v>41485045</v>
      </c>
      <c r="E18" s="2" t="s">
        <v>3583</v>
      </c>
      <c r="F18" s="2" t="s">
        <v>3584</v>
      </c>
      <c r="G18" s="2" t="s">
        <v>3585</v>
      </c>
      <c r="H18" s="2" t="s">
        <v>3586</v>
      </c>
      <c r="I18" s="2" t="s">
        <v>3587</v>
      </c>
      <c r="J18" s="2" t="s">
        <v>3500</v>
      </c>
      <c r="K18" s="2" t="str">
        <f t="array" ref="K18">IFERROR(INDEX(Consenso!$O$2:$O$451,MATCH("41485045",Consenso!$A$2:$A$451&amp;"",0)),"")</f>
        <v>Incluir</v>
      </c>
      <c r="L18" s="21"/>
      <c r="M18" s="21"/>
    </row>
    <row r="19" ht="120.0" customHeight="1">
      <c r="A19" s="2">
        <v>15.0</v>
      </c>
      <c r="B19" s="2" t="s">
        <v>3501</v>
      </c>
      <c r="C19" s="2" t="s">
        <v>3588</v>
      </c>
      <c r="D19" s="9" t="str">
        <f>HYPERLINK("https://pubmed.ncbi.nlm.nih.gov/41749627/","41749627")</f>
        <v>41749627</v>
      </c>
      <c r="E19" s="2" t="s">
        <v>3589</v>
      </c>
      <c r="F19" s="2" t="s">
        <v>3590</v>
      </c>
      <c r="G19" s="2" t="s">
        <v>3591</v>
      </c>
      <c r="H19" s="2" t="s">
        <v>3592</v>
      </c>
      <c r="I19" s="2" t="s">
        <v>3548</v>
      </c>
      <c r="J19" s="2" t="s">
        <v>3508</v>
      </c>
      <c r="K19" s="2" t="str">
        <f t="array" ref="K19">IFERROR(INDEX(Consenso!$O$2:$O$451,MATCH("41749627",Consenso!$A$2:$A$451&amp;"",0)),"")</f>
        <v>Incluir</v>
      </c>
      <c r="L19" s="21"/>
      <c r="M19" s="21"/>
    </row>
    <row r="20" ht="120.0" customHeight="1">
      <c r="A20" s="2">
        <v>16.0</v>
      </c>
      <c r="B20" s="2" t="s">
        <v>3593</v>
      </c>
      <c r="C20" s="2" t="s">
        <v>3594</v>
      </c>
      <c r="D20" s="9" t="str">
        <f>HYPERLINK("https://pubmed.ncbi.nlm.nih.gov/37822198/","37822198")</f>
        <v>37822198</v>
      </c>
      <c r="E20" s="2" t="s">
        <v>3595</v>
      </c>
      <c r="F20" s="2" t="s">
        <v>3596</v>
      </c>
      <c r="G20" s="2" t="s">
        <v>3597</v>
      </c>
      <c r="H20" s="2" t="s">
        <v>3598</v>
      </c>
      <c r="I20" s="2" t="s">
        <v>3599</v>
      </c>
      <c r="J20" s="2" t="s">
        <v>3508</v>
      </c>
      <c r="K20" s="2" t="str">
        <f t="array" ref="K20">IFERROR(INDEX(Consenso!$O$2:$O$451,MATCH("37822198",Consenso!$A$2:$A$451&amp;"",0)),"")</f>
        <v>Incluir</v>
      </c>
      <c r="L20" s="21"/>
      <c r="M20" s="21"/>
    </row>
    <row r="21" ht="120.0" customHeight="1">
      <c r="A21" s="2">
        <v>17.0</v>
      </c>
      <c r="B21" s="2" t="s">
        <v>3509</v>
      </c>
      <c r="C21" s="2" t="s">
        <v>3600</v>
      </c>
      <c r="D21" s="9" t="str">
        <f>HYPERLINK("https://pubmed.ncbi.nlm.nih.gov/39296445/","39296445")</f>
        <v>39296445</v>
      </c>
      <c r="E21" s="2" t="s">
        <v>3601</v>
      </c>
      <c r="F21" s="2" t="s">
        <v>3602</v>
      </c>
      <c r="G21" s="2" t="s">
        <v>3603</v>
      </c>
      <c r="H21" s="2" t="s">
        <v>3604</v>
      </c>
      <c r="I21" s="2" t="s">
        <v>3605</v>
      </c>
      <c r="J21" s="2" t="s">
        <v>3508</v>
      </c>
      <c r="K21" s="2" t="str">
        <f t="array" ref="K21">IFERROR(INDEX(Consenso!$O$2:$O$451,MATCH("39296445",Consenso!$A$2:$A$451&amp;"",0)),"")</f>
        <v>Apoio</v>
      </c>
      <c r="L21" s="21"/>
      <c r="M21" s="21"/>
    </row>
    <row r="22" ht="120.0" customHeight="1">
      <c r="A22" s="2">
        <v>18.0</v>
      </c>
      <c r="B22" s="2" t="s">
        <v>3606</v>
      </c>
      <c r="C22" s="2" t="s">
        <v>3607</v>
      </c>
      <c r="D22" s="9" t="str">
        <f>HYPERLINK("https://pubmed.ncbi.nlm.nih.gov/42302673/","42302673")</f>
        <v>42302673</v>
      </c>
      <c r="E22" s="2" t="s">
        <v>3608</v>
      </c>
      <c r="F22" s="2" t="s">
        <v>3609</v>
      </c>
      <c r="G22" s="2" t="s">
        <v>3610</v>
      </c>
      <c r="H22" s="2" t="s">
        <v>3611</v>
      </c>
      <c r="I22" s="2" t="s">
        <v>3612</v>
      </c>
      <c r="J22" s="2" t="s">
        <v>3508</v>
      </c>
      <c r="K22" s="2" t="str">
        <f t="array" ref="K22">IFERROR(INDEX(Consenso!$O$2:$O$451,MATCH("42302673",Consenso!$A$2:$A$451&amp;"",0)),"")</f>
        <v>Incluir</v>
      </c>
      <c r="L22" s="21"/>
      <c r="M22" s="21"/>
    </row>
    <row r="23" ht="120.0" customHeight="1">
      <c r="A23" s="2">
        <v>19.0</v>
      </c>
      <c r="B23" s="2" t="s">
        <v>3555</v>
      </c>
      <c r="C23" s="2" t="s">
        <v>3613</v>
      </c>
      <c r="D23" s="9" t="str">
        <f>HYPERLINK("https://pubmed.ncbi.nlm.nih.gov/40968138/","40968138")</f>
        <v>40968138</v>
      </c>
      <c r="E23" s="2" t="s">
        <v>3614</v>
      </c>
      <c r="F23" s="2" t="s">
        <v>3615</v>
      </c>
      <c r="G23" s="2" t="s">
        <v>3616</v>
      </c>
      <c r="H23" s="2" t="s">
        <v>3617</v>
      </c>
      <c r="I23" s="2" t="s">
        <v>3618</v>
      </c>
      <c r="J23" s="2" t="s">
        <v>3508</v>
      </c>
      <c r="K23" s="2" t="str">
        <f t="array" ref="K23">IFERROR(INDEX(Consenso!$O$2:$O$451,MATCH("40968138",Consenso!$A$2:$A$451&amp;"",0)),"")</f>
        <v>Apoio</v>
      </c>
      <c r="L23" s="21"/>
      <c r="M23" s="21"/>
    </row>
    <row r="24" ht="120.0" customHeight="1">
      <c r="A24" s="2">
        <v>20.0</v>
      </c>
      <c r="B24" s="2" t="s">
        <v>3619</v>
      </c>
      <c r="C24" s="2" t="s">
        <v>3620</v>
      </c>
      <c r="D24" s="9" t="str">
        <f>HYPERLINK("https://pubmed.ncbi.nlm.nih.gov/42634104/","42634104")</f>
        <v>42634104</v>
      </c>
      <c r="E24" s="2" t="s">
        <v>3621</v>
      </c>
      <c r="F24" s="2" t="s">
        <v>3622</v>
      </c>
      <c r="G24" s="2" t="s">
        <v>3623</v>
      </c>
      <c r="H24" s="2" t="s">
        <v>3624</v>
      </c>
      <c r="I24" s="2" t="s">
        <v>3625</v>
      </c>
      <c r="J24" s="2" t="s">
        <v>3508</v>
      </c>
      <c r="K24" s="2" t="str">
        <f t="array" ref="K24">IFERROR(INDEX(Consenso!$O$2:$O$451,MATCH("42634104",Consenso!$A$2:$A$451&amp;"",0)),"")</f>
        <v>Apoio</v>
      </c>
      <c r="L24" s="21"/>
      <c r="M24" s="21"/>
    </row>
    <row r="25" ht="15.75" customHeight="1"/>
    <row r="26" ht="15.75" customHeight="1">
      <c r="A26" s="5" t="s">
        <v>3626</v>
      </c>
    </row>
    <row r="27" ht="15.75" customHeight="1">
      <c r="A27" s="29" t="str">
        <f>HYPERLINK("https://pubmed.ncbi.nlm.nih.gov/37619598/","37619598")</f>
        <v>37619598</v>
      </c>
      <c r="C27" s="2" t="s">
        <v>3627</v>
      </c>
      <c r="F27" s="30" t="s">
        <v>3628</v>
      </c>
    </row>
    <row r="28" ht="15.75" customHeight="1">
      <c r="A28" s="29" t="str">
        <f>HYPERLINK("https://pubmed.ncbi.nlm.nih.gov/38071520/","38071520")</f>
        <v>38071520</v>
      </c>
      <c r="C28" s="2" t="s">
        <v>3629</v>
      </c>
      <c r="F28" s="30" t="s">
        <v>3630</v>
      </c>
    </row>
    <row r="29" ht="15.75" customHeight="1">
      <c r="A29" s="29" t="str">
        <f>HYPERLINK("https://pubmed.ncbi.nlm.nih.gov/38340889/","38340889")</f>
        <v>38340889</v>
      </c>
      <c r="C29" s="2" t="s">
        <v>3631</v>
      </c>
      <c r="F29" s="30" t="s">
        <v>3632</v>
      </c>
    </row>
    <row r="30" ht="15.75" customHeight="1">
      <c r="A30" s="29" t="str">
        <f>HYPERLINK("https://pubmed.ncbi.nlm.nih.gov/38884184/","38884184")</f>
        <v>38884184</v>
      </c>
      <c r="C30" s="2" t="s">
        <v>3633</v>
      </c>
      <c r="F30" s="30" t="s">
        <v>3634</v>
      </c>
    </row>
    <row r="31" ht="15.75" customHeight="1">
      <c r="A31" s="29" t="str">
        <f>HYPERLINK("https://pubmed.ncbi.nlm.nih.gov/38955626/","38955626")</f>
        <v>38955626</v>
      </c>
      <c r="C31" s="2" t="s">
        <v>3635</v>
      </c>
      <c r="F31" s="30" t="s">
        <v>3636</v>
      </c>
    </row>
    <row r="32" ht="15.75" customHeight="1">
      <c r="A32" s="29" t="str">
        <f>HYPERLINK("https://pubmed.ncbi.nlm.nih.gov/39257320/","39257320")</f>
        <v>39257320</v>
      </c>
      <c r="C32" s="2" t="s">
        <v>3637</v>
      </c>
      <c r="F32" s="2" t="s">
        <v>3638</v>
      </c>
    </row>
    <row r="33" ht="15.75" customHeight="1">
      <c r="A33" s="29" t="str">
        <f>HYPERLINK("https://pubmed.ncbi.nlm.nih.gov/39854275/","39854275")</f>
        <v>39854275</v>
      </c>
      <c r="C33" s="2" t="s">
        <v>3639</v>
      </c>
      <c r="F33" s="30" t="s">
        <v>3640</v>
      </c>
    </row>
    <row r="34" ht="15.75" customHeight="1">
      <c r="A34" s="29" t="str">
        <f>HYPERLINK("https://pubmed.ncbi.nlm.nih.gov/39937286/","39937286")</f>
        <v>39937286</v>
      </c>
      <c r="C34" s="2" t="s">
        <v>3641</v>
      </c>
      <c r="F34" s="2" t="s">
        <v>3642</v>
      </c>
    </row>
    <row r="35" ht="15.75" customHeight="1">
      <c r="A35" s="29" t="str">
        <f>HYPERLINK("https://pubmed.ncbi.nlm.nih.gov/39961659/","39961659")</f>
        <v>39961659</v>
      </c>
      <c r="C35" s="2" t="s">
        <v>3643</v>
      </c>
      <c r="F35" s="2" t="s">
        <v>3644</v>
      </c>
    </row>
    <row r="36" ht="15.75" customHeight="1">
      <c r="A36" s="29" t="str">
        <f>HYPERLINK("https://pubmed.ncbi.nlm.nih.gov/40010013/","40010013")</f>
        <v>40010013</v>
      </c>
      <c r="C36" s="2" t="s">
        <v>3645</v>
      </c>
      <c r="F36" s="2" t="s">
        <v>3646</v>
      </c>
    </row>
    <row r="37" ht="15.75" customHeight="1">
      <c r="A37" s="29" t="str">
        <f>HYPERLINK("https://pubmed.ncbi.nlm.nih.gov/40831321/","40831321")</f>
        <v>40831321</v>
      </c>
      <c r="C37" s="2" t="s">
        <v>3647</v>
      </c>
      <c r="F37" s="30" t="s">
        <v>3648</v>
      </c>
    </row>
    <row r="38" ht="15.75" customHeight="1">
      <c r="A38" s="29" t="str">
        <f>HYPERLINK("https://pubmed.ncbi.nlm.nih.gov/42599515/","42599515")</f>
        <v>42599515</v>
      </c>
      <c r="C38" s="2" t="s">
        <v>3649</v>
      </c>
      <c r="F38" s="2" t="s">
        <v>3650</v>
      </c>
    </row>
    <row r="39" ht="15.75" customHeight="1">
      <c r="A39" s="29" t="str">
        <f>HYPERLINK("https://pubmed.ncbi.nlm.nih.gov/42764676/","42764676")</f>
        <v>42764676</v>
      </c>
      <c r="C39" s="2" t="s">
        <v>3651</v>
      </c>
      <c r="F39" s="2" t="s">
        <v>3652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L5:L24">
      <formula1>"Sim,Não,Talvez"</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3" width="16.0"/>
    <col customWidth="1" min="4" max="4" width="18.0"/>
    <col customWidth="1" min="5" max="5" width="20.0"/>
    <col customWidth="1" min="6" max="6" width="18.0"/>
    <col customWidth="1" min="7" max="7" width="14.0"/>
    <col customWidth="1" min="8" max="8" width="16.0"/>
    <col customWidth="1" min="9" max="26" width="8.71"/>
  </cols>
  <sheetData>
    <row r="1">
      <c r="A1" s="26" t="s">
        <v>3653</v>
      </c>
    </row>
    <row r="2">
      <c r="A2" s="15" t="s">
        <v>3654</v>
      </c>
    </row>
    <row r="4">
      <c r="A4" s="27" t="s">
        <v>77</v>
      </c>
      <c r="B4" s="31" t="s">
        <v>3655</v>
      </c>
      <c r="C4" s="32" t="s">
        <v>3542</v>
      </c>
      <c r="D4" s="33" t="s">
        <v>3569</v>
      </c>
      <c r="E4" s="34" t="s">
        <v>3656</v>
      </c>
      <c r="F4" s="35" t="s">
        <v>3500</v>
      </c>
      <c r="G4" s="27" t="s">
        <v>3657</v>
      </c>
      <c r="H4" s="27" t="s">
        <v>3658</v>
      </c>
    </row>
    <row r="5">
      <c r="A5" s="15">
        <v>2000.0</v>
      </c>
      <c r="B5" s="15">
        <v>0.0</v>
      </c>
      <c r="C5" s="15">
        <v>0.0</v>
      </c>
      <c r="D5" s="15">
        <v>0.0</v>
      </c>
      <c r="E5" s="15">
        <v>0.0</v>
      </c>
      <c r="F5" s="15">
        <v>0.0</v>
      </c>
      <c r="G5" s="15">
        <f t="shared" ref="G5:G31" si="1">SUM(B5:F5)</f>
        <v>0</v>
      </c>
      <c r="H5" s="15">
        <v>5.0</v>
      </c>
    </row>
    <row r="6">
      <c r="A6" s="15">
        <v>2001.0</v>
      </c>
      <c r="B6" s="15">
        <v>0.0</v>
      </c>
      <c r="C6" s="15">
        <v>0.0</v>
      </c>
      <c r="D6" s="15">
        <v>0.0</v>
      </c>
      <c r="E6" s="15">
        <v>0.0</v>
      </c>
      <c r="F6" s="15">
        <v>0.0</v>
      </c>
      <c r="G6" s="15">
        <f t="shared" si="1"/>
        <v>0</v>
      </c>
      <c r="H6" s="15">
        <v>10.0</v>
      </c>
    </row>
    <row r="7">
      <c r="A7" s="15">
        <v>2002.0</v>
      </c>
      <c r="B7" s="15">
        <v>0.0</v>
      </c>
      <c r="C7" s="15">
        <v>0.0</v>
      </c>
      <c r="D7" s="15">
        <v>0.0</v>
      </c>
      <c r="E7" s="15">
        <v>0.0</v>
      </c>
      <c r="F7" s="15">
        <v>0.0</v>
      </c>
      <c r="G7" s="15">
        <f t="shared" si="1"/>
        <v>0</v>
      </c>
      <c r="H7" s="15">
        <v>5.0</v>
      </c>
    </row>
    <row r="8">
      <c r="A8" s="15">
        <v>2003.0</v>
      </c>
      <c r="B8" s="15">
        <v>0.0</v>
      </c>
      <c r="C8" s="15">
        <v>0.0</v>
      </c>
      <c r="D8" s="15">
        <v>0.0</v>
      </c>
      <c r="E8" s="15">
        <v>0.0</v>
      </c>
      <c r="F8" s="15">
        <v>1.0</v>
      </c>
      <c r="G8" s="15">
        <f t="shared" si="1"/>
        <v>1</v>
      </c>
      <c r="H8" s="15">
        <v>5.0</v>
      </c>
    </row>
    <row r="9">
      <c r="A9" s="15">
        <v>2004.0</v>
      </c>
      <c r="B9" s="15">
        <v>0.0</v>
      </c>
      <c r="C9" s="15">
        <v>0.0</v>
      </c>
      <c r="D9" s="15">
        <v>0.0</v>
      </c>
      <c r="E9" s="15">
        <v>0.0</v>
      </c>
      <c r="F9" s="15">
        <v>0.0</v>
      </c>
      <c r="G9" s="15">
        <f t="shared" si="1"/>
        <v>0</v>
      </c>
      <c r="H9" s="15">
        <v>3.0</v>
      </c>
    </row>
    <row r="10">
      <c r="A10" s="15">
        <v>2005.0</v>
      </c>
      <c r="B10" s="15">
        <v>0.0</v>
      </c>
      <c r="C10" s="15">
        <v>0.0</v>
      </c>
      <c r="D10" s="15">
        <v>1.0</v>
      </c>
      <c r="E10" s="15">
        <v>0.0</v>
      </c>
      <c r="F10" s="15">
        <v>0.0</v>
      </c>
      <c r="G10" s="15">
        <f t="shared" si="1"/>
        <v>1</v>
      </c>
      <c r="H10" s="15">
        <v>8.0</v>
      </c>
    </row>
    <row r="11">
      <c r="A11" s="15">
        <v>2006.0</v>
      </c>
      <c r="B11" s="15">
        <v>0.0</v>
      </c>
      <c r="C11" s="15">
        <v>0.0</v>
      </c>
      <c r="D11" s="15">
        <v>0.0</v>
      </c>
      <c r="E11" s="15">
        <v>0.0</v>
      </c>
      <c r="F11" s="15">
        <v>0.0</v>
      </c>
      <c r="G11" s="15">
        <f t="shared" si="1"/>
        <v>0</v>
      </c>
      <c r="H11" s="15">
        <v>8.0</v>
      </c>
    </row>
    <row r="12">
      <c r="A12" s="15">
        <v>2007.0</v>
      </c>
      <c r="B12" s="15">
        <v>0.0</v>
      </c>
      <c r="C12" s="15">
        <v>1.0</v>
      </c>
      <c r="D12" s="15">
        <v>0.0</v>
      </c>
      <c r="E12" s="15">
        <v>0.0</v>
      </c>
      <c r="F12" s="15">
        <v>0.0</v>
      </c>
      <c r="G12" s="15">
        <f t="shared" si="1"/>
        <v>1</v>
      </c>
      <c r="H12" s="15">
        <v>12.0</v>
      </c>
    </row>
    <row r="13">
      <c r="A13" s="15">
        <v>2008.0</v>
      </c>
      <c r="B13" s="15">
        <v>0.0</v>
      </c>
      <c r="C13" s="15">
        <v>0.0</v>
      </c>
      <c r="D13" s="15">
        <v>1.0</v>
      </c>
      <c r="E13" s="15">
        <v>0.0</v>
      </c>
      <c r="F13" s="15">
        <v>0.0</v>
      </c>
      <c r="G13" s="15">
        <f t="shared" si="1"/>
        <v>1</v>
      </c>
      <c r="H13" s="15">
        <v>11.0</v>
      </c>
    </row>
    <row r="14">
      <c r="A14" s="15">
        <v>2009.0</v>
      </c>
      <c r="B14" s="15">
        <v>1.0</v>
      </c>
      <c r="C14" s="15">
        <v>0.0</v>
      </c>
      <c r="D14" s="15">
        <v>0.0</v>
      </c>
      <c r="E14" s="15">
        <v>0.0</v>
      </c>
      <c r="F14" s="15">
        <v>0.0</v>
      </c>
      <c r="G14" s="15">
        <f t="shared" si="1"/>
        <v>1</v>
      </c>
      <c r="H14" s="15">
        <v>7.0</v>
      </c>
    </row>
    <row r="15">
      <c r="A15" s="15">
        <v>2010.0</v>
      </c>
      <c r="B15" s="15">
        <v>0.0</v>
      </c>
      <c r="C15" s="15">
        <v>0.0</v>
      </c>
      <c r="D15" s="15">
        <v>1.0</v>
      </c>
      <c r="E15" s="15">
        <v>0.0</v>
      </c>
      <c r="F15" s="15">
        <v>0.0</v>
      </c>
      <c r="G15" s="15">
        <f t="shared" si="1"/>
        <v>1</v>
      </c>
      <c r="H15" s="15">
        <v>11.0</v>
      </c>
    </row>
    <row r="16">
      <c r="A16" s="15">
        <v>2011.0</v>
      </c>
      <c r="B16" s="15">
        <v>0.0</v>
      </c>
      <c r="C16" s="15">
        <v>0.0</v>
      </c>
      <c r="D16" s="15">
        <v>0.0</v>
      </c>
      <c r="E16" s="15">
        <v>1.0</v>
      </c>
      <c r="F16" s="15">
        <v>0.0</v>
      </c>
      <c r="G16" s="15">
        <f t="shared" si="1"/>
        <v>1</v>
      </c>
      <c r="H16" s="15">
        <v>13.0</v>
      </c>
    </row>
    <row r="17">
      <c r="A17" s="15">
        <v>2012.0</v>
      </c>
      <c r="B17" s="15">
        <v>0.0</v>
      </c>
      <c r="C17" s="15">
        <v>0.0</v>
      </c>
      <c r="D17" s="15">
        <v>2.0</v>
      </c>
      <c r="E17" s="15">
        <v>0.0</v>
      </c>
      <c r="F17" s="15">
        <v>1.0</v>
      </c>
      <c r="G17" s="15">
        <f t="shared" si="1"/>
        <v>3</v>
      </c>
      <c r="H17" s="15">
        <v>10.0</v>
      </c>
    </row>
    <row r="18">
      <c r="A18" s="15">
        <v>2013.0</v>
      </c>
      <c r="B18" s="15">
        <v>0.0</v>
      </c>
      <c r="C18" s="15">
        <v>0.0</v>
      </c>
      <c r="D18" s="15">
        <v>2.0</v>
      </c>
      <c r="E18" s="15">
        <v>0.0</v>
      </c>
      <c r="F18" s="15">
        <v>0.0</v>
      </c>
      <c r="G18" s="15">
        <f t="shared" si="1"/>
        <v>2</v>
      </c>
      <c r="H18" s="15">
        <v>16.0</v>
      </c>
    </row>
    <row r="19">
      <c r="A19" s="15">
        <v>2014.0</v>
      </c>
      <c r="B19" s="15">
        <v>0.0</v>
      </c>
      <c r="C19" s="15">
        <v>0.0</v>
      </c>
      <c r="D19" s="15">
        <v>2.0</v>
      </c>
      <c r="E19" s="15">
        <v>0.0</v>
      </c>
      <c r="F19" s="15">
        <v>1.0</v>
      </c>
      <c r="G19" s="15">
        <f t="shared" si="1"/>
        <v>3</v>
      </c>
      <c r="H19" s="15">
        <v>16.0</v>
      </c>
    </row>
    <row r="20">
      <c r="A20" s="15">
        <v>2015.0</v>
      </c>
      <c r="B20" s="15">
        <v>0.0</v>
      </c>
      <c r="C20" s="15">
        <v>0.0</v>
      </c>
      <c r="D20" s="15">
        <v>0.0</v>
      </c>
      <c r="E20" s="15">
        <v>0.0</v>
      </c>
      <c r="F20" s="15">
        <v>2.0</v>
      </c>
      <c r="G20" s="15">
        <f t="shared" si="1"/>
        <v>2</v>
      </c>
      <c r="H20" s="15">
        <v>15.0</v>
      </c>
    </row>
    <row r="21" ht="15.75" customHeight="1">
      <c r="A21" s="15">
        <v>2016.0</v>
      </c>
      <c r="B21" s="15">
        <v>0.0</v>
      </c>
      <c r="C21" s="15">
        <v>1.0</v>
      </c>
      <c r="D21" s="15">
        <v>2.0</v>
      </c>
      <c r="E21" s="15">
        <v>1.0</v>
      </c>
      <c r="F21" s="15">
        <v>3.0</v>
      </c>
      <c r="G21" s="15">
        <f t="shared" si="1"/>
        <v>7</v>
      </c>
      <c r="H21" s="15">
        <v>38.0</v>
      </c>
    </row>
    <row r="22" ht="15.75" customHeight="1">
      <c r="A22" s="15">
        <v>2017.0</v>
      </c>
      <c r="B22" s="15">
        <v>0.0</v>
      </c>
      <c r="C22" s="15">
        <v>1.0</v>
      </c>
      <c r="D22" s="15">
        <v>1.0</v>
      </c>
      <c r="E22" s="15">
        <v>0.0</v>
      </c>
      <c r="F22" s="15">
        <v>0.0</v>
      </c>
      <c r="G22" s="15">
        <f t="shared" si="1"/>
        <v>2</v>
      </c>
      <c r="H22" s="15">
        <v>25.0</v>
      </c>
    </row>
    <row r="23" ht="15.75" customHeight="1">
      <c r="A23" s="15">
        <v>2018.0</v>
      </c>
      <c r="B23" s="15">
        <v>0.0</v>
      </c>
      <c r="C23" s="15">
        <v>1.0</v>
      </c>
      <c r="D23" s="15">
        <v>0.0</v>
      </c>
      <c r="E23" s="15">
        <v>1.0</v>
      </c>
      <c r="F23" s="15">
        <v>1.0</v>
      </c>
      <c r="G23" s="15">
        <f t="shared" si="1"/>
        <v>3</v>
      </c>
      <c r="H23" s="15">
        <v>12.0</v>
      </c>
    </row>
    <row r="24" ht="15.75" customHeight="1">
      <c r="A24" s="15">
        <v>2019.0</v>
      </c>
      <c r="B24" s="15">
        <v>0.0</v>
      </c>
      <c r="C24" s="15">
        <v>1.0</v>
      </c>
      <c r="D24" s="15">
        <v>1.0</v>
      </c>
      <c r="E24" s="15">
        <v>1.0</v>
      </c>
      <c r="F24" s="15">
        <v>0.0</v>
      </c>
      <c r="G24" s="15">
        <f t="shared" si="1"/>
        <v>3</v>
      </c>
      <c r="H24" s="15">
        <v>19.0</v>
      </c>
    </row>
    <row r="25" ht="15.75" customHeight="1">
      <c r="A25" s="15">
        <v>2020.0</v>
      </c>
      <c r="B25" s="15">
        <v>1.0</v>
      </c>
      <c r="C25" s="15">
        <v>0.0</v>
      </c>
      <c r="D25" s="15">
        <v>0.0</v>
      </c>
      <c r="E25" s="15">
        <v>0.0</v>
      </c>
      <c r="F25" s="15">
        <v>1.0</v>
      </c>
      <c r="G25" s="15">
        <f t="shared" si="1"/>
        <v>2</v>
      </c>
      <c r="H25" s="15">
        <v>25.0</v>
      </c>
    </row>
    <row r="26" ht="15.75" customHeight="1">
      <c r="A26" s="15">
        <v>2021.0</v>
      </c>
      <c r="B26" s="15">
        <v>0.0</v>
      </c>
      <c r="C26" s="15">
        <v>2.0</v>
      </c>
      <c r="D26" s="15">
        <v>0.0</v>
      </c>
      <c r="E26" s="15">
        <v>0.0</v>
      </c>
      <c r="F26" s="15">
        <v>2.0</v>
      </c>
      <c r="G26" s="15">
        <f t="shared" si="1"/>
        <v>4</v>
      </c>
      <c r="H26" s="15">
        <v>29.0</v>
      </c>
    </row>
    <row r="27" ht="15.75" customHeight="1">
      <c r="A27" s="15">
        <v>2022.0</v>
      </c>
      <c r="B27" s="15">
        <v>1.0</v>
      </c>
      <c r="C27" s="15">
        <v>0.0</v>
      </c>
      <c r="D27" s="15">
        <v>0.0</v>
      </c>
      <c r="E27" s="15">
        <v>0.0</v>
      </c>
      <c r="F27" s="15">
        <v>2.0</v>
      </c>
      <c r="G27" s="15">
        <f t="shared" si="1"/>
        <v>3</v>
      </c>
      <c r="H27" s="15">
        <v>21.0</v>
      </c>
    </row>
    <row r="28" ht="15.75" customHeight="1">
      <c r="A28" s="15">
        <v>2023.0</v>
      </c>
      <c r="B28" s="15">
        <v>0.0</v>
      </c>
      <c r="C28" s="15">
        <v>1.0</v>
      </c>
      <c r="D28" s="15">
        <v>1.0</v>
      </c>
      <c r="E28" s="15">
        <v>0.0</v>
      </c>
      <c r="F28" s="15">
        <v>1.0</v>
      </c>
      <c r="G28" s="15">
        <f t="shared" si="1"/>
        <v>3</v>
      </c>
      <c r="H28" s="15">
        <v>29.0</v>
      </c>
    </row>
    <row r="29" ht="15.75" customHeight="1">
      <c r="A29" s="15">
        <v>2024.0</v>
      </c>
      <c r="B29" s="15">
        <v>0.0</v>
      </c>
      <c r="C29" s="15">
        <v>0.0</v>
      </c>
      <c r="D29" s="15">
        <v>0.0</v>
      </c>
      <c r="E29" s="15">
        <v>1.0</v>
      </c>
      <c r="F29" s="15">
        <v>1.0</v>
      </c>
      <c r="G29" s="15">
        <f t="shared" si="1"/>
        <v>2</v>
      </c>
      <c r="H29" s="15">
        <v>31.0</v>
      </c>
    </row>
    <row r="30" ht="15.75" customHeight="1">
      <c r="A30" s="15">
        <v>2025.0</v>
      </c>
      <c r="B30" s="15">
        <v>1.0</v>
      </c>
      <c r="C30" s="15">
        <v>1.0</v>
      </c>
      <c r="D30" s="15">
        <v>1.0</v>
      </c>
      <c r="E30" s="15">
        <v>1.0</v>
      </c>
      <c r="F30" s="15">
        <v>5.0</v>
      </c>
      <c r="G30" s="15">
        <f t="shared" si="1"/>
        <v>9</v>
      </c>
      <c r="H30" s="15">
        <v>37.0</v>
      </c>
    </row>
    <row r="31" ht="15.75" customHeight="1">
      <c r="A31" s="15">
        <v>2026.0</v>
      </c>
      <c r="B31" s="15">
        <v>0.0</v>
      </c>
      <c r="C31" s="15">
        <v>0.0</v>
      </c>
      <c r="D31" s="15">
        <v>0.0</v>
      </c>
      <c r="E31" s="15">
        <v>0.0</v>
      </c>
      <c r="F31" s="15">
        <v>2.0</v>
      </c>
      <c r="G31" s="15">
        <f t="shared" si="1"/>
        <v>2</v>
      </c>
      <c r="H31" s="15">
        <v>29.0</v>
      </c>
    </row>
    <row r="32" ht="15.75" customHeight="1">
      <c r="A32" s="5" t="s">
        <v>3659</v>
      </c>
      <c r="B32" s="5">
        <f t="shared" ref="B32:H32" si="2">SUM(B5:B31)</f>
        <v>4</v>
      </c>
      <c r="C32" s="5">
        <f t="shared" si="2"/>
        <v>9</v>
      </c>
      <c r="D32" s="5">
        <f t="shared" si="2"/>
        <v>15</v>
      </c>
      <c r="E32" s="5">
        <f t="shared" si="2"/>
        <v>6</v>
      </c>
      <c r="F32" s="5">
        <f t="shared" si="2"/>
        <v>23</v>
      </c>
      <c r="G32" s="5">
        <f t="shared" si="2"/>
        <v>57</v>
      </c>
      <c r="H32" s="5">
        <f t="shared" si="2"/>
        <v>450</v>
      </c>
    </row>
    <row r="33" ht="15.75" customHeight="1"/>
    <row r="34" ht="15.75" customHeight="1"/>
    <row r="35" ht="15.75" customHeight="1">
      <c r="A35" s="27" t="s">
        <v>3660</v>
      </c>
      <c r="B35" s="27" t="s">
        <v>3655</v>
      </c>
      <c r="C35" s="27" t="s">
        <v>3542</v>
      </c>
      <c r="D35" s="27" t="s">
        <v>3569</v>
      </c>
      <c r="E35" s="27" t="s">
        <v>3656</v>
      </c>
      <c r="F35" s="27" t="s">
        <v>3500</v>
      </c>
      <c r="G35" s="27" t="s">
        <v>3659</v>
      </c>
    </row>
    <row r="36" ht="15.75" customHeight="1">
      <c r="A36" s="15" t="s">
        <v>3661</v>
      </c>
      <c r="B36" s="15">
        <v>3.0</v>
      </c>
      <c r="C36" s="15">
        <v>8.0</v>
      </c>
      <c r="D36" s="15">
        <v>14.0</v>
      </c>
      <c r="E36" s="15">
        <v>4.0</v>
      </c>
      <c r="F36" s="15">
        <v>15.0</v>
      </c>
      <c r="G36" s="15">
        <f t="shared" ref="G36:G37" si="3">SUM(B36:F36)</f>
        <v>44</v>
      </c>
    </row>
    <row r="37" ht="15.75" customHeight="1">
      <c r="A37" s="15" t="s">
        <v>3662</v>
      </c>
      <c r="B37" s="15">
        <v>1.0</v>
      </c>
      <c r="C37" s="15">
        <v>1.0</v>
      </c>
      <c r="D37" s="15">
        <v>1.0</v>
      </c>
      <c r="E37" s="15">
        <v>2.0</v>
      </c>
      <c r="F37" s="15">
        <v>8.0</v>
      </c>
      <c r="G37" s="15">
        <f t="shared" si="3"/>
        <v>13</v>
      </c>
    </row>
    <row r="38" ht="15.75" customHeight="1"/>
    <row r="39" ht="15.75" customHeight="1">
      <c r="A39" s="27" t="s">
        <v>3663</v>
      </c>
      <c r="B39" s="27" t="s">
        <v>3655</v>
      </c>
      <c r="C39" s="27" t="s">
        <v>3542</v>
      </c>
      <c r="D39" s="27" t="s">
        <v>3569</v>
      </c>
      <c r="E39" s="27" t="s">
        <v>3656</v>
      </c>
      <c r="F39" s="27" t="s">
        <v>3500</v>
      </c>
    </row>
    <row r="40" ht="15.75" customHeight="1">
      <c r="A40" s="15" t="s">
        <v>3661</v>
      </c>
      <c r="B40" s="36">
        <f t="shared" ref="B40:F40" si="4">B36/$G$36</f>
        <v>0.06818181818</v>
      </c>
      <c r="C40" s="36">
        <f t="shared" si="4"/>
        <v>0.1818181818</v>
      </c>
      <c r="D40" s="36">
        <f t="shared" si="4"/>
        <v>0.3181818182</v>
      </c>
      <c r="E40" s="36">
        <f t="shared" si="4"/>
        <v>0.09090909091</v>
      </c>
      <c r="F40" s="36">
        <f t="shared" si="4"/>
        <v>0.3409090909</v>
      </c>
    </row>
    <row r="41" ht="15.75" customHeight="1">
      <c r="A41" s="15" t="s">
        <v>3662</v>
      </c>
      <c r="B41" s="36">
        <f t="shared" ref="B41:F41" si="5">B37/$G$37</f>
        <v>0.07692307692</v>
      </c>
      <c r="C41" s="36">
        <f t="shared" si="5"/>
        <v>0.07692307692</v>
      </c>
      <c r="D41" s="36">
        <f t="shared" si="5"/>
        <v>0.07692307692</v>
      </c>
      <c r="E41" s="36">
        <f t="shared" si="5"/>
        <v>0.1538461538</v>
      </c>
      <c r="F41" s="36">
        <f t="shared" si="5"/>
        <v>0.6153846154</v>
      </c>
    </row>
    <row r="42" ht="15.75" customHeight="1"/>
    <row r="43" ht="15.0" customHeight="1">
      <c r="A43" s="3" t="s">
        <v>3664</v>
      </c>
    </row>
    <row r="44" ht="30.0" customHeight="1">
      <c r="A44" s="2" t="s">
        <v>3665</v>
      </c>
    </row>
    <row r="45" ht="30.0" customHeight="1">
      <c r="A45" s="2" t="s">
        <v>3666</v>
      </c>
    </row>
    <row r="46" ht="30.0" customHeight="1">
      <c r="A46" s="2" t="s">
        <v>3667</v>
      </c>
    </row>
    <row r="47" ht="30.0" customHeight="1">
      <c r="A47" s="2" t="s">
        <v>3668</v>
      </c>
    </row>
    <row r="48" ht="15.75" customHeight="1"/>
    <row r="49" ht="15.75" customHeight="1"/>
    <row r="50" ht="15.75" customHeight="1">
      <c r="A50" s="5" t="s">
        <v>3669</v>
      </c>
    </row>
    <row r="51" ht="15.75" customHeight="1">
      <c r="A51" s="27" t="s">
        <v>76</v>
      </c>
      <c r="B51" s="27" t="s">
        <v>77</v>
      </c>
      <c r="C51" s="27" t="s">
        <v>79</v>
      </c>
      <c r="D51" s="27" t="s">
        <v>3670</v>
      </c>
      <c r="E51" s="27" t="s">
        <v>3671</v>
      </c>
      <c r="F51" s="27" t="s">
        <v>3672</v>
      </c>
      <c r="G51" s="27"/>
      <c r="H51" s="27"/>
    </row>
    <row r="52" ht="15.75" customHeight="1">
      <c r="A52" s="37" t="str">
        <f>HYPERLINK("https://pubmed.ncbi.nlm.nih.gov/12671111/","12671111")</f>
        <v>12671111</v>
      </c>
      <c r="B52" s="2">
        <v>2003.0</v>
      </c>
      <c r="C52" s="2" t="s">
        <v>672</v>
      </c>
      <c r="D52" s="38" t="s">
        <v>3500</v>
      </c>
      <c r="E52" s="2" t="s">
        <v>3673</v>
      </c>
      <c r="F52" s="2"/>
    </row>
    <row r="53" ht="15.75" customHeight="1">
      <c r="A53" s="37" t="str">
        <f>HYPERLINK("https://pubmed.ncbi.nlm.nih.gov/16184512/","16184512")</f>
        <v>16184512</v>
      </c>
      <c r="B53" s="2">
        <v>2005.0</v>
      </c>
      <c r="C53" s="2" t="s">
        <v>1865</v>
      </c>
      <c r="D53" s="39" t="s">
        <v>3569</v>
      </c>
      <c r="E53" s="2" t="s">
        <v>3674</v>
      </c>
      <c r="F53" s="2"/>
    </row>
    <row r="54" ht="15.75" customHeight="1">
      <c r="A54" s="37" t="str">
        <f>HYPERLINK("https://pubmed.ncbi.nlm.nih.gov/18019371/","18019371")</f>
        <v>18019371</v>
      </c>
      <c r="B54" s="2">
        <v>2007.0</v>
      </c>
      <c r="C54" s="2" t="s">
        <v>642</v>
      </c>
      <c r="D54" s="40" t="s">
        <v>3542</v>
      </c>
      <c r="E54" s="2" t="s">
        <v>3675</v>
      </c>
      <c r="F54" s="2"/>
    </row>
    <row r="55" ht="15.75" customHeight="1">
      <c r="A55" s="37" t="str">
        <f>HYPERLINK("https://pubmed.ncbi.nlm.nih.gov/18427812/","18427812")</f>
        <v>18427812</v>
      </c>
      <c r="B55" s="2">
        <v>2008.0</v>
      </c>
      <c r="C55" s="2" t="s">
        <v>1830</v>
      </c>
      <c r="D55" s="39" t="s">
        <v>3569</v>
      </c>
      <c r="E55" s="2" t="s">
        <v>3676</v>
      </c>
      <c r="F55" s="2"/>
    </row>
    <row r="56" ht="15.75" customHeight="1">
      <c r="A56" s="37" t="str">
        <f>HYPERLINK("https://pubmed.ncbi.nlm.nih.gov/19697393/","19697393")</f>
        <v>19697393</v>
      </c>
      <c r="B56" s="2">
        <v>2009.0</v>
      </c>
      <c r="C56" s="2" t="s">
        <v>1822</v>
      </c>
      <c r="D56" s="41" t="s">
        <v>3655</v>
      </c>
      <c r="E56" s="2" t="s">
        <v>1822</v>
      </c>
      <c r="F56" s="2" t="s">
        <v>3677</v>
      </c>
    </row>
    <row r="57" ht="15.75" customHeight="1">
      <c r="A57" s="37" t="str">
        <f>HYPERLINK("https://pubmed.ncbi.nlm.nih.gov/20683907/","20683907")</f>
        <v>20683907</v>
      </c>
      <c r="B57" s="2">
        <v>2010.0</v>
      </c>
      <c r="C57" s="2" t="s">
        <v>610</v>
      </c>
      <c r="D57" s="39" t="s">
        <v>3569</v>
      </c>
      <c r="E57" s="2" t="s">
        <v>3678</v>
      </c>
      <c r="F57" s="2"/>
    </row>
    <row r="58" ht="15.75" customHeight="1">
      <c r="A58" s="37" t="str">
        <f>HYPERLINK("https://pubmed.ncbi.nlm.nih.gov/21990236/","21990236")</f>
        <v>21990236</v>
      </c>
      <c r="B58" s="2">
        <v>2011.0</v>
      </c>
      <c r="C58" s="2" t="s">
        <v>587</v>
      </c>
      <c r="D58" s="42" t="s">
        <v>3656</v>
      </c>
      <c r="E58" s="2" t="s">
        <v>3679</v>
      </c>
      <c r="F58" s="2"/>
    </row>
    <row r="59" ht="15.75" customHeight="1">
      <c r="A59" s="37" t="str">
        <f>HYPERLINK("https://pubmed.ncbi.nlm.nih.gov/21627552/","21627552")</f>
        <v>21627552</v>
      </c>
      <c r="B59" s="2">
        <v>2012.0</v>
      </c>
      <c r="C59" s="2" t="s">
        <v>2045</v>
      </c>
      <c r="D59" s="39" t="s">
        <v>3569</v>
      </c>
      <c r="E59" s="2" t="s">
        <v>3680</v>
      </c>
      <c r="F59" s="2"/>
    </row>
    <row r="60" ht="15.75" customHeight="1">
      <c r="A60" s="37" t="str">
        <f>HYPERLINK("https://pubmed.ncbi.nlm.nih.gov/22492767/","22492767")</f>
        <v>22492767</v>
      </c>
      <c r="B60" s="2">
        <v>2012.0</v>
      </c>
      <c r="C60" s="2" t="s">
        <v>570</v>
      </c>
      <c r="D60" s="38" t="s">
        <v>3500</v>
      </c>
      <c r="E60" s="2" t="s">
        <v>3681</v>
      </c>
      <c r="F60" s="2"/>
    </row>
    <row r="61" ht="15.75" customHeight="1">
      <c r="A61" s="37" t="str">
        <f>HYPERLINK("https://pubmed.ncbi.nlm.nih.gov/22826570/","22826570")</f>
        <v>22826570</v>
      </c>
      <c r="B61" s="2">
        <v>2012.0</v>
      </c>
      <c r="C61" s="2" t="s">
        <v>889</v>
      </c>
      <c r="D61" s="39" t="s">
        <v>3569</v>
      </c>
      <c r="E61" s="2" t="s">
        <v>3682</v>
      </c>
      <c r="F61" s="2" t="s">
        <v>3683</v>
      </c>
    </row>
    <row r="62" ht="15.75" customHeight="1">
      <c r="A62" s="37" t="str">
        <f>HYPERLINK("https://pubmed.ncbi.nlm.nih.gov/23401811/","23401811")</f>
        <v>23401811</v>
      </c>
      <c r="B62" s="2">
        <v>2013.0</v>
      </c>
      <c r="C62" s="2" t="s">
        <v>956</v>
      </c>
      <c r="D62" s="39" t="s">
        <v>3569</v>
      </c>
      <c r="E62" s="2" t="s">
        <v>3684</v>
      </c>
      <c r="F62" s="2"/>
    </row>
    <row r="63" ht="15.75" customHeight="1">
      <c r="A63" s="37" t="str">
        <f>HYPERLINK("https://pubmed.ncbi.nlm.nih.gov/24003992/","24003992")</f>
        <v>24003992</v>
      </c>
      <c r="B63" s="2">
        <v>2013.0</v>
      </c>
      <c r="C63" s="2" t="s">
        <v>2132</v>
      </c>
      <c r="D63" s="39" t="s">
        <v>3569</v>
      </c>
      <c r="E63" s="2" t="s">
        <v>3685</v>
      </c>
      <c r="F63" s="2"/>
    </row>
    <row r="64" ht="15.75" customHeight="1">
      <c r="A64" s="37" t="str">
        <f>HYPERLINK("https://pubmed.ncbi.nlm.nih.gov/24122837/","24122837")</f>
        <v>24122837</v>
      </c>
      <c r="B64" s="2">
        <v>2014.0</v>
      </c>
      <c r="C64" s="2" t="s">
        <v>864</v>
      </c>
      <c r="D64" s="39" t="s">
        <v>3569</v>
      </c>
      <c r="E64" s="2" t="s">
        <v>3686</v>
      </c>
      <c r="F64" s="2" t="s">
        <v>3687</v>
      </c>
    </row>
    <row r="65" ht="15.75" customHeight="1">
      <c r="A65" s="37" t="str">
        <f>HYPERLINK("https://pubmed.ncbi.nlm.nih.gov/24311518/","24311518")</f>
        <v>24311518</v>
      </c>
      <c r="B65" s="2">
        <v>2014.0</v>
      </c>
      <c r="C65" s="2" t="s">
        <v>538</v>
      </c>
      <c r="D65" s="39" t="s">
        <v>3569</v>
      </c>
      <c r="E65" s="2" t="s">
        <v>3688</v>
      </c>
      <c r="F65" s="2"/>
    </row>
    <row r="66" ht="15.75" customHeight="1">
      <c r="A66" s="37" t="str">
        <f>HYPERLINK("https://pubmed.ncbi.nlm.nih.gov/25200733/","25200733")</f>
        <v>25200733</v>
      </c>
      <c r="B66" s="2">
        <v>2014.0</v>
      </c>
      <c r="C66" s="2" t="s">
        <v>869</v>
      </c>
      <c r="D66" s="38" t="s">
        <v>3500</v>
      </c>
      <c r="E66" s="2" t="s">
        <v>869</v>
      </c>
      <c r="F66" s="2"/>
    </row>
    <row r="67" ht="15.75" customHeight="1">
      <c r="A67" s="37" t="str">
        <f>HYPERLINK("https://pubmed.ncbi.nlm.nih.gov/25847310/","25847310")</f>
        <v>25847310</v>
      </c>
      <c r="B67" s="2">
        <v>2015.0</v>
      </c>
      <c r="C67" s="2" t="s">
        <v>854</v>
      </c>
      <c r="D67" s="38" t="s">
        <v>3500</v>
      </c>
      <c r="E67" s="2" t="s">
        <v>3689</v>
      </c>
      <c r="F67" s="2"/>
    </row>
    <row r="68" ht="15.75" customHeight="1">
      <c r="A68" s="37" t="str">
        <f>HYPERLINK("https://pubmed.ncbi.nlm.nih.gov/26375930/","26375930")</f>
        <v>26375930</v>
      </c>
      <c r="B68" s="2">
        <v>2015.0</v>
      </c>
      <c r="C68" s="2" t="s">
        <v>2031</v>
      </c>
      <c r="D68" s="38" t="s">
        <v>3500</v>
      </c>
      <c r="E68" s="2" t="s">
        <v>3690</v>
      </c>
      <c r="F68" s="2"/>
    </row>
    <row r="69" ht="15.75" customHeight="1">
      <c r="A69" s="37" t="str">
        <f>HYPERLINK("https://pubmed.ncbi.nlm.nih.gov/26214050/","26214050")</f>
        <v>26214050</v>
      </c>
      <c r="B69" s="2">
        <v>2016.0</v>
      </c>
      <c r="C69" s="2" t="s">
        <v>1750</v>
      </c>
      <c r="D69" s="39" t="s">
        <v>3569</v>
      </c>
      <c r="E69" s="2" t="s">
        <v>3691</v>
      </c>
      <c r="F69" s="2"/>
    </row>
    <row r="70" ht="15.75" customHeight="1">
      <c r="A70" s="37" t="str">
        <f>HYPERLINK("https://pubmed.ncbi.nlm.nih.gov/26473304/","26473304")</f>
        <v>26473304</v>
      </c>
      <c r="B70" s="2">
        <v>2016.0</v>
      </c>
      <c r="C70" s="2" t="s">
        <v>475</v>
      </c>
      <c r="D70" s="38" t="s">
        <v>3500</v>
      </c>
      <c r="E70" s="2" t="s">
        <v>3692</v>
      </c>
      <c r="F70" s="2"/>
    </row>
    <row r="71" ht="15.75" customHeight="1">
      <c r="A71" s="37" t="str">
        <f>HYPERLINK("https://pubmed.ncbi.nlm.nih.gov/26847083/","26847083")</f>
        <v>26847083</v>
      </c>
      <c r="B71" s="2">
        <v>2016.0</v>
      </c>
      <c r="C71" s="2" t="s">
        <v>804</v>
      </c>
      <c r="D71" s="38" t="s">
        <v>3500</v>
      </c>
      <c r="E71" s="2" t="s">
        <v>3693</v>
      </c>
      <c r="F71" s="2"/>
    </row>
    <row r="72" ht="15.75" customHeight="1">
      <c r="A72" s="37" t="str">
        <f>HYPERLINK("https://pubmed.ncbi.nlm.nih.gov/27167547/","27167547")</f>
        <v>27167547</v>
      </c>
      <c r="B72" s="2">
        <v>2016.0</v>
      </c>
      <c r="C72" s="2" t="s">
        <v>497</v>
      </c>
      <c r="D72" s="40" t="s">
        <v>3542</v>
      </c>
      <c r="E72" s="2" t="s">
        <v>3694</v>
      </c>
      <c r="F72" s="2"/>
    </row>
    <row r="73" ht="15.75" customHeight="1">
      <c r="A73" s="37" t="str">
        <f>HYPERLINK("https://pubmed.ncbi.nlm.nih.gov/27234469/","27234469")</f>
        <v>27234469</v>
      </c>
      <c r="B73" s="2">
        <v>2016.0</v>
      </c>
      <c r="C73" s="2" t="s">
        <v>815</v>
      </c>
      <c r="D73" s="38" t="s">
        <v>3500</v>
      </c>
      <c r="E73" s="2" t="s">
        <v>3695</v>
      </c>
      <c r="F73" s="2" t="s">
        <v>3696</v>
      </c>
    </row>
    <row r="74" ht="15.75" customHeight="1">
      <c r="A74" s="37" t="str">
        <f>HYPERLINK("https://pubmed.ncbi.nlm.nih.gov/27312333/","27312333")</f>
        <v>27312333</v>
      </c>
      <c r="B74" s="2">
        <v>2016.0</v>
      </c>
      <c r="C74" s="2" t="s">
        <v>822</v>
      </c>
      <c r="D74" s="39" t="s">
        <v>3569</v>
      </c>
      <c r="E74" s="2" t="s">
        <v>3697</v>
      </c>
      <c r="F74" s="2" t="s">
        <v>3698</v>
      </c>
    </row>
    <row r="75" ht="15.75" customHeight="1">
      <c r="A75" s="37" t="str">
        <f>HYPERLINK("https://pubmed.ncbi.nlm.nih.gov/27550159/","27550159")</f>
        <v>27550159</v>
      </c>
      <c r="B75" s="2">
        <v>2016.0</v>
      </c>
      <c r="C75" s="2" t="s">
        <v>516</v>
      </c>
      <c r="D75" s="42" t="s">
        <v>3656</v>
      </c>
      <c r="E75" s="2" t="s">
        <v>3699</v>
      </c>
      <c r="F75" s="2"/>
    </row>
    <row r="76" ht="15.75" customHeight="1">
      <c r="A76" s="37" t="str">
        <f>HYPERLINK("https://pubmed.ncbi.nlm.nih.gov/27490773/","27490773")</f>
        <v>27490773</v>
      </c>
      <c r="B76" s="2">
        <v>2017.0</v>
      </c>
      <c r="C76" s="2" t="s">
        <v>435</v>
      </c>
      <c r="D76" s="40" t="s">
        <v>3542</v>
      </c>
      <c r="E76" s="2" t="s">
        <v>3700</v>
      </c>
      <c r="F76" s="2" t="s">
        <v>3701</v>
      </c>
    </row>
    <row r="77" ht="15.75" customHeight="1">
      <c r="A77" s="37" t="str">
        <f>HYPERLINK("https://pubmed.ncbi.nlm.nih.gov/28723764/","28723764")</f>
        <v>28723764</v>
      </c>
      <c r="B77" s="2">
        <v>2017.0</v>
      </c>
      <c r="C77" s="2" t="s">
        <v>1733</v>
      </c>
      <c r="D77" s="39" t="s">
        <v>3569</v>
      </c>
      <c r="E77" s="2" t="s">
        <v>3702</v>
      </c>
      <c r="F77" s="2"/>
    </row>
    <row r="78" ht="15.75" customHeight="1">
      <c r="A78" s="37" t="str">
        <f>HYPERLINK("https://pubmed.ncbi.nlm.nih.gov/28185147/","28185147")</f>
        <v>28185147</v>
      </c>
      <c r="B78" s="2">
        <v>2018.0</v>
      </c>
      <c r="C78" s="2" t="s">
        <v>788</v>
      </c>
      <c r="D78" s="38" t="s">
        <v>3500</v>
      </c>
      <c r="E78" s="2" t="s">
        <v>3703</v>
      </c>
      <c r="F78" s="2"/>
    </row>
    <row r="79" ht="15.75" customHeight="1">
      <c r="A79" s="37" t="str">
        <f>HYPERLINK("https://pubmed.ncbi.nlm.nih.gov/28595435/","28595435")</f>
        <v>28595435</v>
      </c>
      <c r="B79" s="2">
        <v>2018.0</v>
      </c>
      <c r="C79" s="2" t="s">
        <v>2127</v>
      </c>
      <c r="D79" s="42" t="s">
        <v>3656</v>
      </c>
      <c r="E79" s="2" t="s">
        <v>3704</v>
      </c>
      <c r="F79" s="2"/>
    </row>
    <row r="80" ht="15.75" customHeight="1">
      <c r="A80" s="37" t="str">
        <f>HYPERLINK("https://pubmed.ncbi.nlm.nih.gov/30237475/","30237475")</f>
        <v>30237475</v>
      </c>
      <c r="B80" s="2">
        <v>2018.0</v>
      </c>
      <c r="C80" s="2" t="s">
        <v>430</v>
      </c>
      <c r="D80" s="40" t="s">
        <v>3542</v>
      </c>
      <c r="E80" s="2" t="s">
        <v>430</v>
      </c>
      <c r="F80" s="2" t="s">
        <v>3705</v>
      </c>
    </row>
    <row r="81" ht="15.75" customHeight="1">
      <c r="A81" s="37" t="str">
        <f>HYPERLINK("https://pubmed.ncbi.nlm.nih.gov/30688390/","30688390")</f>
        <v>30688390</v>
      </c>
      <c r="B81" s="2">
        <v>2019.0</v>
      </c>
      <c r="C81" s="2" t="s">
        <v>776</v>
      </c>
      <c r="D81" s="39" t="s">
        <v>3569</v>
      </c>
      <c r="E81" s="2" t="s">
        <v>3706</v>
      </c>
      <c r="F81" s="2" t="s">
        <v>3707</v>
      </c>
    </row>
    <row r="82" ht="15.75" customHeight="1">
      <c r="A82" s="37" t="str">
        <f>HYPERLINK("https://pubmed.ncbi.nlm.nih.gov/30935949/","30935949")</f>
        <v>30935949</v>
      </c>
      <c r="B82" s="2">
        <v>2019.0</v>
      </c>
      <c r="C82" s="2" t="s">
        <v>390</v>
      </c>
      <c r="D82" s="40" t="s">
        <v>3542</v>
      </c>
      <c r="E82" s="2" t="s">
        <v>3708</v>
      </c>
      <c r="F82" s="2"/>
    </row>
    <row r="83" ht="15.75" customHeight="1">
      <c r="A83" s="37" t="str">
        <f>HYPERLINK("https://pubmed.ncbi.nlm.nih.gov/31693566/","31693566")</f>
        <v>31693566</v>
      </c>
      <c r="B83" s="2">
        <v>2019.0</v>
      </c>
      <c r="C83" s="2" t="s">
        <v>782</v>
      </c>
      <c r="D83" s="42" t="s">
        <v>3656</v>
      </c>
      <c r="E83" s="2" t="s">
        <v>782</v>
      </c>
      <c r="F83" s="2"/>
    </row>
    <row r="84" ht="15.75" customHeight="1">
      <c r="A84" s="37" t="str">
        <f>HYPERLINK("https://pubmed.ncbi.nlm.nih.gov/31180600/","31180600")</f>
        <v>31180600</v>
      </c>
      <c r="B84" s="2">
        <v>2020.0</v>
      </c>
      <c r="C84" s="2" t="s">
        <v>1684</v>
      </c>
      <c r="D84" s="41" t="s">
        <v>3655</v>
      </c>
      <c r="E84" s="2" t="s">
        <v>3709</v>
      </c>
      <c r="F84" s="2" t="s">
        <v>3710</v>
      </c>
    </row>
    <row r="85" ht="15.75" customHeight="1">
      <c r="A85" s="37" t="str">
        <f>HYPERLINK("https://pubmed.ncbi.nlm.nih.gov/31814050/","31814050")</f>
        <v>31814050</v>
      </c>
      <c r="B85" s="2">
        <v>2020.0</v>
      </c>
      <c r="C85" s="2" t="s">
        <v>756</v>
      </c>
      <c r="D85" s="38" t="s">
        <v>3500</v>
      </c>
      <c r="E85" s="2" t="s">
        <v>3711</v>
      </c>
      <c r="F85" s="2"/>
    </row>
    <row r="86" ht="15.75" customHeight="1">
      <c r="A86" s="37" t="str">
        <f>HYPERLINK("https://pubmed.ncbi.nlm.nih.gov/32646662/","32646662")</f>
        <v>32646662</v>
      </c>
      <c r="B86" s="2">
        <v>2021.0</v>
      </c>
      <c r="C86" s="2" t="s">
        <v>306</v>
      </c>
      <c r="D86" s="40" t="s">
        <v>3542</v>
      </c>
      <c r="E86" s="2" t="s">
        <v>3712</v>
      </c>
      <c r="F86" s="2" t="s">
        <v>3713</v>
      </c>
    </row>
    <row r="87" ht="15.75" customHeight="1">
      <c r="A87" s="37" t="str">
        <f>HYPERLINK("https://pubmed.ncbi.nlm.nih.gov/32943740/","32943740")</f>
        <v>32943740</v>
      </c>
      <c r="B87" s="2">
        <v>2021.0</v>
      </c>
      <c r="C87" s="2" t="s">
        <v>315</v>
      </c>
      <c r="D87" s="38" t="s">
        <v>3500</v>
      </c>
      <c r="E87" s="2" t="s">
        <v>3714</v>
      </c>
      <c r="F87" s="2"/>
    </row>
    <row r="88" ht="15.75" customHeight="1">
      <c r="A88" s="37" t="str">
        <f>HYPERLINK("https://pubmed.ncbi.nlm.nih.gov/34215991/","34215991")</f>
        <v>34215991</v>
      </c>
      <c r="B88" s="2">
        <v>2021.0</v>
      </c>
      <c r="C88" s="2" t="s">
        <v>339</v>
      </c>
      <c r="D88" s="40" t="s">
        <v>3542</v>
      </c>
      <c r="E88" s="2" t="s">
        <v>339</v>
      </c>
      <c r="F88" s="2" t="s">
        <v>3715</v>
      </c>
    </row>
    <row r="89" ht="15.75" customHeight="1">
      <c r="A89" s="37" t="str">
        <f>HYPERLINK("https://pubmed.ncbi.nlm.nih.gov/34415101/","34415101")</f>
        <v>34415101</v>
      </c>
      <c r="B89" s="2">
        <v>2021.0</v>
      </c>
      <c r="C89" s="2" t="s">
        <v>350</v>
      </c>
      <c r="D89" s="38" t="s">
        <v>3500</v>
      </c>
      <c r="E89" s="2" t="s">
        <v>3334</v>
      </c>
      <c r="F89" s="2"/>
    </row>
    <row r="90" ht="15.75" customHeight="1">
      <c r="A90" s="37" t="str">
        <f>HYPERLINK("https://pubmed.ncbi.nlm.nih.gov/34919485/","34919485")</f>
        <v>34919485</v>
      </c>
      <c r="B90" s="2">
        <v>2022.0</v>
      </c>
      <c r="C90" s="2" t="s">
        <v>745</v>
      </c>
      <c r="D90" s="38" t="s">
        <v>3500</v>
      </c>
      <c r="E90" s="2" t="s">
        <v>3716</v>
      </c>
      <c r="F90" s="2"/>
    </row>
    <row r="91" ht="15.75" customHeight="1">
      <c r="A91" s="37" t="str">
        <f>HYPERLINK("https://pubmed.ncbi.nlm.nih.gov/35156266/","35156266")</f>
        <v>35156266</v>
      </c>
      <c r="B91" s="2">
        <v>2022.0</v>
      </c>
      <c r="C91" s="2" t="s">
        <v>277</v>
      </c>
      <c r="D91" s="41" t="s">
        <v>3655</v>
      </c>
      <c r="E91" s="2" t="s">
        <v>3717</v>
      </c>
      <c r="F91" s="2"/>
    </row>
    <row r="92" ht="15.75" customHeight="1">
      <c r="A92" s="37" t="str">
        <f>HYPERLINK("https://pubmed.ncbi.nlm.nih.gov/35522316/","35522316")</f>
        <v>35522316</v>
      </c>
      <c r="B92" s="2">
        <v>2022.0</v>
      </c>
      <c r="C92" s="2" t="s">
        <v>286</v>
      </c>
      <c r="D92" s="38" t="s">
        <v>3500</v>
      </c>
      <c r="E92" s="2" t="s">
        <v>286</v>
      </c>
      <c r="F92" s="2"/>
    </row>
    <row r="93" ht="15.75" customHeight="1">
      <c r="A93" s="37" t="str">
        <f>HYPERLINK("https://pubmed.ncbi.nlm.nih.gov/37210512/","37210512")</f>
        <v>37210512</v>
      </c>
      <c r="B93" s="2">
        <v>2023.0</v>
      </c>
      <c r="C93" s="2" t="s">
        <v>246</v>
      </c>
      <c r="D93" s="39" t="s">
        <v>3569</v>
      </c>
      <c r="E93" s="2" t="s">
        <v>3718</v>
      </c>
      <c r="F93" s="2" t="s">
        <v>3719</v>
      </c>
    </row>
    <row r="94" ht="15.75" customHeight="1">
      <c r="A94" s="37" t="str">
        <f>HYPERLINK("https://pubmed.ncbi.nlm.nih.gov/37821084/","37821084")</f>
        <v>37821084</v>
      </c>
      <c r="B94" s="2">
        <v>2023.0</v>
      </c>
      <c r="C94" s="2" t="s">
        <v>255</v>
      </c>
      <c r="D94" s="40" t="s">
        <v>3542</v>
      </c>
      <c r="E94" s="2" t="s">
        <v>3720</v>
      </c>
      <c r="F94" s="2"/>
    </row>
    <row r="95" ht="15.75" customHeight="1">
      <c r="A95" s="37" t="str">
        <f>HYPERLINK("https://pubmed.ncbi.nlm.nih.gov/38047023/","38047023")</f>
        <v>38047023</v>
      </c>
      <c r="B95" s="2">
        <v>2023.0</v>
      </c>
      <c r="C95" s="2" t="s">
        <v>259</v>
      </c>
      <c r="D95" s="38" t="s">
        <v>3500</v>
      </c>
      <c r="E95" s="2" t="s">
        <v>3721</v>
      </c>
      <c r="F95" s="2"/>
    </row>
    <row r="96" ht="15.75" customHeight="1">
      <c r="A96" s="37" t="str">
        <f>HYPERLINK("https://pubmed.ncbi.nlm.nih.gov/37937891/","37937891")</f>
        <v>37937891</v>
      </c>
      <c r="B96" s="2">
        <v>2024.0</v>
      </c>
      <c r="C96" s="2" t="s">
        <v>1972</v>
      </c>
      <c r="D96" s="38" t="s">
        <v>3500</v>
      </c>
      <c r="E96" s="2" t="s">
        <v>3722</v>
      </c>
      <c r="F96" s="2"/>
    </row>
    <row r="97" ht="15.75" customHeight="1">
      <c r="A97" s="37" t="str">
        <f>HYPERLINK("https://pubmed.ncbi.nlm.nih.gov/39257320/","39257320")</f>
        <v>39257320</v>
      </c>
      <c r="B97" s="2">
        <v>2024.0</v>
      </c>
      <c r="C97" s="2" t="s">
        <v>734</v>
      </c>
      <c r="D97" s="42" t="s">
        <v>3656</v>
      </c>
      <c r="E97" s="2" t="s">
        <v>3723</v>
      </c>
      <c r="F97" s="2"/>
    </row>
    <row r="98" ht="15.75" customHeight="1">
      <c r="A98" s="37" t="str">
        <f>HYPERLINK("https://pubmed.ncbi.nlm.nih.gov/39821650/","39821650")</f>
        <v>39821650</v>
      </c>
      <c r="B98" s="2">
        <v>2025.0</v>
      </c>
      <c r="C98" s="2" t="s">
        <v>152</v>
      </c>
      <c r="D98" s="38" t="s">
        <v>3500</v>
      </c>
      <c r="E98" s="2" t="s">
        <v>3578</v>
      </c>
      <c r="F98" s="2"/>
    </row>
    <row r="99" ht="15.75" customHeight="1">
      <c r="A99" s="37" t="str">
        <f>HYPERLINK("https://pubmed.ncbi.nlm.nih.gov/39961659/","39961659")</f>
        <v>39961659</v>
      </c>
      <c r="B99" s="2">
        <v>2025.0</v>
      </c>
      <c r="C99" s="2" t="s">
        <v>697</v>
      </c>
      <c r="D99" s="42" t="s">
        <v>3656</v>
      </c>
      <c r="E99" s="2" t="s">
        <v>697</v>
      </c>
      <c r="F99" s="2"/>
    </row>
    <row r="100" ht="15.75" customHeight="1">
      <c r="A100" s="37" t="str">
        <f>HYPERLINK("https://pubmed.ncbi.nlm.nih.gov/40599664/","40599664")</f>
        <v>40599664</v>
      </c>
      <c r="B100" s="2">
        <v>2025.0</v>
      </c>
      <c r="C100" s="2" t="s">
        <v>176</v>
      </c>
      <c r="D100" s="38" t="s">
        <v>3500</v>
      </c>
      <c r="E100" s="2" t="s">
        <v>3724</v>
      </c>
      <c r="F100" s="2"/>
    </row>
    <row r="101" ht="15.75" customHeight="1">
      <c r="A101" s="37" t="str">
        <f>HYPERLINK("https://pubmed.ncbi.nlm.nih.gov/40685149/","40685149")</f>
        <v>40685149</v>
      </c>
      <c r="B101" s="2">
        <v>2025.0</v>
      </c>
      <c r="C101" s="2" t="s">
        <v>703</v>
      </c>
      <c r="D101" s="38" t="s">
        <v>3500</v>
      </c>
      <c r="E101" s="2" t="s">
        <v>3519</v>
      </c>
      <c r="F101" s="2"/>
    </row>
    <row r="102" ht="15.75" customHeight="1">
      <c r="A102" s="37" t="str">
        <f>HYPERLINK("https://pubmed.ncbi.nlm.nih.gov/40920381/","40920381")</f>
        <v>40920381</v>
      </c>
      <c r="B102" s="2">
        <v>2025.0</v>
      </c>
      <c r="C102" s="2" t="s">
        <v>181</v>
      </c>
      <c r="D102" s="38" t="s">
        <v>3500</v>
      </c>
      <c r="E102" s="2" t="s">
        <v>3725</v>
      </c>
      <c r="F102" s="2"/>
    </row>
    <row r="103" ht="15.75" customHeight="1">
      <c r="A103" s="37" t="str">
        <f>HYPERLINK("https://pubmed.ncbi.nlm.nih.gov/41257854/","41257854")</f>
        <v>41257854</v>
      </c>
      <c r="B103" s="2">
        <v>2025.0</v>
      </c>
      <c r="C103" s="2" t="s">
        <v>1967</v>
      </c>
      <c r="D103" s="41" t="s">
        <v>3655</v>
      </c>
      <c r="E103" s="2" t="s">
        <v>3726</v>
      </c>
      <c r="F103" s="2" t="s">
        <v>3727</v>
      </c>
    </row>
    <row r="104" ht="15.75" customHeight="1">
      <c r="A104" s="37" t="str">
        <f>HYPERLINK("https://pubmed.ncbi.nlm.nih.gov/41319979/","41319979")</f>
        <v>41319979</v>
      </c>
      <c r="B104" s="2">
        <v>2025.0</v>
      </c>
      <c r="C104" s="2" t="s">
        <v>709</v>
      </c>
      <c r="D104" s="38" t="s">
        <v>3500</v>
      </c>
      <c r="E104" s="2" t="s">
        <v>3728</v>
      </c>
      <c r="F104" s="2"/>
    </row>
    <row r="105" ht="15.75" customHeight="1">
      <c r="A105" s="37" t="str">
        <f>HYPERLINK("https://pubmed.ncbi.nlm.nih.gov/41321028/","41321028")</f>
        <v>41321028</v>
      </c>
      <c r="B105" s="2">
        <v>2025.0</v>
      </c>
      <c r="C105" s="2" t="s">
        <v>716</v>
      </c>
      <c r="D105" s="39" t="s">
        <v>3569</v>
      </c>
      <c r="E105" s="2" t="s">
        <v>3729</v>
      </c>
      <c r="F105" s="2" t="s">
        <v>3730</v>
      </c>
    </row>
    <row r="106" ht="15.75" customHeight="1">
      <c r="A106" s="37" t="str">
        <f>HYPERLINK("https://pubmed.ncbi.nlm.nih.gov/41420650/","41420650")</f>
        <v>41420650</v>
      </c>
      <c r="B106" s="2">
        <v>2025.0</v>
      </c>
      <c r="C106" s="2" t="s">
        <v>188</v>
      </c>
      <c r="D106" s="40" t="s">
        <v>3542</v>
      </c>
      <c r="E106" s="2" t="s">
        <v>3731</v>
      </c>
      <c r="F106" s="2"/>
    </row>
    <row r="107" ht="15.75" customHeight="1">
      <c r="A107" s="37" t="str">
        <f>HYPERLINK("https://pubmed.ncbi.nlm.nih.gov/41485045/","41485045")</f>
        <v>41485045</v>
      </c>
      <c r="B107" s="2">
        <v>2026.0</v>
      </c>
      <c r="C107" s="2" t="s">
        <v>101</v>
      </c>
      <c r="D107" s="38" t="s">
        <v>3500</v>
      </c>
      <c r="E107" s="2" t="s">
        <v>3732</v>
      </c>
      <c r="F107" s="2"/>
    </row>
    <row r="108" ht="15.75" customHeight="1">
      <c r="A108" s="37" t="str">
        <f>HYPERLINK("https://pubmed.ncbi.nlm.nih.gov/42056489/","42056489")</f>
        <v>42056489</v>
      </c>
      <c r="B108" s="2">
        <v>2026.0</v>
      </c>
      <c r="C108" s="2" t="s">
        <v>1957</v>
      </c>
      <c r="D108" s="38" t="s">
        <v>3500</v>
      </c>
      <c r="E108" s="2" t="s">
        <v>3733</v>
      </c>
      <c r="F108" s="2"/>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3:H43"/>
    <mergeCell ref="A44:H44"/>
    <mergeCell ref="A45:H45"/>
    <mergeCell ref="A46:H46"/>
    <mergeCell ref="A47:H47"/>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2026-09-29T22:49:23Z</dcterms:created>
  <dc:creator>openpyxl</dc:creator>
</cp:coreProperties>
</file>

<file path=docProps/custom.xml><?xml version="1.0" encoding="utf-8"?>
<Properties xmlns="http://schemas.openxmlformats.org/officeDocument/2006/custom-properties" xmlns:vt="http://schemas.openxmlformats.org/officeDocument/2006/docPropsVTypes"/>
</file>